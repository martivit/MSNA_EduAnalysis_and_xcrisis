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acted-my.sharepoint.com/personal/martina_vit_impact-initiatives_org/Documents/MSNAEdu/MSNA_2024_analysis/EduAnalysisTool/output/"/>
    </mc:Choice>
  </mc:AlternateContent>
  <xr:revisionPtr revIDLastSave="0" documentId="11_4B4F5A00655229CA744A7BEE612CA1AB333350C3" xr6:coauthVersionLast="47" xr6:coauthVersionMax="47" xr10:uidLastSave="{00000000-0000-0000-0000-000000000000}"/>
  <bookViews>
    <workbookView xWindow="-90" yWindow="-90" windowWidth="19380" windowHeight="11460" firstSheet="2" activeTab="9" xr2:uid="{00000000-000D-0000-FFFF-FFFF00000000}"/>
  </bookViews>
  <sheets>
    <sheet name="Table_of_content" sheetId="1" r:id="rId1"/>
    <sheet name="access" sheetId="2" r:id="rId2"/>
    <sheet name="overaged" sheetId="3" r:id="rId3"/>
    <sheet name="out_of_school" sheetId="4" r:id="rId4"/>
    <sheet name="ece" sheetId="5" r:id="rId5"/>
    <sheet name="level1" sheetId="6" r:id="rId6"/>
    <sheet name="level2" sheetId="7" r:id="rId7"/>
    <sheet name="level3" sheetId="8" r:id="rId8"/>
    <sheet name="non_formal" sheetId="9" r:id="rId9"/>
    <sheet name="wgq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0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<sst xmlns="http://schemas.openxmlformats.org/spreadsheetml/2006/main" count="1252" uniqueCount="101">
  <si>
    <t>Table of Content</t>
  </si>
  <si>
    <t>Analysis of Children Accessing Education</t>
  </si>
  <si>
    <t>Overall</t>
  </si>
  <si>
    <t>Girls</t>
  </si>
  <si>
    <t>Boys</t>
  </si>
  <si>
    <t>Disruptions</t>
  </si>
  <si>
    <t>% of school-aged children whose education was disrupted due to teacher's absence</t>
  </si>
  <si>
    <t>% of school-aged children whose education was disrupted due to natural hazards</t>
  </si>
  <si>
    <t>% of school-aged children whose education was disrupted due to the school being occupied by displaced persons</t>
  </si>
  <si>
    <t>Access</t>
  </si>
  <si>
    <t>label_group_var</t>
  </si>
  <si>
    <t>label_group_var_value</t>
  </si>
  <si>
    <t>stat</t>
  </si>
  <si>
    <t>n_total</t>
  </si>
  <si>
    <t/>
  </si>
  <si>
    <t>Age-Assigned School Cycle</t>
  </si>
  <si>
    <t>ECE – 5 years old</t>
  </si>
  <si>
    <t>primary – 6 to 11 years old</t>
  </si>
  <si>
    <t>lower secondary – 12 to 14 years old</t>
  </si>
  <si>
    <t>upper secondary – 15 to 17 years old</t>
  </si>
  <si>
    <t>1.8 Governorate:</t>
  </si>
  <si>
    <t>SY02-Aleppo</t>
  </si>
  <si>
    <t>SY07-Idleb</t>
  </si>
  <si>
    <t>SY08-Al-Hasakeh</t>
  </si>
  <si>
    <t>SY09-Deir-ez-Zor</t>
  </si>
  <si>
    <t>SY11-Ar-Raqqa</t>
  </si>
  <si>
    <t>1.9 District:</t>
  </si>
  <si>
    <t>SY0200-Jebel Saman</t>
  </si>
  <si>
    <t>SY0202-Al Bab</t>
  </si>
  <si>
    <t>SY0203-Afrin</t>
  </si>
  <si>
    <t>SY0204-A'zaz</t>
  </si>
  <si>
    <t>SY0205-Menbij</t>
  </si>
  <si>
    <t>SY0206-Ain Al Arab</t>
  </si>
  <si>
    <t>SY0208-Jarablus</t>
  </si>
  <si>
    <t>SY0700-Idleb</t>
  </si>
  <si>
    <t>SY0703-Harim</t>
  </si>
  <si>
    <t>SY0704-Jisr-Ash-Shugur</t>
  </si>
  <si>
    <t>SY0705-Ariha</t>
  </si>
  <si>
    <t>SY0800-Al-Hasakeh</t>
  </si>
  <si>
    <t>SY0802-Quamishli</t>
  </si>
  <si>
    <t>SY0803-Al-Malikeyyeh</t>
  </si>
  <si>
    <t>SY0804-Ras Al Ain</t>
  </si>
  <si>
    <t>SY0901-Deir-ez-Zor</t>
  </si>
  <si>
    <t>SY0902-Abu Kamal</t>
  </si>
  <si>
    <t>SY0903-Al Mayadin</t>
  </si>
  <si>
    <t>SY1101-Ar-Raqqa</t>
  </si>
  <si>
    <t>SY1102-Tell Abiad</t>
  </si>
  <si>
    <t>SY1103-Ath-Thawrah</t>
  </si>
  <si>
    <t>population_group</t>
  </si>
  <si>
    <t>IDP in</t>
  </si>
  <si>
    <t>IDP out</t>
  </si>
  <si>
    <t>Resident</t>
  </si>
  <si>
    <t>household_disability</t>
  </si>
  <si>
    <t>Disability reported</t>
  </si>
  <si>
    <t>No disability reported</t>
  </si>
  <si>
    <t>3.6 Do you live in a in a rural area, urban or peri-urban, or camp like setting?</t>
  </si>
  <si>
    <t>Formal or non-formal camp or site setting</t>
  </si>
  <si>
    <t>Rural</t>
  </si>
  <si>
    <t>Urban or Peri-Urban</t>
  </si>
  <si>
    <t>idp_year_displacement</t>
  </si>
  <si>
    <t>IDPs 2020 and before</t>
  </si>
  <si>
    <t>IDPs 2021</t>
  </si>
  <si>
    <t>IDPs 2022</t>
  </si>
  <si>
    <t>IDPs 2024-2023</t>
  </si>
  <si>
    <t>NA</t>
  </si>
  <si>
    <t>% of school-aged children with disability 3 -  the level of inclusion is any 1 domain/question is coded A LOT OF DIFFICULTY or CANNOT DO AT ALL</t>
  </si>
  <si>
    <t>0</t>
  </si>
  <si>
    <t>1</t>
  </si>
  <si>
    <t>% of school-aged children with disability 2 -  the level of inclusion is at least 2 domains/questions are coded SOME DIFFICULTY or any 1 domain/question is coded</t>
  </si>
  <si>
    <t>Analysis of overaged learners</t>
  </si>
  <si>
    <t>Overaged learners</t>
  </si>
  <si>
    <t>% of school-aged children attending primary school who are at least 2 years above the intended age for their grade</t>
  </si>
  <si>
    <t>% of school-aged children attending secondary school who are at least 2 years above the intended age for their grade</t>
  </si>
  <si>
    <t>Analysis of Children Not Accessing Education, OoS</t>
  </si>
  <si>
    <t>Barriers</t>
  </si>
  <si>
    <t>Cannot afford the direct costs of education</t>
  </si>
  <si>
    <t>Child participating in income generating activities outside of the home</t>
  </si>
  <si>
    <t>Lack of appropriate and accessible school</t>
  </si>
  <si>
    <t>The child's disability or health issues prevents them from accessing school</t>
  </si>
  <si>
    <t>There is a lack of interest/Education is not a priority either for the child or the household</t>
  </si>
  <si>
    <t>other</t>
  </si>
  <si>
    <t>% of OoS children</t>
  </si>
  <si>
    <t>Early childhood education and early enrolment</t>
  </si>
  <si>
    <t>School Attendance Profile</t>
  </si>
  <si>
    <t>% of children one year before primary school entry age attending early childhood education or primary school.</t>
  </si>
  <si>
    <t>% of children one year before primary school entry age attending primary school.</t>
  </si>
  <si>
    <t>School Attendance Profile: primary</t>
  </si>
  <si>
    <t>% of school-aged children of primary school age currently attending primary or higher</t>
  </si>
  <si>
    <t>School Attendance Profile: intermediate -- secondary</t>
  </si>
  <si>
    <t>% of school-aged children of intermediate school level age currently attending intermediate school level or higher</t>
  </si>
  <si>
    <t>School Attendance Profile: secondary</t>
  </si>
  <si>
    <t>% of school-aged children of  secondary school age currently attending secondary school or higher</t>
  </si>
  <si>
    <t>Analysis of Children Not Accessing Education and following non-formal programs</t>
  </si>
  <si>
    <t>non-formal</t>
  </si>
  <si>
    <t>WGQ</t>
  </si>
  <si>
    <t>other WGQ parameters</t>
  </si>
  <si>
    <t>cannot do at all -- % of school-aged children with at least one of WG-SS component is at level 'cannot do at all'</t>
  </si>
  <si>
    <t>a lot of difficulty -- % of school-aged children with at least one of WG-SS component is at level 'a lot of difficulty'</t>
  </si>
  <si>
    <t>some difficulty -- % of school-aged children with at least one of WG-SS component is at level 'some difficulty'</t>
  </si>
  <si>
    <t>no difficulty -- % of school-aged children with at least one of WG-SS component is at level 'no difficulty'</t>
  </si>
  <si>
    <t>% of school-aged children who attended school or any early childhood education program at any time during the 2023-2024 school year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</si>
</sst>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/>
      <top/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/>
      <diagonal/>
    </border>
    <border>
      <left/>
      <right style="thin">
        <color rgb="FFD3D3D3"/>
      </right>
      <top/>
      <bottom/>
      <diagonal/>
    </border>
    <border>
      <left/>
      <right style="thin">
        <color rgb="FFD3D3D3"/>
      </right>
      <top/>
      <bottom style="thin">
        <color rgb="FFD3D3D3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9" fontId="1" fillId="0" borderId="3" xfId="0" applyNumberFormat="1" applyFont="1" applyBorder="1"/>
    <xf numFmtId="9" fontId="1" fillId="0" borderId="8" xfId="0" applyNumberFormat="1" applyFont="1" applyBorder="1"/>
    <xf numFmtId="9" fontId="1" fillId="0" borderId="9" xfId="0" applyNumberFormat="1" applyFont="1" applyBorder="1"/>
    <xf numFmtId="9" fontId="1" fillId="0" borderId="0" xfId="0" applyNumberFormat="1" applyFont="1"/>
    <xf numFmtId="0" fontId="2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9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workbookViewId="0"/>
  </sheetViews>
  <sheetFormatPr defaultColWidth="11.42578125" defaultRowHeight="15" x14ac:dyDescent="0.25"/>
  <sheetData>
    <row r="1" spans="1:1" x14ac:dyDescent="0.25">
      <c r="A1" t="s">
        <v>0</v>
      </c>
    </row>
    <row r="2" spans="1:1" x14ac:dyDescent="0.25">
      <c r="A2" s="17" t="str">
        <f>HYPERLINK("#'access'!A1", "Analysis of Children Accessing Education")</f>
        <v>Analysis of Children Accessing Education</v>
      </c>
    </row>
    <row r="3" spans="1:1" x14ac:dyDescent="0.25">
      <c r="A3" s="17" t="str">
        <f>HYPERLINK("#'overaged'!A1", "Analysis of overaged learners")</f>
        <v>Analysis of overaged learners</v>
      </c>
    </row>
    <row r="4" spans="1:1" x14ac:dyDescent="0.25">
      <c r="A4" s="17" t="str">
        <f>HYPERLINK("#'out_of_school'!A1", "Analysis of Children Not Accessing Education, OoS")</f>
        <v>Analysis of Children Not Accessing Education, OoS</v>
      </c>
    </row>
    <row r="5" spans="1:1" x14ac:dyDescent="0.25">
      <c r="A5" s="17" t="str">
        <f>HYPERLINK("#'ece'!A1", "Early childhood education and early enrolment")</f>
        <v>Early childhood education and early enrolment</v>
      </c>
    </row>
    <row r="6" spans="1:1" x14ac:dyDescent="0.25">
      <c r="A6" s="17" t="str">
        <f>HYPERLINK("#'level1'!A1", "School Attendance Profile: primary")</f>
        <v>School Attendance Profile: primary</v>
      </c>
    </row>
    <row r="7" spans="1:1" x14ac:dyDescent="0.25">
      <c r="A7" s="17" t="str">
        <f>HYPERLINK("#'level2'!A1", "School Attendance Profile: intermediate -- secondary")</f>
        <v>School Attendance Profile: intermediate -- secondary</v>
      </c>
    </row>
    <row r="8" spans="1:1" x14ac:dyDescent="0.25">
      <c r="A8" s="17" t="str">
        <f>HYPERLINK("#'level3'!A1", "School Attendance Profile: secondary")</f>
        <v>School Attendance Profile: secondary</v>
      </c>
    </row>
    <row r="10" spans="1:1" x14ac:dyDescent="0.25">
      <c r="A10" s="17" t="str">
        <f>HYPERLINK("#'non_formal'!A1", "Analysis of Children Not Accessing Education and following non-formal programs")</f>
        <v>Analysis of Children Not Accessing Education and following non-formal programs</v>
      </c>
    </row>
    <row r="11" spans="1:1" x14ac:dyDescent="0.25">
      <c r="A11" s="17" t="str">
        <f>HYPERLINK("#'wgq'!A1", "WGQ")</f>
        <v>WGQ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4"/>
  <sheetViews>
    <sheetView showGridLines="0" workbookViewId="0">
      <selection sqref="A1:Z1"/>
    </sheetView>
  </sheetViews>
  <sheetFormatPr defaultColWidth="11.42578125" defaultRowHeight="15" outlineLevelRow="1" x14ac:dyDescent="0.25"/>
  <sheetData>
    <row r="1" spans="1:26" x14ac:dyDescent="0.25">
      <c r="A1" s="18" t="s">
        <v>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5">
      <c r="C2" s="19" t="s">
        <v>2</v>
      </c>
      <c r="D2" s="19"/>
      <c r="E2" s="19"/>
      <c r="F2" s="19"/>
      <c r="G2" s="19"/>
      <c r="H2" s="19"/>
      <c r="I2" s="19"/>
      <c r="J2" s="19"/>
      <c r="K2" s="19" t="s">
        <v>3</v>
      </c>
      <c r="L2" s="19"/>
      <c r="M2" s="19"/>
      <c r="N2" s="19"/>
      <c r="O2" s="19"/>
      <c r="P2" s="19"/>
      <c r="Q2" s="19"/>
      <c r="R2" s="19"/>
      <c r="S2" s="19" t="s">
        <v>4</v>
      </c>
      <c r="T2" s="19"/>
      <c r="U2" s="19"/>
      <c r="V2" s="19"/>
      <c r="W2" s="19"/>
      <c r="X2" s="19"/>
      <c r="Y2" s="19"/>
      <c r="Z2" s="19"/>
    </row>
    <row r="3" spans="1:26" x14ac:dyDescent="0.25">
      <c r="E3" s="19" t="s">
        <v>5</v>
      </c>
      <c r="F3" s="19"/>
      <c r="G3" s="19"/>
      <c r="H3" s="19"/>
      <c r="I3" s="19"/>
      <c r="J3" s="19"/>
      <c r="M3" s="19" t="s">
        <v>5</v>
      </c>
      <c r="N3" s="19"/>
      <c r="O3" s="19"/>
      <c r="P3" s="19"/>
      <c r="Q3" s="19"/>
      <c r="R3" s="19"/>
      <c r="U3" s="19" t="s">
        <v>5</v>
      </c>
      <c r="V3" s="19"/>
      <c r="W3" s="19"/>
      <c r="X3" s="19"/>
      <c r="Y3" s="19"/>
      <c r="Z3" s="19"/>
    </row>
    <row r="4" spans="1:26" x14ac:dyDescent="0.25">
      <c r="C4" s="19" t="s">
        <v>9</v>
      </c>
      <c r="D4" s="19"/>
      <c r="E4" s="19" t="s">
        <v>6</v>
      </c>
      <c r="F4" s="19"/>
      <c r="G4" s="19" t="s">
        <v>7</v>
      </c>
      <c r="H4" s="19"/>
      <c r="I4" s="19" t="s">
        <v>8</v>
      </c>
      <c r="J4" s="19"/>
      <c r="K4" s="19" t="s">
        <v>9</v>
      </c>
      <c r="L4" s="19"/>
      <c r="M4" s="19" t="s">
        <v>6</v>
      </c>
      <c r="N4" s="19"/>
      <c r="O4" s="19" t="s">
        <v>7</v>
      </c>
      <c r="P4" s="19"/>
      <c r="Q4" s="19" t="s">
        <v>8</v>
      </c>
      <c r="R4" s="19"/>
      <c r="S4" s="19" t="s">
        <v>9</v>
      </c>
      <c r="T4" s="19"/>
      <c r="U4" s="19" t="s">
        <v>6</v>
      </c>
      <c r="V4" s="19"/>
      <c r="W4" s="19" t="s">
        <v>7</v>
      </c>
      <c r="X4" s="19"/>
      <c r="Y4" s="19" t="s">
        <v>8</v>
      </c>
      <c r="Z4" s="19"/>
    </row>
    <row r="5" spans="1:26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  <c r="O5" s="1" t="s">
        <v>12</v>
      </c>
      <c r="P5" s="1" t="s">
        <v>13</v>
      </c>
      <c r="Q5" s="1" t="s">
        <v>12</v>
      </c>
      <c r="R5" s="1" t="s">
        <v>13</v>
      </c>
      <c r="S5" s="1" t="s">
        <v>12</v>
      </c>
      <c r="T5" s="1" t="s">
        <v>13</v>
      </c>
      <c r="U5" s="1" t="s">
        <v>12</v>
      </c>
      <c r="V5" s="1" t="s">
        <v>13</v>
      </c>
      <c r="W5" s="1" t="s">
        <v>12</v>
      </c>
      <c r="X5" s="1" t="s">
        <v>13</v>
      </c>
      <c r="Y5" s="1" t="s">
        <v>12</v>
      </c>
      <c r="Z5" s="1" t="s">
        <v>13</v>
      </c>
    </row>
    <row r="6" spans="1:26" x14ac:dyDescent="0.25">
      <c r="A6" s="19" t="s">
        <v>2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  <c r="U6" s="20"/>
      <c r="V6" s="19"/>
      <c r="W6" s="20"/>
      <c r="X6" s="19"/>
      <c r="Y6" s="20"/>
      <c r="Z6" s="19"/>
    </row>
    <row r="7" spans="1:26" outlineLevel="1" x14ac:dyDescent="0.25">
      <c r="A7" s="2" t="s">
        <v>14</v>
      </c>
      <c r="B7" s="3" t="s">
        <v>2</v>
      </c>
      <c r="C7" s="13">
        <v>0.66474850729655999</v>
      </c>
      <c r="D7" s="3">
        <v>12562</v>
      </c>
      <c r="E7" s="13">
        <v>7.52587596758727E-2</v>
      </c>
      <c r="F7" s="3">
        <v>7921</v>
      </c>
      <c r="G7" s="13">
        <v>5.7651866839446501E-2</v>
      </c>
      <c r="H7" s="3">
        <v>7930</v>
      </c>
      <c r="I7" s="13">
        <v>1.19532115381756E-2</v>
      </c>
      <c r="J7" s="3">
        <v>7916</v>
      </c>
      <c r="K7" s="13">
        <v>0.66213622087344903</v>
      </c>
      <c r="L7" s="3">
        <v>6136</v>
      </c>
      <c r="M7" s="13">
        <v>7.4382141494013398E-2</v>
      </c>
      <c r="N7" s="3">
        <v>3853</v>
      </c>
      <c r="O7" s="13">
        <v>5.5929847510898002E-2</v>
      </c>
      <c r="P7" s="3">
        <v>3856</v>
      </c>
      <c r="Q7" s="13">
        <v>9.7305760064714201E-3</v>
      </c>
      <c r="R7" s="3">
        <v>3847</v>
      </c>
      <c r="S7" s="13">
        <v>0.66715928450055195</v>
      </c>
      <c r="T7" s="3">
        <v>6426</v>
      </c>
      <c r="U7" s="13">
        <v>7.60612137402185E-2</v>
      </c>
      <c r="V7" s="3">
        <v>4068</v>
      </c>
      <c r="W7" s="13">
        <v>5.9228969643150303E-2</v>
      </c>
      <c r="X7" s="3">
        <v>4074</v>
      </c>
      <c r="Y7" s="13">
        <v>1.39890644566478E-2</v>
      </c>
      <c r="Z7" s="4">
        <v>4069</v>
      </c>
    </row>
    <row r="8" spans="1:26" x14ac:dyDescent="0.25">
      <c r="C8" s="16"/>
      <c r="E8" s="16"/>
      <c r="G8" s="16"/>
      <c r="I8" s="16"/>
      <c r="K8" s="16"/>
      <c r="M8" s="16"/>
      <c r="O8" s="16"/>
      <c r="Q8" s="16"/>
      <c r="S8" s="16"/>
      <c r="U8" s="16"/>
      <c r="W8" s="16"/>
      <c r="Y8" s="16"/>
    </row>
    <row r="9" spans="1:26" x14ac:dyDescent="0.25">
      <c r="A9" s="19" t="s">
        <v>15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19"/>
      <c r="Y9" s="20"/>
      <c r="Z9" s="19"/>
    </row>
    <row r="10" spans="1:26" outlineLevel="1" x14ac:dyDescent="0.25">
      <c r="A10" s="5" t="s">
        <v>14</v>
      </c>
      <c r="B10" s="8" t="s">
        <v>16</v>
      </c>
      <c r="C10" s="14">
        <v>0.48104251082280303</v>
      </c>
      <c r="D10" s="8">
        <v>1065</v>
      </c>
      <c r="E10" s="14">
        <v>8.9469645556055896E-2</v>
      </c>
      <c r="F10" s="8">
        <v>545</v>
      </c>
      <c r="G10" s="14">
        <v>5.7638994157153602E-2</v>
      </c>
      <c r="H10" s="8">
        <v>545</v>
      </c>
      <c r="I10" s="14">
        <v>9.4437700944432802E-3</v>
      </c>
      <c r="J10" s="8">
        <v>543</v>
      </c>
      <c r="K10" s="14">
        <v>0.41931118902598002</v>
      </c>
      <c r="L10" s="8">
        <v>509</v>
      </c>
      <c r="M10" s="14">
        <v>0.11358302472383699</v>
      </c>
      <c r="N10" s="8">
        <v>256</v>
      </c>
      <c r="O10" s="14">
        <v>7.64329411726168E-2</v>
      </c>
      <c r="P10" s="8">
        <v>256</v>
      </c>
      <c r="Q10" s="14">
        <v>1.5473960387116801E-2</v>
      </c>
      <c r="R10" s="8">
        <v>255</v>
      </c>
      <c r="S10" s="14">
        <v>0.53664389844355398</v>
      </c>
      <c r="T10" s="8">
        <v>556</v>
      </c>
      <c r="U10" s="14">
        <v>7.2499389909414999E-2</v>
      </c>
      <c r="V10" s="8">
        <v>289</v>
      </c>
      <c r="W10" s="14">
        <v>4.4412391479749201E-2</v>
      </c>
      <c r="X10" s="8">
        <v>289</v>
      </c>
      <c r="Y10" s="14">
        <v>5.2018212250769099E-3</v>
      </c>
      <c r="Z10" s="10">
        <v>288</v>
      </c>
    </row>
    <row r="11" spans="1:26" outlineLevel="1" x14ac:dyDescent="0.25">
      <c r="A11" s="6" t="s">
        <v>14</v>
      </c>
      <c r="B11" t="s">
        <v>17</v>
      </c>
      <c r="C11" s="16">
        <v>0.83121360151980594</v>
      </c>
      <c r="D11">
        <v>6423</v>
      </c>
      <c r="E11" s="16">
        <v>7.8219330163875694E-2</v>
      </c>
      <c r="F11">
        <v>5100</v>
      </c>
      <c r="G11" s="16">
        <v>6.1859603283462503E-2</v>
      </c>
      <c r="H11">
        <v>5103</v>
      </c>
      <c r="I11" s="16">
        <v>1.14894317351128E-2</v>
      </c>
      <c r="J11">
        <v>5095</v>
      </c>
      <c r="K11" s="16">
        <v>0.82471948741175805</v>
      </c>
      <c r="L11">
        <v>3144</v>
      </c>
      <c r="M11" s="16">
        <v>7.9313820479712499E-2</v>
      </c>
      <c r="N11">
        <v>2460</v>
      </c>
      <c r="O11" s="16">
        <v>5.7295270254000698E-2</v>
      </c>
      <c r="P11">
        <v>2460</v>
      </c>
      <c r="Q11" s="16">
        <v>6.5526523641376297E-3</v>
      </c>
      <c r="R11">
        <v>2454</v>
      </c>
      <c r="S11" s="16">
        <v>0.83686938812332501</v>
      </c>
      <c r="T11">
        <v>3279</v>
      </c>
      <c r="U11" s="16">
        <v>7.7279543943925194E-2</v>
      </c>
      <c r="V11">
        <v>2640</v>
      </c>
      <c r="W11" s="16">
        <v>6.57735300856373E-2</v>
      </c>
      <c r="X11">
        <v>2643</v>
      </c>
      <c r="Y11" s="16">
        <v>1.5722722828998399E-2</v>
      </c>
      <c r="Z11" s="11">
        <v>2641</v>
      </c>
    </row>
    <row r="12" spans="1:26" outlineLevel="1" x14ac:dyDescent="0.25">
      <c r="A12" s="6" t="s">
        <v>14</v>
      </c>
      <c r="B12" t="s">
        <v>18</v>
      </c>
      <c r="C12" s="16">
        <v>0.59623725002247896</v>
      </c>
      <c r="D12">
        <v>2865</v>
      </c>
      <c r="E12" s="16">
        <v>6.3405202430523402E-2</v>
      </c>
      <c r="F12">
        <v>1578</v>
      </c>
      <c r="G12" s="16">
        <v>4.5038343585844701E-2</v>
      </c>
      <c r="H12">
        <v>1581</v>
      </c>
      <c r="I12" s="16">
        <v>1.14567484138372E-2</v>
      </c>
      <c r="J12">
        <v>1577</v>
      </c>
      <c r="K12" s="16">
        <v>0.62661584839136197</v>
      </c>
      <c r="L12">
        <v>1385</v>
      </c>
      <c r="M12" s="16">
        <v>4.8681000360123801E-2</v>
      </c>
      <c r="N12">
        <v>775</v>
      </c>
      <c r="O12" s="16">
        <v>5.0364388529378003E-2</v>
      </c>
      <c r="P12">
        <v>776</v>
      </c>
      <c r="Q12" s="16">
        <v>1.5928955191906499E-2</v>
      </c>
      <c r="R12">
        <v>774</v>
      </c>
      <c r="S12" s="16">
        <v>0.564711179463944</v>
      </c>
      <c r="T12">
        <v>1480</v>
      </c>
      <c r="U12" s="16">
        <v>8.0263286905075906E-2</v>
      </c>
      <c r="V12">
        <v>803</v>
      </c>
      <c r="W12" s="16">
        <v>3.8896134631679603E-2</v>
      </c>
      <c r="X12">
        <v>805</v>
      </c>
      <c r="Y12" s="16">
        <v>6.29913757238291E-3</v>
      </c>
      <c r="Z12" s="11">
        <v>803</v>
      </c>
    </row>
    <row r="13" spans="1:26" outlineLevel="1" x14ac:dyDescent="0.25">
      <c r="A13" s="7" t="s">
        <v>14</v>
      </c>
      <c r="B13" s="9" t="s">
        <v>19</v>
      </c>
      <c r="C13" s="15">
        <v>0.338232047832835</v>
      </c>
      <c r="D13" s="9">
        <v>2209</v>
      </c>
      <c r="E13" s="15">
        <v>7.2185601183404502E-2</v>
      </c>
      <c r="F13" s="9">
        <v>698</v>
      </c>
      <c r="G13" s="15">
        <v>5.6576144701007303E-2</v>
      </c>
      <c r="H13" s="9">
        <v>701</v>
      </c>
      <c r="I13" s="15">
        <v>1.8194069812285701E-2</v>
      </c>
      <c r="J13" s="9">
        <v>701</v>
      </c>
      <c r="K13" s="15">
        <v>0.34996475769452701</v>
      </c>
      <c r="L13" s="9">
        <v>1098</v>
      </c>
      <c r="M13" s="15">
        <v>8.4612267981981695E-2</v>
      </c>
      <c r="N13" s="9">
        <v>362</v>
      </c>
      <c r="O13" s="15">
        <v>4.9969793304284298E-2</v>
      </c>
      <c r="P13" s="9">
        <v>364</v>
      </c>
      <c r="Q13" s="15">
        <v>1.25656081902856E-2</v>
      </c>
      <c r="R13" s="9">
        <v>364</v>
      </c>
      <c r="S13" s="15">
        <v>0.32711444648522597</v>
      </c>
      <c r="T13" s="9">
        <v>1111</v>
      </c>
      <c r="U13" s="15">
        <v>5.9465248973123698E-2</v>
      </c>
      <c r="V13" s="9">
        <v>336</v>
      </c>
      <c r="W13" s="15">
        <v>6.3288707313826506E-2</v>
      </c>
      <c r="X13" s="9">
        <v>337</v>
      </c>
      <c r="Y13" s="15">
        <v>2.39230336863228E-2</v>
      </c>
      <c r="Z13" s="12">
        <v>337</v>
      </c>
    </row>
    <row r="14" spans="1:26" x14ac:dyDescent="0.25">
      <c r="C14" s="16"/>
      <c r="E14" s="16"/>
      <c r="G14" s="16"/>
      <c r="I14" s="16"/>
      <c r="K14" s="16"/>
      <c r="M14" s="16"/>
      <c r="O14" s="16"/>
      <c r="Q14" s="16"/>
      <c r="S14" s="16"/>
      <c r="U14" s="16"/>
      <c r="W14" s="16"/>
      <c r="Y14" s="16"/>
    </row>
    <row r="15" spans="1:26" x14ac:dyDescent="0.25">
      <c r="A15" s="19" t="s">
        <v>20</v>
      </c>
      <c r="B15" s="19"/>
      <c r="C15" s="20"/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19"/>
      <c r="Y15" s="20"/>
      <c r="Z15" s="19"/>
    </row>
    <row r="16" spans="1:26" outlineLevel="1" x14ac:dyDescent="0.25">
      <c r="A16" s="5" t="s">
        <v>14</v>
      </c>
      <c r="B16" s="8" t="s">
        <v>21</v>
      </c>
      <c r="C16" s="14">
        <v>0.70356400022743104</v>
      </c>
      <c r="D16" s="8">
        <v>3358</v>
      </c>
      <c r="E16" s="14">
        <v>7.7361941488364006E-2</v>
      </c>
      <c r="F16" s="8">
        <v>2366</v>
      </c>
      <c r="G16" s="14">
        <v>6.4930150611776705E-2</v>
      </c>
      <c r="H16" s="8">
        <v>2371</v>
      </c>
      <c r="I16" s="14">
        <v>3.7776752533188402E-3</v>
      </c>
      <c r="J16" s="8">
        <v>2370</v>
      </c>
      <c r="K16" s="14">
        <v>0.68678791989961596</v>
      </c>
      <c r="L16" s="8">
        <v>1626</v>
      </c>
      <c r="M16" s="14">
        <v>7.4017143186257503E-2</v>
      </c>
      <c r="N16" s="8">
        <v>1127</v>
      </c>
      <c r="O16" s="14">
        <v>6.7419271302513795E-2</v>
      </c>
      <c r="P16" s="8">
        <v>1130</v>
      </c>
      <c r="Q16" s="14">
        <v>1.4487180906598101E-3</v>
      </c>
      <c r="R16" s="8">
        <v>1129</v>
      </c>
      <c r="S16" s="14">
        <v>0.71930507057082704</v>
      </c>
      <c r="T16" s="8">
        <v>1732</v>
      </c>
      <c r="U16" s="14">
        <v>8.0371667543494701E-2</v>
      </c>
      <c r="V16" s="8">
        <v>1239</v>
      </c>
      <c r="W16" s="14">
        <v>6.2696762722616997E-2</v>
      </c>
      <c r="X16" s="8">
        <v>1241</v>
      </c>
      <c r="Y16" s="14">
        <v>5.8677234632355697E-3</v>
      </c>
      <c r="Z16" s="10">
        <v>1241</v>
      </c>
    </row>
    <row r="17" spans="1:26" outlineLevel="1" x14ac:dyDescent="0.25">
      <c r="A17" s="6" t="s">
        <v>14</v>
      </c>
      <c r="B17" t="s">
        <v>22</v>
      </c>
      <c r="C17" s="16">
        <v>0.71543108699880997</v>
      </c>
      <c r="D17">
        <v>2838</v>
      </c>
      <c r="E17" s="16">
        <v>2.5237769604085102E-2</v>
      </c>
      <c r="F17">
        <v>2059</v>
      </c>
      <c r="G17" s="16">
        <v>6.3034904790945895E-2</v>
      </c>
      <c r="H17">
        <v>2060</v>
      </c>
      <c r="I17" s="16">
        <v>2.0244469461535099E-2</v>
      </c>
      <c r="J17">
        <v>2057</v>
      </c>
      <c r="K17" s="16">
        <v>0.72238439904698004</v>
      </c>
      <c r="L17">
        <v>1350</v>
      </c>
      <c r="M17" s="16">
        <v>2.5804503765751899E-2</v>
      </c>
      <c r="N17">
        <v>1000</v>
      </c>
      <c r="O17" s="16">
        <v>6.1743866932341601E-2</v>
      </c>
      <c r="P17">
        <v>1000</v>
      </c>
      <c r="Q17" s="16">
        <v>1.6536803173817598E-2</v>
      </c>
      <c r="R17">
        <v>998</v>
      </c>
      <c r="S17" s="16">
        <v>0.709263208782833</v>
      </c>
      <c r="T17">
        <v>1488</v>
      </c>
      <c r="U17" s="16">
        <v>2.47285084554652E-2</v>
      </c>
      <c r="V17">
        <v>1059</v>
      </c>
      <c r="W17" s="16">
        <v>6.4200915353330307E-2</v>
      </c>
      <c r="X17">
        <v>1060</v>
      </c>
      <c r="Y17" s="16">
        <v>2.3590140262427301E-2</v>
      </c>
      <c r="Z17" s="11">
        <v>1059</v>
      </c>
    </row>
    <row r="18" spans="1:26" outlineLevel="1" x14ac:dyDescent="0.25">
      <c r="A18" s="6" t="s">
        <v>14</v>
      </c>
      <c r="B18" t="s">
        <v>23</v>
      </c>
      <c r="C18" s="16">
        <v>0.59721619284182803</v>
      </c>
      <c r="D18">
        <v>2764</v>
      </c>
      <c r="E18" s="16">
        <v>0.116704141473781</v>
      </c>
      <c r="F18">
        <v>1518</v>
      </c>
      <c r="G18" s="16">
        <v>3.5949838885090499E-2</v>
      </c>
      <c r="H18">
        <v>1521</v>
      </c>
      <c r="I18" s="16">
        <v>2.56898730338561E-3</v>
      </c>
      <c r="J18">
        <v>1519</v>
      </c>
      <c r="K18" s="16">
        <v>0.59355343214879297</v>
      </c>
      <c r="L18">
        <v>1390</v>
      </c>
      <c r="M18" s="16">
        <v>0.119384198148711</v>
      </c>
      <c r="N18">
        <v>744</v>
      </c>
      <c r="O18" s="16">
        <v>3.0662463111738501E-2</v>
      </c>
      <c r="P18">
        <v>744</v>
      </c>
      <c r="Q18" s="16">
        <v>4.0030717071601798E-3</v>
      </c>
      <c r="R18">
        <v>743</v>
      </c>
      <c r="S18" s="16">
        <v>0.60068542755824395</v>
      </c>
      <c r="T18">
        <v>1374</v>
      </c>
      <c r="U18" s="16">
        <v>0.114189294552119</v>
      </c>
      <c r="V18">
        <v>774</v>
      </c>
      <c r="W18" s="16">
        <v>4.0877233911533001E-2</v>
      </c>
      <c r="X18">
        <v>777</v>
      </c>
      <c r="Y18" s="16">
        <v>1.22774508111983E-3</v>
      </c>
      <c r="Z18" s="11">
        <v>776</v>
      </c>
    </row>
    <row r="19" spans="1:26" outlineLevel="1" x14ac:dyDescent="0.25">
      <c r="A19" s="6" t="s">
        <v>14</v>
      </c>
      <c r="B19" t="s">
        <v>24</v>
      </c>
      <c r="C19" s="16">
        <v>0.51636116765270401</v>
      </c>
      <c r="D19">
        <v>1623</v>
      </c>
      <c r="E19" s="16">
        <v>0.23866696941305601</v>
      </c>
      <c r="F19">
        <v>852</v>
      </c>
      <c r="G19" s="16">
        <v>3.4857298836478201E-2</v>
      </c>
      <c r="H19">
        <v>853</v>
      </c>
      <c r="I19" s="16">
        <v>2.4088352368171001E-2</v>
      </c>
      <c r="J19">
        <v>850</v>
      </c>
      <c r="K19" s="16">
        <v>0.51469286754256305</v>
      </c>
      <c r="L19">
        <v>830</v>
      </c>
      <c r="M19" s="16">
        <v>0.216528763183469</v>
      </c>
      <c r="N19">
        <v>439</v>
      </c>
      <c r="O19" s="16">
        <v>2.1143007426306499E-2</v>
      </c>
      <c r="P19">
        <v>440</v>
      </c>
      <c r="Q19" s="16">
        <v>2.0973546714102599E-2</v>
      </c>
      <c r="R19">
        <v>439</v>
      </c>
      <c r="S19" s="16">
        <v>0.51806939851867495</v>
      </c>
      <c r="T19">
        <v>793</v>
      </c>
      <c r="U19" s="16">
        <v>0.261186790612493</v>
      </c>
      <c r="V19">
        <v>413</v>
      </c>
      <c r="W19" s="16">
        <v>4.8851280091367098E-2</v>
      </c>
      <c r="X19">
        <v>413</v>
      </c>
      <c r="Y19" s="16">
        <v>2.7271799419320099E-2</v>
      </c>
      <c r="Z19" s="11">
        <v>411</v>
      </c>
    </row>
    <row r="20" spans="1:26" outlineLevel="1" x14ac:dyDescent="0.25">
      <c r="A20" s="7" t="s">
        <v>14</v>
      </c>
      <c r="B20" s="9" t="s">
        <v>25</v>
      </c>
      <c r="C20" s="15">
        <v>0.58750576553521405</v>
      </c>
      <c r="D20" s="9">
        <v>1979</v>
      </c>
      <c r="E20" s="15">
        <v>0.13402672328026499</v>
      </c>
      <c r="F20" s="9">
        <v>1126</v>
      </c>
      <c r="G20" s="15">
        <v>6.0075788419229503E-2</v>
      </c>
      <c r="H20" s="9">
        <v>1125</v>
      </c>
      <c r="I20" s="15">
        <v>7.5645945213413703E-3</v>
      </c>
      <c r="J20" s="9">
        <v>1120</v>
      </c>
      <c r="K20" s="15">
        <v>0.59521274466566398</v>
      </c>
      <c r="L20" s="9">
        <v>940</v>
      </c>
      <c r="M20" s="15">
        <v>0.13128489562738799</v>
      </c>
      <c r="N20" s="9">
        <v>543</v>
      </c>
      <c r="O20" s="15">
        <v>5.8433965398252401E-2</v>
      </c>
      <c r="P20" s="9">
        <v>542</v>
      </c>
      <c r="Q20" s="15">
        <v>6.5419507172824604E-3</v>
      </c>
      <c r="R20" s="9">
        <v>538</v>
      </c>
      <c r="S20" s="15">
        <v>0.58039949447183004</v>
      </c>
      <c r="T20" s="9">
        <v>1039</v>
      </c>
      <c r="U20" s="15">
        <v>0.13662199270987299</v>
      </c>
      <c r="V20" s="9">
        <v>583</v>
      </c>
      <c r="W20" s="15">
        <v>6.1630960900628598E-2</v>
      </c>
      <c r="X20" s="9">
        <v>583</v>
      </c>
      <c r="Y20" s="15">
        <v>8.5315098708421896E-3</v>
      </c>
      <c r="Z20" s="12">
        <v>582</v>
      </c>
    </row>
    <row r="21" spans="1:26" x14ac:dyDescent="0.25">
      <c r="C21" s="16"/>
      <c r="E21" s="16"/>
      <c r="G21" s="16"/>
      <c r="I21" s="16"/>
      <c r="K21" s="16"/>
      <c r="M21" s="16"/>
      <c r="O21" s="16"/>
      <c r="Q21" s="16"/>
      <c r="S21" s="16"/>
      <c r="U21" s="16"/>
      <c r="W21" s="16"/>
      <c r="Y21" s="16"/>
    </row>
    <row r="22" spans="1:26" x14ac:dyDescent="0.25">
      <c r="A22" s="19" t="s">
        <v>26</v>
      </c>
      <c r="B22" s="19"/>
      <c r="C22" s="20"/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  <c r="U22" s="20"/>
      <c r="V22" s="19"/>
      <c r="W22" s="20"/>
      <c r="X22" s="19"/>
      <c r="Y22" s="20"/>
      <c r="Z22" s="19"/>
    </row>
    <row r="23" spans="1:26" outlineLevel="1" x14ac:dyDescent="0.25">
      <c r="A23" s="5" t="s">
        <v>14</v>
      </c>
      <c r="B23" s="8" t="s">
        <v>27</v>
      </c>
      <c r="C23" s="14">
        <v>0.66071642586719403</v>
      </c>
      <c r="D23" s="8">
        <v>337</v>
      </c>
      <c r="E23" s="14"/>
      <c r="F23" s="8"/>
      <c r="G23" s="14"/>
      <c r="H23" s="8"/>
      <c r="I23" s="14"/>
      <c r="J23" s="8"/>
      <c r="K23" s="14">
        <v>0.62354030216709899</v>
      </c>
      <c r="L23" s="8">
        <v>178</v>
      </c>
      <c r="M23" s="14"/>
      <c r="N23" s="8"/>
      <c r="O23" s="14"/>
      <c r="P23" s="8"/>
      <c r="Q23" s="14"/>
      <c r="R23" s="8"/>
      <c r="S23" s="14">
        <v>0.70306678209147599</v>
      </c>
      <c r="T23" s="8">
        <v>159</v>
      </c>
      <c r="U23" s="14"/>
      <c r="V23" s="8"/>
      <c r="W23" s="14"/>
      <c r="X23" s="8"/>
      <c r="Y23" s="14"/>
      <c r="Z23" s="10"/>
    </row>
    <row r="24" spans="1:26" outlineLevel="1" x14ac:dyDescent="0.25">
      <c r="A24" s="6" t="s">
        <v>14</v>
      </c>
      <c r="B24" t="s">
        <v>28</v>
      </c>
      <c r="C24" s="16">
        <v>0.77844138366827498</v>
      </c>
      <c r="D24">
        <v>451</v>
      </c>
      <c r="E24" s="16">
        <v>2.7254727335081701E-2</v>
      </c>
      <c r="F24">
        <v>341</v>
      </c>
      <c r="G24" s="16"/>
      <c r="I24" s="16"/>
      <c r="K24" s="16">
        <v>0.77158645255913105</v>
      </c>
      <c r="L24">
        <v>204</v>
      </c>
      <c r="M24" s="16">
        <v>2.3553991427903299E-2</v>
      </c>
      <c r="N24">
        <v>150</v>
      </c>
      <c r="O24" s="16"/>
      <c r="Q24" s="16"/>
      <c r="S24" s="16">
        <v>0.78437779912690397</v>
      </c>
      <c r="T24">
        <v>247</v>
      </c>
      <c r="U24" s="16">
        <v>3.0407325275463699E-2</v>
      </c>
      <c r="V24">
        <v>191</v>
      </c>
      <c r="W24" s="16"/>
      <c r="Y24" s="16"/>
      <c r="Z24" s="11"/>
    </row>
    <row r="25" spans="1:26" outlineLevel="1" x14ac:dyDescent="0.25">
      <c r="A25" s="6" t="s">
        <v>14</v>
      </c>
      <c r="B25" t="s">
        <v>29</v>
      </c>
      <c r="C25" s="16">
        <v>0.773434227651427</v>
      </c>
      <c r="D25">
        <v>752</v>
      </c>
      <c r="E25" s="16">
        <v>5.9705262864998901E-2</v>
      </c>
      <c r="F25">
        <v>553</v>
      </c>
      <c r="G25" s="16">
        <v>0.158412722392067</v>
      </c>
      <c r="H25">
        <v>553</v>
      </c>
      <c r="I25" s="16">
        <v>1.5679219533166099E-2</v>
      </c>
      <c r="J25">
        <v>554</v>
      </c>
      <c r="K25" s="16">
        <v>0.74011673197112304</v>
      </c>
      <c r="L25">
        <v>347</v>
      </c>
      <c r="M25" s="16">
        <v>3.209566962595E-2</v>
      </c>
      <c r="N25">
        <v>246</v>
      </c>
      <c r="O25" s="16">
        <v>0.14832814919870799</v>
      </c>
      <c r="P25">
        <v>247</v>
      </c>
      <c r="Q25" s="16">
        <v>4.6296227275869203E-3</v>
      </c>
      <c r="R25">
        <v>247</v>
      </c>
      <c r="S25" s="16">
        <v>0.80040674520773902</v>
      </c>
      <c r="T25">
        <v>405</v>
      </c>
      <c r="U25" s="16">
        <v>8.0299497757351401E-2</v>
      </c>
      <c r="V25">
        <v>307</v>
      </c>
      <c r="W25" s="16">
        <v>0.16597181416154899</v>
      </c>
      <c r="X25">
        <v>306</v>
      </c>
      <c r="Y25" s="16">
        <v>2.3950734275186802E-2</v>
      </c>
      <c r="Z25" s="11">
        <v>307</v>
      </c>
    </row>
    <row r="26" spans="1:26" outlineLevel="1" x14ac:dyDescent="0.25">
      <c r="A26" s="6" t="s">
        <v>14</v>
      </c>
      <c r="B26" t="s">
        <v>30</v>
      </c>
      <c r="C26" s="16">
        <v>0.824465068635583</v>
      </c>
      <c r="D26">
        <v>432</v>
      </c>
      <c r="E26" s="16">
        <v>5.2866325241933902E-2</v>
      </c>
      <c r="F26">
        <v>368</v>
      </c>
      <c r="G26" s="16">
        <v>7.3175704794704394E-2</v>
      </c>
      <c r="H26">
        <v>370</v>
      </c>
      <c r="I26" s="16"/>
      <c r="K26" s="16">
        <v>0.78442988220991205</v>
      </c>
      <c r="L26">
        <v>208</v>
      </c>
      <c r="M26" s="16">
        <v>5.1046077785005001E-2</v>
      </c>
      <c r="N26">
        <v>174</v>
      </c>
      <c r="O26" s="16">
        <v>8.0934777919798098E-2</v>
      </c>
      <c r="P26">
        <v>174</v>
      </c>
      <c r="Q26" s="16"/>
      <c r="S26" s="16">
        <v>0.86333424878138798</v>
      </c>
      <c r="T26">
        <v>224</v>
      </c>
      <c r="U26" s="16">
        <v>5.44980015450501E-2</v>
      </c>
      <c r="V26">
        <v>194</v>
      </c>
      <c r="W26" s="16">
        <v>6.6331097598383404E-2</v>
      </c>
      <c r="X26">
        <v>196</v>
      </c>
      <c r="Y26" s="16"/>
      <c r="Z26" s="11"/>
    </row>
    <row r="27" spans="1:26" outlineLevel="1" x14ac:dyDescent="0.25">
      <c r="A27" s="6" t="s">
        <v>14</v>
      </c>
      <c r="B27" t="s">
        <v>31</v>
      </c>
      <c r="C27" s="16">
        <v>0.61063611396245399</v>
      </c>
      <c r="D27">
        <v>517</v>
      </c>
      <c r="E27" s="16">
        <v>0.25731575993343198</v>
      </c>
      <c r="F27">
        <v>314</v>
      </c>
      <c r="G27" s="16">
        <v>1.5509416184937E-2</v>
      </c>
      <c r="H27">
        <v>317</v>
      </c>
      <c r="I27" s="16">
        <v>3.6515559991657201E-3</v>
      </c>
      <c r="J27">
        <v>318</v>
      </c>
      <c r="K27" s="16">
        <v>0.617375827257723</v>
      </c>
      <c r="L27">
        <v>239</v>
      </c>
      <c r="M27" s="16">
        <v>0.26749522121021002</v>
      </c>
      <c r="N27">
        <v>147</v>
      </c>
      <c r="O27" s="16">
        <v>3.7698203385249499E-3</v>
      </c>
      <c r="P27">
        <v>149</v>
      </c>
      <c r="Q27" s="16">
        <v>4.0526004652842399E-3</v>
      </c>
      <c r="R27">
        <v>149</v>
      </c>
      <c r="S27" s="16">
        <v>0.60521901535386402</v>
      </c>
      <c r="T27">
        <v>278</v>
      </c>
      <c r="U27" s="16">
        <v>0.24888213343527199</v>
      </c>
      <c r="V27">
        <v>167</v>
      </c>
      <c r="W27" s="16">
        <v>2.51496422425849E-2</v>
      </c>
      <c r="X27">
        <v>168</v>
      </c>
      <c r="Y27" s="16">
        <v>3.3227385139949798E-3</v>
      </c>
      <c r="Z27" s="11">
        <v>169</v>
      </c>
    </row>
    <row r="28" spans="1:26" outlineLevel="1" x14ac:dyDescent="0.25">
      <c r="A28" s="6" t="s">
        <v>14</v>
      </c>
      <c r="B28" t="s">
        <v>32</v>
      </c>
      <c r="C28" s="16">
        <v>0.62369510981425003</v>
      </c>
      <c r="D28">
        <v>544</v>
      </c>
      <c r="E28" s="16">
        <v>9.0712060063633304E-2</v>
      </c>
      <c r="F28">
        <v>353</v>
      </c>
      <c r="G28" s="16">
        <v>0.103915796816587</v>
      </c>
      <c r="H28">
        <v>353</v>
      </c>
      <c r="I28" s="16"/>
      <c r="K28" s="16">
        <v>0.63890486904694199</v>
      </c>
      <c r="L28">
        <v>276</v>
      </c>
      <c r="M28" s="16">
        <v>0.10961500457878599</v>
      </c>
      <c r="N28">
        <v>184</v>
      </c>
      <c r="O28" s="16">
        <v>0.13279120894097701</v>
      </c>
      <c r="P28">
        <v>184</v>
      </c>
      <c r="Q28" s="16"/>
      <c r="S28" s="16">
        <v>0.60787879318187499</v>
      </c>
      <c r="T28">
        <v>268</v>
      </c>
      <c r="U28" s="16">
        <v>7.0013132935528202E-2</v>
      </c>
      <c r="V28">
        <v>169</v>
      </c>
      <c r="W28" s="16">
        <v>7.2098490165795101E-2</v>
      </c>
      <c r="X28">
        <v>169</v>
      </c>
      <c r="Y28" s="16"/>
      <c r="Z28" s="11"/>
    </row>
    <row r="29" spans="1:26" outlineLevel="1" x14ac:dyDescent="0.25">
      <c r="A29" s="6" t="s">
        <v>14</v>
      </c>
      <c r="B29" t="s">
        <v>33</v>
      </c>
      <c r="C29" s="16">
        <v>0.59597444961770296</v>
      </c>
      <c r="D29">
        <v>325</v>
      </c>
      <c r="E29" s="16">
        <v>4.9745086244156701E-3</v>
      </c>
      <c r="F29">
        <v>192</v>
      </c>
      <c r="G29" s="16">
        <v>3.3201035042450401E-2</v>
      </c>
      <c r="H29">
        <v>192</v>
      </c>
      <c r="I29" s="16"/>
      <c r="K29" s="16">
        <v>0.60308711679722804</v>
      </c>
      <c r="L29">
        <v>174</v>
      </c>
      <c r="M29" s="16">
        <v>4.5530183534145396E-3</v>
      </c>
      <c r="N29">
        <v>103</v>
      </c>
      <c r="O29" s="16">
        <v>6.0775820614198998E-2</v>
      </c>
      <c r="P29">
        <v>103</v>
      </c>
      <c r="Q29" s="16"/>
      <c r="S29" s="16">
        <v>0.58763003451610196</v>
      </c>
      <c r="T29">
        <v>151</v>
      </c>
      <c r="U29" s="16">
        <v>5.4819980923264296E-3</v>
      </c>
      <c r="V29">
        <v>89</v>
      </c>
      <c r="W29" s="16"/>
      <c r="Y29" s="16"/>
      <c r="Z29" s="11"/>
    </row>
    <row r="30" spans="1:26" outlineLevel="1" x14ac:dyDescent="0.25">
      <c r="A30" s="6" t="s">
        <v>14</v>
      </c>
      <c r="B30" t="s">
        <v>34</v>
      </c>
      <c r="C30" s="16">
        <v>0.65521165862330299</v>
      </c>
      <c r="D30">
        <v>687</v>
      </c>
      <c r="E30" s="16">
        <v>3.2090968335383899E-2</v>
      </c>
      <c r="F30">
        <v>477</v>
      </c>
      <c r="G30" s="16">
        <v>2.9815488643127799E-2</v>
      </c>
      <c r="H30">
        <v>478</v>
      </c>
      <c r="I30" s="16">
        <v>2.0454003077616901E-2</v>
      </c>
      <c r="J30">
        <v>478</v>
      </c>
      <c r="K30" s="16">
        <v>0.66100829940469297</v>
      </c>
      <c r="L30">
        <v>324</v>
      </c>
      <c r="M30" s="16">
        <v>3.08560498221465E-2</v>
      </c>
      <c r="N30">
        <v>229</v>
      </c>
      <c r="O30" s="16">
        <v>3.2495058915070298E-2</v>
      </c>
      <c r="P30">
        <v>229</v>
      </c>
      <c r="Q30" s="16">
        <v>2.3658846518916799E-2</v>
      </c>
      <c r="R30">
        <v>229</v>
      </c>
      <c r="S30" s="16">
        <v>0.65036473694699704</v>
      </c>
      <c r="T30">
        <v>363</v>
      </c>
      <c r="U30" s="16">
        <v>3.3148158769181299E-2</v>
      </c>
      <c r="V30">
        <v>248</v>
      </c>
      <c r="W30" s="16">
        <v>2.7538270204594598E-2</v>
      </c>
      <c r="X30">
        <v>249</v>
      </c>
      <c r="Y30" s="16">
        <v>1.77303840505071E-2</v>
      </c>
      <c r="Z30" s="11">
        <v>249</v>
      </c>
    </row>
    <row r="31" spans="1:26" outlineLevel="1" x14ac:dyDescent="0.25">
      <c r="A31" s="6" t="s">
        <v>14</v>
      </c>
      <c r="B31" t="s">
        <v>35</v>
      </c>
      <c r="C31" s="16">
        <v>0.73020416925917897</v>
      </c>
      <c r="D31">
        <v>1049</v>
      </c>
      <c r="E31" s="16">
        <v>1.35111900677298E-2</v>
      </c>
      <c r="F31">
        <v>745</v>
      </c>
      <c r="G31" s="16">
        <v>4.6853414528907102E-2</v>
      </c>
      <c r="H31">
        <v>746</v>
      </c>
      <c r="I31" s="16">
        <v>2.4739928455163099E-2</v>
      </c>
      <c r="J31">
        <v>744</v>
      </c>
      <c r="K31" s="16">
        <v>0.73147672364281602</v>
      </c>
      <c r="L31">
        <v>509</v>
      </c>
      <c r="M31" s="16">
        <v>1.6044540829387801E-2</v>
      </c>
      <c r="N31">
        <v>363</v>
      </c>
      <c r="O31" s="16">
        <v>3.6805220347934701E-2</v>
      </c>
      <c r="P31">
        <v>364</v>
      </c>
      <c r="Q31" s="16">
        <v>1.7499792741019898E-2</v>
      </c>
      <c r="R31">
        <v>363</v>
      </c>
      <c r="S31" s="16">
        <v>0.72904609901373396</v>
      </c>
      <c r="T31">
        <v>540</v>
      </c>
      <c r="U31" s="16">
        <v>1.12248679583916E-2</v>
      </c>
      <c r="V31">
        <v>382</v>
      </c>
      <c r="W31" s="16">
        <v>5.6028119163240603E-2</v>
      </c>
      <c r="X31">
        <v>382</v>
      </c>
      <c r="Y31" s="16">
        <v>3.1349717344604899E-2</v>
      </c>
      <c r="Z31" s="11">
        <v>381</v>
      </c>
    </row>
    <row r="32" spans="1:26" outlineLevel="1" x14ac:dyDescent="0.25">
      <c r="A32" s="6" t="s">
        <v>14</v>
      </c>
      <c r="B32" t="s">
        <v>36</v>
      </c>
      <c r="C32" s="16">
        <v>0.77864046083518001</v>
      </c>
      <c r="D32">
        <v>608</v>
      </c>
      <c r="E32" s="16">
        <v>8.1560628866746004E-2</v>
      </c>
      <c r="F32">
        <v>476</v>
      </c>
      <c r="G32" s="16">
        <v>0.26470111990175998</v>
      </c>
      <c r="H32">
        <v>475</v>
      </c>
      <c r="I32" s="16">
        <v>1.5856718262102401E-3</v>
      </c>
      <c r="J32">
        <v>474</v>
      </c>
      <c r="K32" s="16">
        <v>0.81279706217877501</v>
      </c>
      <c r="L32">
        <v>280</v>
      </c>
      <c r="M32" s="16">
        <v>7.1637786498736894E-2</v>
      </c>
      <c r="N32">
        <v>232</v>
      </c>
      <c r="O32" s="16">
        <v>0.30129653583728799</v>
      </c>
      <c r="P32">
        <v>231</v>
      </c>
      <c r="Q32" s="16">
        <v>3.2885713760225101E-3</v>
      </c>
      <c r="R32">
        <v>230</v>
      </c>
      <c r="S32" s="16">
        <v>0.749016744658351</v>
      </c>
      <c r="T32">
        <v>328</v>
      </c>
      <c r="U32" s="16">
        <v>9.0899439691083495E-2</v>
      </c>
      <c r="V32">
        <v>244</v>
      </c>
      <c r="W32" s="16">
        <v>0.23036762744556899</v>
      </c>
      <c r="X32">
        <v>244</v>
      </c>
      <c r="Y32" s="16"/>
      <c r="Z32" s="11"/>
    </row>
    <row r="33" spans="1:26" outlineLevel="1" x14ac:dyDescent="0.25">
      <c r="A33" s="6" t="s">
        <v>14</v>
      </c>
      <c r="B33" t="s">
        <v>37</v>
      </c>
      <c r="C33" s="16">
        <v>0.73034734038650895</v>
      </c>
      <c r="D33">
        <v>494</v>
      </c>
      <c r="E33" s="16">
        <v>2.1416760713974501E-2</v>
      </c>
      <c r="F33">
        <v>361</v>
      </c>
      <c r="G33" s="16">
        <v>8.2926508014198996E-3</v>
      </c>
      <c r="H33">
        <v>361</v>
      </c>
      <c r="I33" s="16">
        <v>1.9302030199916699E-3</v>
      </c>
      <c r="J33">
        <v>361</v>
      </c>
      <c r="K33" s="16">
        <v>0.75105289912710205</v>
      </c>
      <c r="L33">
        <v>237</v>
      </c>
      <c r="M33" s="16">
        <v>2.6402322749050699E-2</v>
      </c>
      <c r="N33">
        <v>176</v>
      </c>
      <c r="O33" s="16">
        <v>8.4038532151191492E-3</v>
      </c>
      <c r="P33">
        <v>176</v>
      </c>
      <c r="Q33" s="16"/>
      <c r="S33" s="16">
        <v>0.71125121159175597</v>
      </c>
      <c r="T33">
        <v>257</v>
      </c>
      <c r="U33" s="16">
        <v>1.6561416626053298E-2</v>
      </c>
      <c r="V33">
        <v>185</v>
      </c>
      <c r="W33" s="16">
        <v>8.1843528847319498E-3</v>
      </c>
      <c r="X33">
        <v>185</v>
      </c>
      <c r="Y33" s="16">
        <v>3.8099910470322201E-3</v>
      </c>
      <c r="Z33" s="11">
        <v>185</v>
      </c>
    </row>
    <row r="34" spans="1:26" outlineLevel="1" x14ac:dyDescent="0.25">
      <c r="A34" s="6" t="s">
        <v>14</v>
      </c>
      <c r="B34" t="s">
        <v>38</v>
      </c>
      <c r="C34" s="16">
        <v>0.50921327239434599</v>
      </c>
      <c r="D34">
        <v>1412</v>
      </c>
      <c r="E34" s="16">
        <v>0.109418940273823</v>
      </c>
      <c r="F34">
        <v>656</v>
      </c>
      <c r="G34" s="16">
        <v>5.3441585207563702E-2</v>
      </c>
      <c r="H34">
        <v>657</v>
      </c>
      <c r="I34" s="16">
        <v>2.7807298241854998E-3</v>
      </c>
      <c r="J34">
        <v>657</v>
      </c>
      <c r="K34" s="16">
        <v>0.48827782919104901</v>
      </c>
      <c r="L34">
        <v>741</v>
      </c>
      <c r="M34" s="16">
        <v>0.147765253324917</v>
      </c>
      <c r="N34">
        <v>328</v>
      </c>
      <c r="O34" s="16">
        <v>4.08034556532949E-2</v>
      </c>
      <c r="P34">
        <v>327</v>
      </c>
      <c r="Q34" s="16">
        <v>5.7836192628257198E-3</v>
      </c>
      <c r="R34">
        <v>327</v>
      </c>
      <c r="S34" s="16">
        <v>0.53029871270144302</v>
      </c>
      <c r="T34">
        <v>671</v>
      </c>
      <c r="U34" s="16">
        <v>7.3660035566360305E-2</v>
      </c>
      <c r="V34">
        <v>328</v>
      </c>
      <c r="W34" s="16">
        <v>6.5053932766911099E-2</v>
      </c>
      <c r="X34">
        <v>330</v>
      </c>
      <c r="Y34" s="16"/>
      <c r="Z34" s="11"/>
    </row>
    <row r="35" spans="1:26" outlineLevel="1" x14ac:dyDescent="0.25">
      <c r="A35" s="6" t="s">
        <v>14</v>
      </c>
      <c r="B35" t="s">
        <v>39</v>
      </c>
      <c r="C35" s="16">
        <v>0.75849441143095497</v>
      </c>
      <c r="D35">
        <v>545</v>
      </c>
      <c r="E35" s="16">
        <v>0.124297516250071</v>
      </c>
      <c r="F35">
        <v>352</v>
      </c>
      <c r="G35" s="16">
        <v>6.5087901504214899E-3</v>
      </c>
      <c r="H35">
        <v>353</v>
      </c>
      <c r="I35" s="16"/>
      <c r="K35" s="16">
        <v>0.80905072823756097</v>
      </c>
      <c r="L35">
        <v>261</v>
      </c>
      <c r="M35" s="16">
        <v>8.2551573890765104E-2</v>
      </c>
      <c r="N35">
        <v>172</v>
      </c>
      <c r="O35" s="16">
        <v>9.0399876859913707E-3</v>
      </c>
      <c r="P35">
        <v>172</v>
      </c>
      <c r="Q35" s="16"/>
      <c r="S35" s="16">
        <v>0.71712923611172097</v>
      </c>
      <c r="T35">
        <v>284</v>
      </c>
      <c r="U35" s="16">
        <v>0.16291277832093701</v>
      </c>
      <c r="V35">
        <v>180</v>
      </c>
      <c r="W35" s="16">
        <v>4.17230079652738E-3</v>
      </c>
      <c r="X35">
        <v>181</v>
      </c>
      <c r="Y35" s="16"/>
      <c r="Z35" s="11"/>
    </row>
    <row r="36" spans="1:26" outlineLevel="1" x14ac:dyDescent="0.25">
      <c r="A36" s="6" t="s">
        <v>14</v>
      </c>
      <c r="B36" t="s">
        <v>40</v>
      </c>
      <c r="C36" s="16">
        <v>0.62076913765818098</v>
      </c>
      <c r="D36">
        <v>489</v>
      </c>
      <c r="E36" s="16">
        <v>3.2582805536870998E-2</v>
      </c>
      <c r="F36">
        <v>302</v>
      </c>
      <c r="G36" s="16"/>
      <c r="I36" s="16"/>
      <c r="K36" s="16">
        <v>0.63206686092291797</v>
      </c>
      <c r="L36">
        <v>239</v>
      </c>
      <c r="M36" s="16">
        <v>3.18715680293064E-2</v>
      </c>
      <c r="N36">
        <v>149</v>
      </c>
      <c r="O36" s="16"/>
      <c r="Q36" s="16"/>
      <c r="S36" s="16">
        <v>0.60937969914324197</v>
      </c>
      <c r="T36">
        <v>250</v>
      </c>
      <c r="U36" s="16">
        <v>3.3326511171936003E-2</v>
      </c>
      <c r="V36">
        <v>153</v>
      </c>
      <c r="W36" s="16"/>
      <c r="Y36" s="16"/>
      <c r="Z36" s="11"/>
    </row>
    <row r="37" spans="1:26" outlineLevel="1" x14ac:dyDescent="0.25">
      <c r="A37" s="6" t="s">
        <v>14</v>
      </c>
      <c r="B37" t="s">
        <v>41</v>
      </c>
      <c r="C37" s="16">
        <v>0.65937503718707802</v>
      </c>
      <c r="D37">
        <v>318</v>
      </c>
      <c r="E37" s="16">
        <v>0.314414813921706</v>
      </c>
      <c r="F37">
        <v>208</v>
      </c>
      <c r="G37" s="16">
        <v>0.136152029734497</v>
      </c>
      <c r="H37">
        <v>209</v>
      </c>
      <c r="I37" s="16">
        <v>1.94175969414793E-2</v>
      </c>
      <c r="J37">
        <v>209</v>
      </c>
      <c r="K37" s="16">
        <v>0.64637640379573602</v>
      </c>
      <c r="L37">
        <v>149</v>
      </c>
      <c r="M37" s="16">
        <v>0.31301279887095401</v>
      </c>
      <c r="N37">
        <v>95</v>
      </c>
      <c r="O37" s="16">
        <v>0.14265042868928099</v>
      </c>
      <c r="P37">
        <v>96</v>
      </c>
      <c r="Q37" s="16">
        <v>2.1246260401365801E-2</v>
      </c>
      <c r="R37">
        <v>96</v>
      </c>
      <c r="S37" s="16">
        <v>0.67072546422517998</v>
      </c>
      <c r="T37">
        <v>169</v>
      </c>
      <c r="U37" s="16">
        <v>0.315581421952638</v>
      </c>
      <c r="V37">
        <v>113</v>
      </c>
      <c r="W37" s="16">
        <v>0.130683613351948</v>
      </c>
      <c r="X37">
        <v>113</v>
      </c>
      <c r="Y37" s="16">
        <v>1.78787727954412E-2</v>
      </c>
      <c r="Z37" s="11">
        <v>113</v>
      </c>
    </row>
    <row r="38" spans="1:26" outlineLevel="1" x14ac:dyDescent="0.25">
      <c r="A38" s="6" t="s">
        <v>14</v>
      </c>
      <c r="B38" t="s">
        <v>42</v>
      </c>
      <c r="C38" s="16">
        <v>0.41348975829883999</v>
      </c>
      <c r="D38">
        <v>890</v>
      </c>
      <c r="E38" s="16">
        <v>0.205456698645261</v>
      </c>
      <c r="F38">
        <v>350</v>
      </c>
      <c r="G38" s="16">
        <v>6.54613769347481E-2</v>
      </c>
      <c r="H38">
        <v>350</v>
      </c>
      <c r="I38" s="16">
        <v>2.31905006772847E-2</v>
      </c>
      <c r="J38">
        <v>349</v>
      </c>
      <c r="K38" s="16">
        <v>0.39235122325509802</v>
      </c>
      <c r="L38">
        <v>446</v>
      </c>
      <c r="M38" s="16">
        <v>0.20035399556785499</v>
      </c>
      <c r="N38">
        <v>170</v>
      </c>
      <c r="O38" s="16">
        <v>4.0069112441507501E-2</v>
      </c>
      <c r="P38">
        <v>170</v>
      </c>
      <c r="Q38" s="16">
        <v>1.92480822533838E-2</v>
      </c>
      <c r="R38">
        <v>170</v>
      </c>
      <c r="S38" s="16">
        <v>0.43429766598055403</v>
      </c>
      <c r="T38">
        <v>444</v>
      </c>
      <c r="U38" s="16">
        <v>0.21000817857097601</v>
      </c>
      <c r="V38">
        <v>180</v>
      </c>
      <c r="W38" s="16">
        <v>8.8110623884108799E-2</v>
      </c>
      <c r="X38">
        <v>180</v>
      </c>
      <c r="Y38" s="16">
        <v>2.6717702521849799E-2</v>
      </c>
      <c r="Z38" s="11">
        <v>179</v>
      </c>
    </row>
    <row r="39" spans="1:26" outlineLevel="1" x14ac:dyDescent="0.25">
      <c r="A39" s="6" t="s">
        <v>14</v>
      </c>
      <c r="B39" t="s">
        <v>43</v>
      </c>
      <c r="C39" s="16">
        <v>0.66075716029875298</v>
      </c>
      <c r="D39">
        <v>450</v>
      </c>
      <c r="E39" s="16">
        <v>0.229154109748021</v>
      </c>
      <c r="F39">
        <v>300</v>
      </c>
      <c r="G39" s="16"/>
      <c r="I39" s="16">
        <v>6.8135308754933002E-3</v>
      </c>
      <c r="J39">
        <v>303</v>
      </c>
      <c r="K39" s="16">
        <v>0.69387408283193697</v>
      </c>
      <c r="L39">
        <v>247</v>
      </c>
      <c r="M39" s="16">
        <v>0.20878163588304099</v>
      </c>
      <c r="N39">
        <v>173</v>
      </c>
      <c r="O39" s="16"/>
      <c r="Q39" s="16">
        <v>1.2125189658766199E-2</v>
      </c>
      <c r="R39">
        <v>175</v>
      </c>
      <c r="S39" s="16">
        <v>0.62263769705604399</v>
      </c>
      <c r="T39">
        <v>203</v>
      </c>
      <c r="U39" s="16">
        <v>0.25511562879812399</v>
      </c>
      <c r="V39">
        <v>127</v>
      </c>
      <c r="W39" s="16"/>
      <c r="Y39" s="16"/>
      <c r="Z39" s="11"/>
    </row>
    <row r="40" spans="1:26" outlineLevel="1" x14ac:dyDescent="0.25">
      <c r="A40" s="6" t="s">
        <v>14</v>
      </c>
      <c r="B40" t="s">
        <v>44</v>
      </c>
      <c r="C40" s="16">
        <v>0.716879967189613</v>
      </c>
      <c r="D40">
        <v>283</v>
      </c>
      <c r="E40" s="16">
        <v>0.37115178218381101</v>
      </c>
      <c r="F40">
        <v>202</v>
      </c>
      <c r="G40" s="16">
        <v>1.9948518704032799E-2</v>
      </c>
      <c r="H40">
        <v>200</v>
      </c>
      <c r="I40" s="16">
        <v>7.0539905529965197E-2</v>
      </c>
      <c r="J40">
        <v>198</v>
      </c>
      <c r="K40" s="16">
        <v>0.70021544504740896</v>
      </c>
      <c r="L40">
        <v>137</v>
      </c>
      <c r="M40" s="16">
        <v>0.29161588958426898</v>
      </c>
      <c r="N40">
        <v>96</v>
      </c>
      <c r="O40" s="16">
        <v>2.0995596318697501E-2</v>
      </c>
      <c r="P40">
        <v>95</v>
      </c>
      <c r="Q40" s="16">
        <v>5.3059061963108098E-2</v>
      </c>
      <c r="R40">
        <v>94</v>
      </c>
      <c r="S40" s="16">
        <v>0.73252552726328901</v>
      </c>
      <c r="T40">
        <v>146</v>
      </c>
      <c r="U40" s="16">
        <v>0.44320251228956298</v>
      </c>
      <c r="V40">
        <v>106</v>
      </c>
      <c r="W40" s="16">
        <v>1.9000918270262498E-2</v>
      </c>
      <c r="X40">
        <v>105</v>
      </c>
      <c r="Y40" s="16">
        <v>8.6343681988132207E-2</v>
      </c>
      <c r="Z40" s="11">
        <v>104</v>
      </c>
    </row>
    <row r="41" spans="1:26" outlineLevel="1" x14ac:dyDescent="0.25">
      <c r="A41" s="6" t="s">
        <v>14</v>
      </c>
      <c r="B41" t="s">
        <v>45</v>
      </c>
      <c r="C41" s="16">
        <v>0.57215496375930996</v>
      </c>
      <c r="D41">
        <v>813</v>
      </c>
      <c r="E41" s="16">
        <v>4.8392624440579603E-2</v>
      </c>
      <c r="F41">
        <v>422</v>
      </c>
      <c r="G41" s="16">
        <v>1.44470449280993E-2</v>
      </c>
      <c r="H41">
        <v>421</v>
      </c>
      <c r="I41" s="16">
        <v>1.56939737354912E-3</v>
      </c>
      <c r="J41">
        <v>421</v>
      </c>
      <c r="K41" s="16">
        <v>0.57162620882920601</v>
      </c>
      <c r="L41">
        <v>375</v>
      </c>
      <c r="M41" s="16">
        <v>5.3650553953287397E-2</v>
      </c>
      <c r="N41">
        <v>191</v>
      </c>
      <c r="O41" s="16">
        <v>1.38911331620438E-2</v>
      </c>
      <c r="P41">
        <v>190</v>
      </c>
      <c r="Q41" s="16">
        <v>1.5558808525491201E-4</v>
      </c>
      <c r="R41">
        <v>190</v>
      </c>
      <c r="S41" s="16">
        <v>0.57263957146046196</v>
      </c>
      <c r="T41">
        <v>438</v>
      </c>
      <c r="U41" s="16">
        <v>4.3582221922685599E-2</v>
      </c>
      <c r="V41">
        <v>231</v>
      </c>
      <c r="W41" s="16">
        <v>1.4955565805182E-2</v>
      </c>
      <c r="X41">
        <v>231</v>
      </c>
      <c r="Y41" s="16">
        <v>2.8626710575832999E-3</v>
      </c>
      <c r="Z41" s="11">
        <v>231</v>
      </c>
    </row>
    <row r="42" spans="1:26" outlineLevel="1" x14ac:dyDescent="0.25">
      <c r="A42" s="6" t="s">
        <v>14</v>
      </c>
      <c r="B42" t="s">
        <v>46</v>
      </c>
      <c r="C42" s="16">
        <v>0.715974423723308</v>
      </c>
      <c r="D42">
        <v>612</v>
      </c>
      <c r="E42" s="16">
        <v>0.45930131981754202</v>
      </c>
      <c r="F42">
        <v>391</v>
      </c>
      <c r="G42" s="16">
        <v>0.35407160116816699</v>
      </c>
      <c r="H42">
        <v>393</v>
      </c>
      <c r="I42" s="16">
        <v>4.2223165718751898E-2</v>
      </c>
      <c r="J42">
        <v>388</v>
      </c>
      <c r="K42" s="16">
        <v>0.718938165061631</v>
      </c>
      <c r="L42">
        <v>306</v>
      </c>
      <c r="M42" s="16">
        <v>0.43137563210462698</v>
      </c>
      <c r="N42">
        <v>197</v>
      </c>
      <c r="O42" s="16">
        <v>0.3296679724255</v>
      </c>
      <c r="P42">
        <v>197</v>
      </c>
      <c r="Q42" s="16">
        <v>4.3779826966946697E-2</v>
      </c>
      <c r="R42">
        <v>193</v>
      </c>
      <c r="S42" s="16">
        <v>0.71289502521861503</v>
      </c>
      <c r="T42">
        <v>306</v>
      </c>
      <c r="U42" s="16">
        <v>0.48879219485172398</v>
      </c>
      <c r="V42">
        <v>194</v>
      </c>
      <c r="W42" s="16">
        <v>0.37957396530081899</v>
      </c>
      <c r="X42">
        <v>196</v>
      </c>
      <c r="Y42" s="16">
        <v>4.0620464503673001E-2</v>
      </c>
      <c r="Z42" s="11">
        <v>195</v>
      </c>
    </row>
    <row r="43" spans="1:26" outlineLevel="1" x14ac:dyDescent="0.25">
      <c r="A43" s="7" t="s">
        <v>14</v>
      </c>
      <c r="B43" s="9" t="s">
        <v>47</v>
      </c>
      <c r="C43" s="15">
        <v>0.56482393686743604</v>
      </c>
      <c r="D43" s="9">
        <v>554</v>
      </c>
      <c r="E43" s="15">
        <v>0.191179749171321</v>
      </c>
      <c r="F43" s="9">
        <v>313</v>
      </c>
      <c r="G43" s="15"/>
      <c r="H43" s="9"/>
      <c r="I43" s="15">
        <v>2.96241696216941E-3</v>
      </c>
      <c r="J43" s="9">
        <v>311</v>
      </c>
      <c r="K43" s="15">
        <v>0.59885345038356497</v>
      </c>
      <c r="L43" s="9">
        <v>259</v>
      </c>
      <c r="M43" s="15">
        <v>0.16151722290262299</v>
      </c>
      <c r="N43" s="9">
        <v>155</v>
      </c>
      <c r="O43" s="15"/>
      <c r="P43" s="9"/>
      <c r="Q43" s="15"/>
      <c r="R43" s="9"/>
      <c r="S43" s="15">
        <v>0.53496044300888501</v>
      </c>
      <c r="T43" s="9">
        <v>295</v>
      </c>
      <c r="U43" s="15">
        <v>0.22031990688787201</v>
      </c>
      <c r="V43" s="9">
        <v>158</v>
      </c>
      <c r="W43" s="15"/>
      <c r="X43" s="9"/>
      <c r="Y43" s="15">
        <v>5.9148640424036402E-3</v>
      </c>
      <c r="Z43" s="12">
        <v>156</v>
      </c>
    </row>
    <row r="44" spans="1:26" x14ac:dyDescent="0.25">
      <c r="C44" s="16"/>
      <c r="E44" s="16"/>
      <c r="G44" s="16"/>
      <c r="I44" s="16"/>
      <c r="K44" s="16"/>
      <c r="M44" s="16"/>
      <c r="O44" s="16"/>
      <c r="Q44" s="16"/>
      <c r="S44" s="16"/>
      <c r="U44" s="16"/>
      <c r="W44" s="16"/>
      <c r="Y44" s="16"/>
    </row>
    <row r="45" spans="1:26" x14ac:dyDescent="0.25">
      <c r="A45" s="19" t="s">
        <v>48</v>
      </c>
      <c r="B45" s="19"/>
      <c r="C45" s="20"/>
      <c r="D45" s="19"/>
      <c r="E45" s="20"/>
      <c r="F45" s="19"/>
      <c r="G45" s="20"/>
      <c r="H45" s="19"/>
      <c r="I45" s="20"/>
      <c r="J45" s="19"/>
      <c r="K45" s="20"/>
      <c r="L45" s="19"/>
      <c r="M45" s="20"/>
      <c r="N45" s="19"/>
      <c r="O45" s="20"/>
      <c r="P45" s="19"/>
      <c r="Q45" s="20"/>
      <c r="R45" s="19"/>
      <c r="S45" s="20"/>
      <c r="T45" s="19"/>
      <c r="U45" s="20"/>
      <c r="V45" s="19"/>
      <c r="W45" s="20"/>
      <c r="X45" s="19"/>
      <c r="Y45" s="20"/>
      <c r="Z45" s="19"/>
    </row>
    <row r="46" spans="1:26" outlineLevel="1" x14ac:dyDescent="0.25">
      <c r="A46" s="5" t="s">
        <v>14</v>
      </c>
      <c r="B46" s="8" t="s">
        <v>49</v>
      </c>
      <c r="C46" s="14">
        <v>0.64480193791316898</v>
      </c>
      <c r="D46" s="8">
        <v>2000</v>
      </c>
      <c r="E46" s="14">
        <v>3.5316209172048002E-2</v>
      </c>
      <c r="F46" s="8">
        <v>1082</v>
      </c>
      <c r="G46" s="14">
        <v>5.48726443689036E-2</v>
      </c>
      <c r="H46" s="8">
        <v>1086</v>
      </c>
      <c r="I46" s="14">
        <v>7.0933369835394899E-3</v>
      </c>
      <c r="J46" s="8">
        <v>1087</v>
      </c>
      <c r="K46" s="14">
        <v>0.62181758587340197</v>
      </c>
      <c r="L46" s="8">
        <v>994</v>
      </c>
      <c r="M46" s="14">
        <v>4.1828542355156401E-2</v>
      </c>
      <c r="N46" s="8">
        <v>513</v>
      </c>
      <c r="O46" s="14">
        <v>5.5806991931901598E-2</v>
      </c>
      <c r="P46" s="8">
        <v>514</v>
      </c>
      <c r="Q46" s="14">
        <v>2.0919395695675898E-3</v>
      </c>
      <c r="R46" s="8">
        <v>515</v>
      </c>
      <c r="S46" s="14">
        <v>0.66712254623823497</v>
      </c>
      <c r="T46" s="8">
        <v>1006</v>
      </c>
      <c r="U46" s="14">
        <v>2.9465405261302698E-2</v>
      </c>
      <c r="V46" s="8">
        <v>569</v>
      </c>
      <c r="W46" s="14">
        <v>5.4026927534750697E-2</v>
      </c>
      <c r="X46" s="8">
        <v>572</v>
      </c>
      <c r="Y46" s="14">
        <v>1.1620462221003901E-2</v>
      </c>
      <c r="Z46" s="10">
        <v>572</v>
      </c>
    </row>
    <row r="47" spans="1:26" outlineLevel="1" x14ac:dyDescent="0.25">
      <c r="A47" s="6" t="s">
        <v>14</v>
      </c>
      <c r="B47" t="s">
        <v>50</v>
      </c>
      <c r="C47" s="16">
        <v>0.69230834406639497</v>
      </c>
      <c r="D47">
        <v>2809</v>
      </c>
      <c r="E47" s="16">
        <v>4.8973160755494502E-2</v>
      </c>
      <c r="F47">
        <v>1897</v>
      </c>
      <c r="G47" s="16">
        <v>6.6374586741310193E-2</v>
      </c>
      <c r="H47">
        <v>1897</v>
      </c>
      <c r="I47" s="16">
        <v>2.50657379376996E-2</v>
      </c>
      <c r="J47">
        <v>1893</v>
      </c>
      <c r="K47" s="16">
        <v>0.69586005746683499</v>
      </c>
      <c r="L47">
        <v>1324</v>
      </c>
      <c r="M47" s="16">
        <v>4.0649701850504399E-2</v>
      </c>
      <c r="N47">
        <v>894</v>
      </c>
      <c r="O47" s="16">
        <v>6.3784290406954103E-2</v>
      </c>
      <c r="P47">
        <v>895</v>
      </c>
      <c r="Q47" s="16">
        <v>2.10904446009017E-2</v>
      </c>
      <c r="R47">
        <v>892</v>
      </c>
      <c r="S47" s="16">
        <v>0.68911142489416799</v>
      </c>
      <c r="T47">
        <v>1485</v>
      </c>
      <c r="U47" s="16">
        <v>5.6535731818328501E-2</v>
      </c>
      <c r="V47">
        <v>1003</v>
      </c>
      <c r="W47" s="16">
        <v>6.8724158493655096E-2</v>
      </c>
      <c r="X47">
        <v>1002</v>
      </c>
      <c r="Y47" s="16">
        <v>2.8680112049984802E-2</v>
      </c>
      <c r="Z47" s="11">
        <v>1001</v>
      </c>
    </row>
    <row r="48" spans="1:26" outlineLevel="1" x14ac:dyDescent="0.25">
      <c r="A48" s="7" t="s">
        <v>14</v>
      </c>
      <c r="B48" s="9" t="s">
        <v>51</v>
      </c>
      <c r="C48" s="15">
        <v>0.66382822806727604</v>
      </c>
      <c r="D48" s="9">
        <v>7753</v>
      </c>
      <c r="E48" s="15">
        <v>0.112449132060552</v>
      </c>
      <c r="F48" s="9">
        <v>4942</v>
      </c>
      <c r="G48" s="15">
        <v>5.4943418584086599E-2</v>
      </c>
      <c r="H48" s="9">
        <v>4947</v>
      </c>
      <c r="I48" s="15">
        <v>8.2834565568260399E-3</v>
      </c>
      <c r="J48" s="9">
        <v>4936</v>
      </c>
      <c r="K48" s="15">
        <v>0.67185365780794803</v>
      </c>
      <c r="L48" s="9">
        <v>3818</v>
      </c>
      <c r="M48" s="15">
        <v>0.110355244597462</v>
      </c>
      <c r="N48" s="9">
        <v>2446</v>
      </c>
      <c r="O48" s="15">
        <v>5.2098958950898999E-2</v>
      </c>
      <c r="P48" s="9">
        <v>2447</v>
      </c>
      <c r="Q48" s="15">
        <v>8.62307431566562E-3</v>
      </c>
      <c r="R48" s="9">
        <v>2440</v>
      </c>
      <c r="S48" s="15">
        <v>0.65656575418834195</v>
      </c>
      <c r="T48" s="9">
        <v>3935</v>
      </c>
      <c r="U48" s="15">
        <v>0.11439479620910301</v>
      </c>
      <c r="V48" s="9">
        <v>2496</v>
      </c>
      <c r="W48" s="15">
        <v>5.7579755982831299E-2</v>
      </c>
      <c r="X48" s="9">
        <v>2500</v>
      </c>
      <c r="Y48" s="15">
        <v>7.9689741321089993E-3</v>
      </c>
      <c r="Z48" s="12">
        <v>2496</v>
      </c>
    </row>
    <row r="49" spans="1:26" x14ac:dyDescent="0.25">
      <c r="C49" s="16"/>
      <c r="E49" s="16"/>
      <c r="G49" s="16"/>
      <c r="I49" s="16"/>
      <c r="K49" s="16"/>
      <c r="M49" s="16"/>
      <c r="O49" s="16"/>
      <c r="Q49" s="16"/>
      <c r="S49" s="16"/>
      <c r="U49" s="16"/>
      <c r="W49" s="16"/>
      <c r="Y49" s="16"/>
    </row>
    <row r="50" spans="1:26" x14ac:dyDescent="0.25">
      <c r="A50" s="19" t="s">
        <v>52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L50" s="19"/>
      <c r="M50" s="20"/>
      <c r="N50" s="19"/>
      <c r="O50" s="20"/>
      <c r="P50" s="19"/>
      <c r="Q50" s="20"/>
      <c r="R50" s="19"/>
      <c r="S50" s="20"/>
      <c r="T50" s="19"/>
      <c r="U50" s="20"/>
      <c r="V50" s="19"/>
      <c r="W50" s="20"/>
      <c r="X50" s="19"/>
      <c r="Y50" s="20"/>
      <c r="Z50" s="19"/>
    </row>
    <row r="51" spans="1:26" outlineLevel="1" x14ac:dyDescent="0.25">
      <c r="A51" s="5" t="s">
        <v>14</v>
      </c>
      <c r="B51" s="8" t="s">
        <v>53</v>
      </c>
      <c r="C51" s="14">
        <v>0.62629070620211003</v>
      </c>
      <c r="D51" s="8">
        <v>3274</v>
      </c>
      <c r="E51" s="14">
        <v>8.3702338284491404E-2</v>
      </c>
      <c r="F51" s="8">
        <v>1880</v>
      </c>
      <c r="G51" s="14">
        <v>5.3683058652466101E-2</v>
      </c>
      <c r="H51" s="8">
        <v>1883</v>
      </c>
      <c r="I51" s="14">
        <v>1.04655614211759E-2</v>
      </c>
      <c r="J51" s="8">
        <v>1877</v>
      </c>
      <c r="K51" s="14">
        <v>0.65863352538161102</v>
      </c>
      <c r="L51" s="8">
        <v>1623</v>
      </c>
      <c r="M51" s="14">
        <v>6.6824652372508203E-2</v>
      </c>
      <c r="N51" s="8">
        <v>951</v>
      </c>
      <c r="O51" s="14">
        <v>4.8563740636706203E-2</v>
      </c>
      <c r="P51" s="8">
        <v>953</v>
      </c>
      <c r="Q51" s="14">
        <v>1.1407009378753099E-2</v>
      </c>
      <c r="R51" s="8">
        <v>949</v>
      </c>
      <c r="S51" s="14">
        <v>0.59459602637178999</v>
      </c>
      <c r="T51" s="8">
        <v>1651</v>
      </c>
      <c r="U51" s="14">
        <v>0.102074893054352</v>
      </c>
      <c r="V51" s="8">
        <v>929</v>
      </c>
      <c r="W51" s="14">
        <v>5.92421466190945E-2</v>
      </c>
      <c r="X51" s="8">
        <v>930</v>
      </c>
      <c r="Y51" s="14">
        <v>9.4434001587379406E-3</v>
      </c>
      <c r="Z51" s="10">
        <v>928</v>
      </c>
    </row>
    <row r="52" spans="1:26" outlineLevel="1" x14ac:dyDescent="0.25">
      <c r="A52" s="7" t="s">
        <v>14</v>
      </c>
      <c r="B52" s="9" t="s">
        <v>54</v>
      </c>
      <c r="C52" s="15">
        <v>0.67779979561722303</v>
      </c>
      <c r="D52" s="9">
        <v>9288</v>
      </c>
      <c r="E52" s="15">
        <v>7.2605789680817101E-2</v>
      </c>
      <c r="F52" s="9">
        <v>6041</v>
      </c>
      <c r="G52" s="15">
        <v>5.8897561977278301E-2</v>
      </c>
      <c r="H52" s="9">
        <v>6047</v>
      </c>
      <c r="I52" s="15">
        <v>1.2418603635154899E-2</v>
      </c>
      <c r="J52" s="9">
        <v>6039</v>
      </c>
      <c r="K52" s="15">
        <v>0.66337520340038403</v>
      </c>
      <c r="L52" s="9">
        <v>4513</v>
      </c>
      <c r="M52" s="15">
        <v>7.7047643954758493E-2</v>
      </c>
      <c r="N52" s="9">
        <v>2902</v>
      </c>
      <c r="O52" s="15">
        <v>5.8520041892907701E-2</v>
      </c>
      <c r="P52" s="9">
        <v>2903</v>
      </c>
      <c r="Q52" s="15">
        <v>9.1431918606114208E-3</v>
      </c>
      <c r="R52" s="9">
        <v>2898</v>
      </c>
      <c r="S52" s="15">
        <v>0.69084286656410099</v>
      </c>
      <c r="T52" s="9">
        <v>4775</v>
      </c>
      <c r="U52" s="15">
        <v>6.8755746229408998E-2</v>
      </c>
      <c r="V52" s="9">
        <v>3139</v>
      </c>
      <c r="W52" s="15">
        <v>5.92252657366132E-2</v>
      </c>
      <c r="X52" s="9">
        <v>3144</v>
      </c>
      <c r="Y52" s="15">
        <v>1.52629305947186E-2</v>
      </c>
      <c r="Z52" s="12">
        <v>3141</v>
      </c>
    </row>
    <row r="53" spans="1:26" x14ac:dyDescent="0.25">
      <c r="C53" s="16"/>
      <c r="E53" s="16"/>
      <c r="G53" s="16"/>
      <c r="I53" s="16"/>
      <c r="K53" s="16"/>
      <c r="M53" s="16"/>
      <c r="O53" s="16"/>
      <c r="Q53" s="16"/>
      <c r="S53" s="16"/>
      <c r="U53" s="16"/>
      <c r="W53" s="16"/>
      <c r="Y53" s="16"/>
    </row>
    <row r="54" spans="1:26" x14ac:dyDescent="0.25">
      <c r="A54" s="19" t="s">
        <v>55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  <c r="U54" s="20"/>
      <c r="V54" s="19"/>
      <c r="W54" s="20"/>
      <c r="X54" s="19"/>
      <c r="Y54" s="20"/>
      <c r="Z54" s="19"/>
    </row>
    <row r="55" spans="1:26" outlineLevel="1" x14ac:dyDescent="0.25">
      <c r="A55" s="5" t="s">
        <v>14</v>
      </c>
      <c r="B55" s="8" t="s">
        <v>56</v>
      </c>
      <c r="C55" s="14">
        <v>0.64480193791316898</v>
      </c>
      <c r="D55" s="8">
        <v>2000</v>
      </c>
      <c r="E55" s="14">
        <v>3.5316209172048002E-2</v>
      </c>
      <c r="F55" s="8">
        <v>1082</v>
      </c>
      <c r="G55" s="14">
        <v>5.48726443689036E-2</v>
      </c>
      <c r="H55" s="8">
        <v>1086</v>
      </c>
      <c r="I55" s="14">
        <v>7.0933369835394899E-3</v>
      </c>
      <c r="J55" s="8">
        <v>1087</v>
      </c>
      <c r="K55" s="14">
        <v>0.62181758587340197</v>
      </c>
      <c r="L55" s="8">
        <v>994</v>
      </c>
      <c r="M55" s="14">
        <v>4.1828542355156401E-2</v>
      </c>
      <c r="N55" s="8">
        <v>513</v>
      </c>
      <c r="O55" s="14">
        <v>5.5806991931901598E-2</v>
      </c>
      <c r="P55" s="8">
        <v>514</v>
      </c>
      <c r="Q55" s="14">
        <v>2.0919395695675898E-3</v>
      </c>
      <c r="R55" s="8">
        <v>515</v>
      </c>
      <c r="S55" s="14">
        <v>0.66712254623823497</v>
      </c>
      <c r="T55" s="8">
        <v>1006</v>
      </c>
      <c r="U55" s="14">
        <v>2.9465405261302698E-2</v>
      </c>
      <c r="V55" s="8">
        <v>569</v>
      </c>
      <c r="W55" s="14">
        <v>5.4026927534750697E-2</v>
      </c>
      <c r="X55" s="8">
        <v>572</v>
      </c>
      <c r="Y55" s="14">
        <v>1.1620462221003901E-2</v>
      </c>
      <c r="Z55" s="10">
        <v>572</v>
      </c>
    </row>
    <row r="56" spans="1:26" outlineLevel="1" x14ac:dyDescent="0.25">
      <c r="A56" s="6" t="s">
        <v>14</v>
      </c>
      <c r="B56" t="s">
        <v>57</v>
      </c>
      <c r="C56" s="16">
        <v>0.64691838691217096</v>
      </c>
      <c r="D56">
        <v>7512</v>
      </c>
      <c r="E56" s="16">
        <v>0.12147502497167401</v>
      </c>
      <c r="F56">
        <v>4677</v>
      </c>
      <c r="G56" s="16">
        <v>6.4543291605162895E-2</v>
      </c>
      <c r="H56">
        <v>4684</v>
      </c>
      <c r="I56" s="16">
        <v>9.4019620102494903E-3</v>
      </c>
      <c r="J56">
        <v>4668</v>
      </c>
      <c r="K56" s="16">
        <v>0.631050050757757</v>
      </c>
      <c r="L56">
        <v>3670</v>
      </c>
      <c r="M56" s="16">
        <v>0.121016137736057</v>
      </c>
      <c r="N56">
        <v>2254</v>
      </c>
      <c r="O56" s="16">
        <v>5.8763994057571302E-2</v>
      </c>
      <c r="P56">
        <v>2257</v>
      </c>
      <c r="Q56" s="16">
        <v>9.2766697718614805E-3</v>
      </c>
      <c r="R56">
        <v>2246</v>
      </c>
      <c r="S56" s="16">
        <v>0.66164751968702495</v>
      </c>
      <c r="T56">
        <v>3842</v>
      </c>
      <c r="U56" s="16">
        <v>0.121882963437796</v>
      </c>
      <c r="V56">
        <v>2423</v>
      </c>
      <c r="W56" s="16">
        <v>6.96592625829556E-2</v>
      </c>
      <c r="X56">
        <v>2427</v>
      </c>
      <c r="Y56" s="16">
        <v>9.5128609998417196E-3</v>
      </c>
      <c r="Z56" s="11">
        <v>2422</v>
      </c>
    </row>
    <row r="57" spans="1:26" outlineLevel="1" x14ac:dyDescent="0.25">
      <c r="A57" s="7" t="s">
        <v>14</v>
      </c>
      <c r="B57" s="9" t="s">
        <v>58</v>
      </c>
      <c r="C57" s="15">
        <v>0.70395485313792805</v>
      </c>
      <c r="D57" s="9">
        <v>3050</v>
      </c>
      <c r="E57" s="15">
        <v>5.8485956106565699E-2</v>
      </c>
      <c r="F57" s="9">
        <v>2162</v>
      </c>
      <c r="G57" s="15">
        <v>5.2519989196409003E-2</v>
      </c>
      <c r="H57" s="9">
        <v>2160</v>
      </c>
      <c r="I57" s="15">
        <v>1.8764985094082198E-2</v>
      </c>
      <c r="J57" s="9">
        <v>2161</v>
      </c>
      <c r="K57" s="15">
        <v>0.73875501620670203</v>
      </c>
      <c r="L57" s="9">
        <v>1472</v>
      </c>
      <c r="M57" s="15">
        <v>5.2085821016016803E-2</v>
      </c>
      <c r="N57" s="9">
        <v>1086</v>
      </c>
      <c r="O57" s="15">
        <v>5.3089784103666403E-2</v>
      </c>
      <c r="P57" s="9">
        <v>1085</v>
      </c>
      <c r="Q57" s="15">
        <v>1.63902568739017E-2</v>
      </c>
      <c r="R57" s="9">
        <v>1086</v>
      </c>
      <c r="S57" s="15">
        <v>0.67350904146157597</v>
      </c>
      <c r="T57" s="9">
        <v>1578</v>
      </c>
      <c r="U57" s="15">
        <v>6.4627008757849505E-2</v>
      </c>
      <c r="V57" s="9">
        <v>1076</v>
      </c>
      <c r="W57" s="15">
        <v>5.1973289212790798E-2</v>
      </c>
      <c r="X57" s="9">
        <v>1075</v>
      </c>
      <c r="Y57" s="15">
        <v>2.1044304619641799E-2</v>
      </c>
      <c r="Z57" s="12">
        <v>1075</v>
      </c>
    </row>
    <row r="58" spans="1:26" x14ac:dyDescent="0.25">
      <c r="C58" s="16"/>
      <c r="E58" s="16"/>
      <c r="G58" s="16"/>
      <c r="I58" s="16"/>
      <c r="K58" s="16"/>
      <c r="M58" s="16"/>
      <c r="O58" s="16"/>
      <c r="Q58" s="16"/>
      <c r="S58" s="16"/>
      <c r="U58" s="16"/>
      <c r="W58" s="16"/>
      <c r="Y58" s="16"/>
    </row>
    <row r="59" spans="1:26" x14ac:dyDescent="0.25">
      <c r="A59" s="19" t="s">
        <v>59</v>
      </c>
      <c r="B59" s="19"/>
      <c r="C59" s="20"/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19"/>
      <c r="Q59" s="20"/>
      <c r="R59" s="19"/>
      <c r="S59" s="20"/>
      <c r="T59" s="19"/>
      <c r="U59" s="20"/>
      <c r="V59" s="19"/>
      <c r="W59" s="20"/>
      <c r="X59" s="19"/>
      <c r="Y59" s="20"/>
      <c r="Z59" s="19"/>
    </row>
    <row r="60" spans="1:26" outlineLevel="1" x14ac:dyDescent="0.25">
      <c r="A60" s="5" t="s">
        <v>14</v>
      </c>
      <c r="B60" s="8" t="s">
        <v>60</v>
      </c>
      <c r="C60" s="14">
        <v>0.66497259283052201</v>
      </c>
      <c r="D60" s="8">
        <v>4707</v>
      </c>
      <c r="E60" s="14">
        <v>4.0567136439918501E-2</v>
      </c>
      <c r="F60" s="8">
        <v>2911</v>
      </c>
      <c r="G60" s="14">
        <v>5.97180858588938E-2</v>
      </c>
      <c r="H60" s="8">
        <v>2914</v>
      </c>
      <c r="I60" s="14">
        <v>1.54809112700328E-2</v>
      </c>
      <c r="J60" s="8">
        <v>2911</v>
      </c>
      <c r="K60" s="14">
        <v>0.65269839953407105</v>
      </c>
      <c r="L60" s="8">
        <v>2275</v>
      </c>
      <c r="M60" s="14">
        <v>4.1037951811658799E-2</v>
      </c>
      <c r="N60" s="8">
        <v>1376</v>
      </c>
      <c r="O60" s="14">
        <v>5.8172352000509103E-2</v>
      </c>
      <c r="P60" s="8">
        <v>1377</v>
      </c>
      <c r="Q60" s="14">
        <v>1.08542374589265E-2</v>
      </c>
      <c r="R60" s="8">
        <v>1375</v>
      </c>
      <c r="S60" s="14">
        <v>0.67658988580861601</v>
      </c>
      <c r="T60" s="8">
        <v>2432</v>
      </c>
      <c r="U60" s="14">
        <v>4.0138931289517198E-2</v>
      </c>
      <c r="V60" s="8">
        <v>1535</v>
      </c>
      <c r="W60" s="14">
        <v>6.1128083808573902E-2</v>
      </c>
      <c r="X60" s="8">
        <v>1537</v>
      </c>
      <c r="Y60" s="14">
        <v>1.9705969125299198E-2</v>
      </c>
      <c r="Z60" s="10">
        <v>1536</v>
      </c>
    </row>
    <row r="61" spans="1:26" outlineLevel="1" x14ac:dyDescent="0.25">
      <c r="A61" s="6" t="s">
        <v>14</v>
      </c>
      <c r="B61" t="s">
        <v>61</v>
      </c>
      <c r="C61" s="16">
        <v>0.68259215975087495</v>
      </c>
      <c r="D61">
        <v>31</v>
      </c>
      <c r="E61" s="16"/>
      <c r="G61" s="16"/>
      <c r="I61" s="16"/>
      <c r="K61" s="16">
        <v>0.69293910635784595</v>
      </c>
      <c r="L61">
        <v>15</v>
      </c>
      <c r="M61" s="16"/>
      <c r="O61" s="16"/>
      <c r="Q61" s="16"/>
      <c r="S61" s="16">
        <v>0.67556815836864603</v>
      </c>
      <c r="T61">
        <v>16</v>
      </c>
      <c r="U61" s="16"/>
      <c r="W61" s="16"/>
      <c r="Y61" s="16"/>
      <c r="Z61" s="11"/>
    </row>
    <row r="62" spans="1:26" outlineLevel="1" x14ac:dyDescent="0.25">
      <c r="A62" s="6" t="s">
        <v>14</v>
      </c>
      <c r="B62" t="s">
        <v>62</v>
      </c>
      <c r="C62" s="16">
        <v>0.70846374170114701</v>
      </c>
      <c r="D62">
        <v>42</v>
      </c>
      <c r="E62" s="16">
        <v>0.103512626300031</v>
      </c>
      <c r="F62">
        <v>30</v>
      </c>
      <c r="G62" s="16">
        <v>3.2001998196384697E-2</v>
      </c>
      <c r="H62">
        <v>30</v>
      </c>
      <c r="I62" s="16"/>
      <c r="K62" s="16">
        <v>0.80682345441638503</v>
      </c>
      <c r="L62">
        <v>15</v>
      </c>
      <c r="M62" s="16"/>
      <c r="O62" s="16">
        <v>0.113525641349705</v>
      </c>
      <c r="P62">
        <v>12</v>
      </c>
      <c r="Q62" s="16"/>
      <c r="S62" s="16">
        <v>0.67610821550364797</v>
      </c>
      <c r="T62">
        <v>27</v>
      </c>
      <c r="U62" s="16">
        <v>0.14414637072097999</v>
      </c>
      <c r="V62">
        <v>18</v>
      </c>
      <c r="W62" s="16"/>
      <c r="Y62" s="16"/>
      <c r="Z62" s="11"/>
    </row>
    <row r="63" spans="1:26" outlineLevel="1" x14ac:dyDescent="0.25">
      <c r="A63" s="6" t="s">
        <v>14</v>
      </c>
      <c r="B63" t="s">
        <v>63</v>
      </c>
      <c r="C63" s="16">
        <v>0.74160491444905496</v>
      </c>
      <c r="D63">
        <v>29</v>
      </c>
      <c r="E63" s="16">
        <v>0.21359450353327999</v>
      </c>
      <c r="F63">
        <v>22</v>
      </c>
      <c r="G63" s="16">
        <v>0.25655934538597402</v>
      </c>
      <c r="H63">
        <v>23</v>
      </c>
      <c r="I63" s="16"/>
      <c r="K63" s="16">
        <v>0.69976552728649899</v>
      </c>
      <c r="L63">
        <v>13</v>
      </c>
      <c r="M63" s="16">
        <v>0.199000314059714</v>
      </c>
      <c r="N63">
        <v>10</v>
      </c>
      <c r="O63" s="16">
        <v>0.37437662842922798</v>
      </c>
      <c r="P63">
        <v>11</v>
      </c>
      <c r="Q63" s="16"/>
      <c r="S63" s="16">
        <v>0.780878091793756</v>
      </c>
      <c r="T63">
        <v>16</v>
      </c>
      <c r="U63" s="16">
        <v>0.224721621856282</v>
      </c>
      <c r="V63">
        <v>12</v>
      </c>
      <c r="W63" s="16">
        <v>0.157455836189795</v>
      </c>
      <c r="X63">
        <v>12</v>
      </c>
      <c r="Y63" s="16"/>
      <c r="Z63" s="11"/>
    </row>
    <row r="64" spans="1:26" outlineLevel="1" x14ac:dyDescent="0.25">
      <c r="A64" s="7" t="s">
        <v>14</v>
      </c>
      <c r="B64" s="9" t="s">
        <v>64</v>
      </c>
      <c r="C64" s="15">
        <v>0.66382822806727604</v>
      </c>
      <c r="D64" s="9">
        <v>7753</v>
      </c>
      <c r="E64" s="15">
        <v>0.112449132060552</v>
      </c>
      <c r="F64" s="9">
        <v>4942</v>
      </c>
      <c r="G64" s="15">
        <v>5.4943418584086599E-2</v>
      </c>
      <c r="H64" s="9">
        <v>4947</v>
      </c>
      <c r="I64" s="15">
        <v>8.2834565568260399E-3</v>
      </c>
      <c r="J64" s="9">
        <v>4936</v>
      </c>
      <c r="K64" s="15">
        <v>0.67185365780794803</v>
      </c>
      <c r="L64" s="9">
        <v>3818</v>
      </c>
      <c r="M64" s="15">
        <v>0.110355244597462</v>
      </c>
      <c r="N64" s="9">
        <v>2446</v>
      </c>
      <c r="O64" s="15">
        <v>5.2098958950898999E-2</v>
      </c>
      <c r="P64" s="9">
        <v>2447</v>
      </c>
      <c r="Q64" s="15">
        <v>8.62307431566562E-3</v>
      </c>
      <c r="R64" s="9">
        <v>2440</v>
      </c>
      <c r="S64" s="15">
        <v>0.65656575418834195</v>
      </c>
      <c r="T64" s="9">
        <v>3935</v>
      </c>
      <c r="U64" s="15">
        <v>0.11439479620910301</v>
      </c>
      <c r="V64" s="9">
        <v>2496</v>
      </c>
      <c r="W64" s="15">
        <v>5.7579755982831299E-2</v>
      </c>
      <c r="X64" s="9">
        <v>2500</v>
      </c>
      <c r="Y64" s="15">
        <v>7.9689741321089993E-3</v>
      </c>
      <c r="Z64" s="12">
        <v>2496</v>
      </c>
    </row>
    <row r="65" spans="1:26" x14ac:dyDescent="0.25">
      <c r="C65" s="16"/>
      <c r="E65" s="16"/>
      <c r="G65" s="16"/>
      <c r="I65" s="16"/>
      <c r="K65" s="16"/>
      <c r="M65" s="16"/>
      <c r="O65" s="16"/>
      <c r="Q65" s="16"/>
      <c r="S65" s="16"/>
      <c r="U65" s="16"/>
      <c r="W65" s="16"/>
      <c r="Y65" s="16"/>
    </row>
    <row r="66" spans="1:26" x14ac:dyDescent="0.25">
      <c r="A66" s="19" t="s">
        <v>65</v>
      </c>
      <c r="B66" s="19"/>
      <c r="C66" s="20"/>
      <c r="D66" s="19"/>
      <c r="E66" s="20"/>
      <c r="F66" s="19"/>
      <c r="G66" s="20"/>
      <c r="H66" s="19"/>
      <c r="I66" s="20"/>
      <c r="J66" s="19"/>
      <c r="K66" s="20"/>
      <c r="L66" s="19"/>
      <c r="M66" s="20"/>
      <c r="N66" s="19"/>
      <c r="O66" s="20"/>
      <c r="P66" s="19"/>
      <c r="Q66" s="20"/>
      <c r="R66" s="19"/>
      <c r="S66" s="20"/>
      <c r="T66" s="19"/>
      <c r="U66" s="20"/>
      <c r="V66" s="19"/>
      <c r="W66" s="20"/>
      <c r="X66" s="19"/>
      <c r="Y66" s="20"/>
      <c r="Z66" s="19"/>
    </row>
    <row r="67" spans="1:26" outlineLevel="1" x14ac:dyDescent="0.25">
      <c r="A67" s="5" t="s">
        <v>14</v>
      </c>
      <c r="B67" s="8" t="s">
        <v>66</v>
      </c>
      <c r="C67" s="14">
        <v>0.67097561016787299</v>
      </c>
      <c r="D67" s="8">
        <v>12200</v>
      </c>
      <c r="E67" s="14">
        <v>7.5069648592739097E-2</v>
      </c>
      <c r="F67" s="8">
        <v>7775</v>
      </c>
      <c r="G67" s="14">
        <v>5.7984337247846601E-2</v>
      </c>
      <c r="H67" s="8">
        <v>7783</v>
      </c>
      <c r="I67" s="14">
        <v>1.20536763562061E-2</v>
      </c>
      <c r="J67" s="8">
        <v>7769</v>
      </c>
      <c r="K67" s="14">
        <v>0.66685108701621398</v>
      </c>
      <c r="L67" s="8">
        <v>5973</v>
      </c>
      <c r="M67" s="14">
        <v>7.5139543380445303E-2</v>
      </c>
      <c r="N67" s="8">
        <v>3777</v>
      </c>
      <c r="O67" s="14">
        <v>5.63092179047203E-2</v>
      </c>
      <c r="P67" s="8">
        <v>3779</v>
      </c>
      <c r="Q67" s="14">
        <v>9.6774060998543101E-3</v>
      </c>
      <c r="R67" s="8">
        <v>3770</v>
      </c>
      <c r="S67" s="14">
        <v>0.67475915429144595</v>
      </c>
      <c r="T67" s="8">
        <v>6227</v>
      </c>
      <c r="U67" s="14">
        <v>7.5006317372068601E-2</v>
      </c>
      <c r="V67" s="8">
        <v>3998</v>
      </c>
      <c r="W67" s="14">
        <v>5.9502834603720599E-2</v>
      </c>
      <c r="X67" s="8">
        <v>4004</v>
      </c>
      <c r="Y67" s="14">
        <v>1.42080329503439E-2</v>
      </c>
      <c r="Z67" s="10">
        <v>3999</v>
      </c>
    </row>
    <row r="68" spans="1:26" outlineLevel="1" x14ac:dyDescent="0.25">
      <c r="A68" s="7" t="s">
        <v>14</v>
      </c>
      <c r="B68" s="9" t="s">
        <v>67</v>
      </c>
      <c r="C68" s="15">
        <v>0.45826482049725598</v>
      </c>
      <c r="D68" s="9">
        <v>362</v>
      </c>
      <c r="E68" s="15">
        <v>8.4424399167570593E-2</v>
      </c>
      <c r="F68" s="9">
        <v>146</v>
      </c>
      <c r="G68" s="15">
        <v>4.1525112702685801E-2</v>
      </c>
      <c r="H68" s="9">
        <v>147</v>
      </c>
      <c r="I68" s="15">
        <v>7.0843207858608103E-3</v>
      </c>
      <c r="J68" s="9">
        <v>147</v>
      </c>
      <c r="K68" s="15">
        <v>0.52092493567935305</v>
      </c>
      <c r="L68" s="9">
        <v>163</v>
      </c>
      <c r="M68" s="15">
        <v>4.5367399870665702E-2</v>
      </c>
      <c r="N68" s="9">
        <v>76</v>
      </c>
      <c r="O68" s="15">
        <v>4.1398633129040401E-2</v>
      </c>
      <c r="P68" s="9">
        <v>77</v>
      </c>
      <c r="Q68" s="15">
        <v>1.17655294540304E-2</v>
      </c>
      <c r="R68" s="9">
        <v>77</v>
      </c>
      <c r="S68" s="15">
        <v>0.38769122675323098</v>
      </c>
      <c r="T68" s="9">
        <v>199</v>
      </c>
      <c r="U68" s="15">
        <v>0.14335927580216001</v>
      </c>
      <c r="V68" s="9">
        <v>70</v>
      </c>
      <c r="W68" s="15">
        <v>4.1716520934208398E-2</v>
      </c>
      <c r="X68" s="9">
        <v>70</v>
      </c>
      <c r="Y68" s="15"/>
      <c r="Z68" s="12"/>
    </row>
    <row r="69" spans="1:26" x14ac:dyDescent="0.25">
      <c r="C69" s="16"/>
      <c r="E69" s="16"/>
      <c r="G69" s="16"/>
      <c r="I69" s="16"/>
      <c r="K69" s="16"/>
      <c r="M69" s="16"/>
      <c r="O69" s="16"/>
      <c r="Q69" s="16"/>
      <c r="S69" s="16"/>
      <c r="U69" s="16"/>
      <c r="W69" s="16"/>
      <c r="Y69" s="16"/>
    </row>
    <row r="70" spans="1:26" x14ac:dyDescent="0.25">
      <c r="A70" s="19" t="s">
        <v>68</v>
      </c>
      <c r="B70" s="19"/>
      <c r="C70" s="20"/>
      <c r="D70" s="19"/>
      <c r="E70" s="20"/>
      <c r="F70" s="19"/>
      <c r="G70" s="20"/>
      <c r="H70" s="19"/>
      <c r="I70" s="20"/>
      <c r="J70" s="19"/>
      <c r="K70" s="20"/>
      <c r="L70" s="19"/>
      <c r="M70" s="20"/>
      <c r="N70" s="19"/>
      <c r="O70" s="20"/>
      <c r="P70" s="19"/>
      <c r="Q70" s="20"/>
      <c r="R70" s="19"/>
      <c r="S70" s="20"/>
      <c r="T70" s="19"/>
      <c r="U70" s="20"/>
      <c r="V70" s="19"/>
      <c r="W70" s="20"/>
      <c r="X70" s="19"/>
      <c r="Y70" s="20"/>
      <c r="Z70" s="19"/>
    </row>
    <row r="71" spans="1:26" outlineLevel="1" x14ac:dyDescent="0.25">
      <c r="A71" s="5" t="s">
        <v>14</v>
      </c>
      <c r="B71" s="8" t="s">
        <v>66</v>
      </c>
      <c r="C71" s="14">
        <v>0.67040327639673503</v>
      </c>
      <c r="D71" s="8">
        <v>12064</v>
      </c>
      <c r="E71" s="14">
        <v>7.5213571174709906E-2</v>
      </c>
      <c r="F71" s="8">
        <v>7681</v>
      </c>
      <c r="G71" s="14">
        <v>5.8130662459227399E-2</v>
      </c>
      <c r="H71" s="8">
        <v>7688</v>
      </c>
      <c r="I71" s="14">
        <v>1.21629008516396E-2</v>
      </c>
      <c r="J71" s="8">
        <v>7674</v>
      </c>
      <c r="K71" s="14">
        <v>0.66764750639078796</v>
      </c>
      <c r="L71" s="8">
        <v>5917</v>
      </c>
      <c r="M71" s="14">
        <v>7.52542376719674E-2</v>
      </c>
      <c r="N71" s="8">
        <v>3741</v>
      </c>
      <c r="O71" s="14">
        <v>5.6151116096894597E-2</v>
      </c>
      <c r="P71" s="8">
        <v>3742</v>
      </c>
      <c r="Q71" s="14">
        <v>9.6657330693155404E-3</v>
      </c>
      <c r="R71" s="8">
        <v>3733</v>
      </c>
      <c r="S71" s="14">
        <v>0.67294589315867204</v>
      </c>
      <c r="T71" s="8">
        <v>6147</v>
      </c>
      <c r="U71" s="14">
        <v>7.5176361566655497E-2</v>
      </c>
      <c r="V71" s="8">
        <v>3940</v>
      </c>
      <c r="W71" s="14">
        <v>5.9942575253697901E-2</v>
      </c>
      <c r="X71" s="8">
        <v>3946</v>
      </c>
      <c r="Y71" s="14">
        <v>1.4448905684268201E-2</v>
      </c>
      <c r="Z71" s="10">
        <v>3941</v>
      </c>
    </row>
    <row r="72" spans="1:26" outlineLevel="1" x14ac:dyDescent="0.25">
      <c r="A72" s="7" t="s">
        <v>14</v>
      </c>
      <c r="B72" s="9" t="s">
        <v>67</v>
      </c>
      <c r="C72" s="15">
        <v>0.52973398371692204</v>
      </c>
      <c r="D72" s="9">
        <v>498</v>
      </c>
      <c r="E72" s="15">
        <v>7.6622474546834005E-2</v>
      </c>
      <c r="F72" s="9">
        <v>240</v>
      </c>
      <c r="G72" s="15">
        <v>4.3197693094317702E-2</v>
      </c>
      <c r="H72" s="9">
        <v>242</v>
      </c>
      <c r="I72" s="15">
        <v>5.6285567509068799E-3</v>
      </c>
      <c r="J72" s="9">
        <v>242</v>
      </c>
      <c r="K72" s="15">
        <v>0.53093196380604002</v>
      </c>
      <c r="L72" s="9">
        <v>219</v>
      </c>
      <c r="M72" s="15">
        <v>4.8251188266539603E-2</v>
      </c>
      <c r="N72" s="9">
        <v>112</v>
      </c>
      <c r="O72" s="15">
        <v>4.9312180801236401E-2</v>
      </c>
      <c r="P72" s="9">
        <v>114</v>
      </c>
      <c r="Q72" s="15">
        <v>1.16683156083341E-2</v>
      </c>
      <c r="R72" s="9">
        <v>114</v>
      </c>
      <c r="S72" s="15">
        <v>0.52862242154765304</v>
      </c>
      <c r="T72" s="9">
        <v>279</v>
      </c>
      <c r="U72" s="15">
        <v>0.10294106038447901</v>
      </c>
      <c r="V72" s="9">
        <v>128</v>
      </c>
      <c r="W72" s="15">
        <v>3.7499495223587802E-2</v>
      </c>
      <c r="X72" s="9">
        <v>128</v>
      </c>
      <c r="Y72" s="15"/>
      <c r="Z72" s="12"/>
    </row>
    <row r="73" spans="1:26" x14ac:dyDescent="0.25">
      <c r="C73" s="16"/>
      <c r="E73" s="16"/>
      <c r="G73" s="16"/>
      <c r="I73" s="16"/>
      <c r="K73" s="16"/>
      <c r="M73" s="16"/>
      <c r="O73" s="16"/>
      <c r="Q73" s="16"/>
      <c r="S73" s="16"/>
      <c r="U73" s="16"/>
      <c r="W73" s="16"/>
      <c r="Y73" s="16"/>
    </row>
    <row r="74" spans="1:26" x14ac:dyDescent="0.25">
      <c r="C74" s="16"/>
      <c r="E74" s="16"/>
      <c r="G74" s="16"/>
      <c r="I74" s="16"/>
      <c r="K74" s="16"/>
      <c r="M74" s="16"/>
      <c r="O74" s="16"/>
      <c r="Q74" s="16"/>
      <c r="S74" s="16"/>
      <c r="U74" s="16"/>
      <c r="W74" s="16"/>
      <c r="Y74" s="16"/>
    </row>
  </sheetData>
  <mergeCells count="29">
    <mergeCell ref="A66:Z66"/>
    <mergeCell ref="A70:Z70"/>
    <mergeCell ref="A22:Z22"/>
    <mergeCell ref="A45:Z45"/>
    <mergeCell ref="A50:Z50"/>
    <mergeCell ref="A54:Z54"/>
    <mergeCell ref="A59:Z59"/>
    <mergeCell ref="Y4:Z4"/>
    <mergeCell ref="S4:T4"/>
    <mergeCell ref="A6:Z6"/>
    <mergeCell ref="A9:Z9"/>
    <mergeCell ref="A15:Z15"/>
    <mergeCell ref="O4:P4"/>
    <mergeCell ref="Q4:R4"/>
    <mergeCell ref="K4:L4"/>
    <mergeCell ref="U4:V4"/>
    <mergeCell ref="W4:X4"/>
    <mergeCell ref="E4:F4"/>
    <mergeCell ref="G4:H4"/>
    <mergeCell ref="I4:J4"/>
    <mergeCell ref="C4:D4"/>
    <mergeCell ref="M4:N4"/>
    <mergeCell ref="A1:Z1"/>
    <mergeCell ref="C2:J2"/>
    <mergeCell ref="K2:R2"/>
    <mergeCell ref="S2:Z2"/>
    <mergeCell ref="E3:J3"/>
    <mergeCell ref="M3:R3"/>
    <mergeCell ref="U3:Z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showGridLines="0" workbookViewId="0">
      <selection sqref="A1:T1"/>
    </sheetView>
  </sheetViews>
  <sheetFormatPr defaultColWidth="11.42578125" defaultRowHeight="15" outlineLevelRow="1" x14ac:dyDescent="0.25"/>
  <sheetData>
    <row r="1" spans="1:20" x14ac:dyDescent="0.25">
      <c r="A1" s="18" t="s">
        <v>69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spans="1:20" x14ac:dyDescent="0.25">
      <c r="C2" s="19" t="s">
        <v>2</v>
      </c>
      <c r="D2" s="19"/>
      <c r="E2" s="19"/>
      <c r="F2" s="19"/>
      <c r="G2" s="19"/>
      <c r="H2" s="19"/>
      <c r="I2" s="19" t="s">
        <v>3</v>
      </c>
      <c r="J2" s="19"/>
      <c r="K2" s="19"/>
      <c r="L2" s="19"/>
      <c r="M2" s="19"/>
      <c r="N2" s="19"/>
      <c r="O2" s="19" t="s">
        <v>4</v>
      </c>
      <c r="P2" s="19"/>
      <c r="Q2" s="19"/>
      <c r="R2" s="19"/>
      <c r="S2" s="19"/>
      <c r="T2" s="19"/>
    </row>
    <row r="3" spans="1:20" x14ac:dyDescent="0.25">
      <c r="E3" s="19" t="s">
        <v>70</v>
      </c>
      <c r="F3" s="19"/>
      <c r="G3" s="19"/>
      <c r="H3" s="19"/>
      <c r="K3" s="19" t="s">
        <v>70</v>
      </c>
      <c r="L3" s="19"/>
      <c r="M3" s="19"/>
      <c r="N3" s="19"/>
      <c r="Q3" s="19" t="s">
        <v>70</v>
      </c>
      <c r="R3" s="19"/>
      <c r="S3" s="19"/>
      <c r="T3" s="19"/>
    </row>
    <row r="4" spans="1:20" x14ac:dyDescent="0.25">
      <c r="C4" s="19" t="s">
        <v>9</v>
      </c>
      <c r="D4" s="19"/>
      <c r="E4" s="19" t="s">
        <v>71</v>
      </c>
      <c r="F4" s="19"/>
      <c r="G4" s="19" t="s">
        <v>72</v>
      </c>
      <c r="H4" s="19"/>
      <c r="I4" s="19" t="s">
        <v>9</v>
      </c>
      <c r="J4" s="19"/>
      <c r="K4" s="19" t="s">
        <v>71</v>
      </c>
      <c r="L4" s="19"/>
      <c r="M4" s="19" t="s">
        <v>72</v>
      </c>
      <c r="N4" s="19"/>
      <c r="O4" s="19" t="s">
        <v>9</v>
      </c>
      <c r="P4" s="19"/>
      <c r="Q4" s="19" t="s">
        <v>71</v>
      </c>
      <c r="R4" s="19"/>
      <c r="S4" s="19" t="s">
        <v>72</v>
      </c>
      <c r="T4" s="19"/>
    </row>
    <row r="5" spans="1:20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  <c r="O5" s="1" t="s">
        <v>12</v>
      </c>
      <c r="P5" s="1" t="s">
        <v>13</v>
      </c>
      <c r="Q5" s="1" t="s">
        <v>12</v>
      </c>
      <c r="R5" s="1" t="s">
        <v>13</v>
      </c>
      <c r="S5" s="1" t="s">
        <v>12</v>
      </c>
      <c r="T5" s="1" t="s">
        <v>13</v>
      </c>
    </row>
    <row r="6" spans="1:20" x14ac:dyDescent="0.25">
      <c r="A6" s="19" t="s">
        <v>2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</row>
    <row r="7" spans="1:20" outlineLevel="1" x14ac:dyDescent="0.25">
      <c r="A7" s="2" t="s">
        <v>14</v>
      </c>
      <c r="B7" s="3" t="s">
        <v>2</v>
      </c>
      <c r="C7" s="13">
        <v>0.66474850729655999</v>
      </c>
      <c r="D7" s="3">
        <v>12562</v>
      </c>
      <c r="E7" s="13">
        <v>2.38742848181214E-2</v>
      </c>
      <c r="F7" s="3">
        <v>7927</v>
      </c>
      <c r="G7" s="13">
        <v>6.4921066644059002E-3</v>
      </c>
      <c r="H7" s="3">
        <v>7927</v>
      </c>
      <c r="I7" s="13">
        <v>0.66213622087344903</v>
      </c>
      <c r="J7" s="3">
        <v>6136</v>
      </c>
      <c r="K7" s="13">
        <v>2.6469037616376E-2</v>
      </c>
      <c r="L7" s="3">
        <v>3854</v>
      </c>
      <c r="M7" s="13">
        <v>5.8824571447001796E-3</v>
      </c>
      <c r="N7" s="3">
        <v>3854</v>
      </c>
      <c r="O7" s="13">
        <v>0.66715928450055195</v>
      </c>
      <c r="P7" s="3">
        <v>6426</v>
      </c>
      <c r="Q7" s="13">
        <v>2.1496755035119601E-2</v>
      </c>
      <c r="R7" s="3">
        <v>4073</v>
      </c>
      <c r="S7" s="13">
        <v>7.0507186028025397E-3</v>
      </c>
      <c r="T7" s="4">
        <v>4073</v>
      </c>
    </row>
    <row r="8" spans="1:20" x14ac:dyDescent="0.25">
      <c r="C8" s="16"/>
      <c r="E8" s="16"/>
      <c r="G8" s="16"/>
      <c r="I8" s="16"/>
      <c r="K8" s="16"/>
      <c r="M8" s="16"/>
      <c r="O8" s="16"/>
      <c r="Q8" s="16"/>
      <c r="S8" s="16"/>
    </row>
    <row r="9" spans="1:20" x14ac:dyDescent="0.25">
      <c r="A9" s="19" t="s">
        <v>15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</row>
    <row r="10" spans="1:20" outlineLevel="1" x14ac:dyDescent="0.25">
      <c r="A10" s="5" t="s">
        <v>14</v>
      </c>
      <c r="B10" s="8" t="s">
        <v>16</v>
      </c>
      <c r="C10" s="14">
        <v>0.48104251082280303</v>
      </c>
      <c r="D10" s="8">
        <v>1065</v>
      </c>
      <c r="E10" s="14"/>
      <c r="F10" s="8"/>
      <c r="G10" s="14"/>
      <c r="H10" s="8"/>
      <c r="I10" s="14">
        <v>0.41931118902598002</v>
      </c>
      <c r="J10" s="8">
        <v>509</v>
      </c>
      <c r="K10" s="14"/>
      <c r="L10" s="8"/>
      <c r="M10" s="14"/>
      <c r="N10" s="8"/>
      <c r="O10" s="14">
        <v>0.53664389844355398</v>
      </c>
      <c r="P10" s="8">
        <v>556</v>
      </c>
      <c r="Q10" s="14"/>
      <c r="R10" s="8"/>
      <c r="S10" s="14"/>
      <c r="T10" s="10"/>
    </row>
    <row r="11" spans="1:20" outlineLevel="1" x14ac:dyDescent="0.25">
      <c r="A11" s="6" t="s">
        <v>14</v>
      </c>
      <c r="B11" t="s">
        <v>17</v>
      </c>
      <c r="C11" s="16">
        <v>0.83121360151980594</v>
      </c>
      <c r="D11">
        <v>6423</v>
      </c>
      <c r="E11" s="16">
        <v>1.8990597921515601E-2</v>
      </c>
      <c r="F11">
        <v>5105</v>
      </c>
      <c r="G11" s="16"/>
      <c r="I11" s="16">
        <v>0.82471948741175805</v>
      </c>
      <c r="J11">
        <v>3144</v>
      </c>
      <c r="K11" s="16">
        <v>2.0540968879759199E-2</v>
      </c>
      <c r="L11">
        <v>2463</v>
      </c>
      <c r="M11" s="16"/>
      <c r="O11" s="16">
        <v>0.83686938812332501</v>
      </c>
      <c r="P11">
        <v>3279</v>
      </c>
      <c r="Q11" s="16">
        <v>1.7658964652937498E-2</v>
      </c>
      <c r="R11">
        <v>2642</v>
      </c>
      <c r="S11" s="16"/>
      <c r="T11" s="11"/>
    </row>
    <row r="12" spans="1:20" outlineLevel="1" x14ac:dyDescent="0.25">
      <c r="A12" s="6" t="s">
        <v>14</v>
      </c>
      <c r="B12" t="s">
        <v>18</v>
      </c>
      <c r="C12" s="16">
        <v>0.59623725002247896</v>
      </c>
      <c r="D12">
        <v>2865</v>
      </c>
      <c r="E12" s="16">
        <v>4.95275312473549E-2</v>
      </c>
      <c r="F12">
        <v>1577</v>
      </c>
      <c r="G12" s="16"/>
      <c r="I12" s="16">
        <v>0.62661584839136197</v>
      </c>
      <c r="J12">
        <v>1385</v>
      </c>
      <c r="K12" s="16">
        <v>5.1876217380070901E-2</v>
      </c>
      <c r="L12">
        <v>772</v>
      </c>
      <c r="M12" s="16"/>
      <c r="O12" s="16">
        <v>0.564711179463944</v>
      </c>
      <c r="P12">
        <v>1480</v>
      </c>
      <c r="Q12" s="16">
        <v>4.6827666898908403E-2</v>
      </c>
      <c r="R12">
        <v>805</v>
      </c>
      <c r="S12" s="16"/>
      <c r="T12" s="11"/>
    </row>
    <row r="13" spans="1:20" outlineLevel="1" x14ac:dyDescent="0.25">
      <c r="A13" s="7" t="s">
        <v>14</v>
      </c>
      <c r="B13" s="9" t="s">
        <v>19</v>
      </c>
      <c r="C13" s="15">
        <v>0.338232047832835</v>
      </c>
      <c r="D13" s="9">
        <v>2209</v>
      </c>
      <c r="E13" s="15">
        <v>1.42172794890549E-2</v>
      </c>
      <c r="F13" s="9">
        <v>700</v>
      </c>
      <c r="G13" s="15">
        <v>7.4571162106917402E-2</v>
      </c>
      <c r="H13" s="9">
        <v>700</v>
      </c>
      <c r="I13" s="15">
        <v>0.34996475769452701</v>
      </c>
      <c r="J13" s="9">
        <v>1098</v>
      </c>
      <c r="K13" s="15">
        <v>1.6390544782457599E-2</v>
      </c>
      <c r="L13" s="9">
        <v>363</v>
      </c>
      <c r="M13" s="15">
        <v>6.4040408832114204E-2</v>
      </c>
      <c r="N13" s="9">
        <v>363</v>
      </c>
      <c r="O13" s="15">
        <v>0.32711444648522597</v>
      </c>
      <c r="P13" s="9">
        <v>1111</v>
      </c>
      <c r="Q13" s="15">
        <v>1.2004551116447401E-2</v>
      </c>
      <c r="R13" s="9">
        <v>337</v>
      </c>
      <c r="S13" s="15">
        <v>8.5293137296427304E-2</v>
      </c>
      <c r="T13" s="12">
        <v>337</v>
      </c>
    </row>
    <row r="14" spans="1:20" x14ac:dyDescent="0.25">
      <c r="C14" s="16"/>
      <c r="E14" s="16"/>
      <c r="G14" s="16"/>
      <c r="I14" s="16"/>
      <c r="K14" s="16"/>
      <c r="M14" s="16"/>
      <c r="O14" s="16"/>
      <c r="Q14" s="16"/>
      <c r="S14" s="16"/>
    </row>
    <row r="15" spans="1:20" x14ac:dyDescent="0.25">
      <c r="A15" s="19" t="s">
        <v>20</v>
      </c>
      <c r="B15" s="19"/>
      <c r="C15" s="20"/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</row>
    <row r="16" spans="1:20" outlineLevel="1" x14ac:dyDescent="0.25">
      <c r="A16" s="5" t="s">
        <v>14</v>
      </c>
      <c r="B16" s="8" t="s">
        <v>21</v>
      </c>
      <c r="C16" s="14">
        <v>0.70356400022743104</v>
      </c>
      <c r="D16" s="8">
        <v>3358</v>
      </c>
      <c r="E16" s="14">
        <v>7.2693527231236597E-3</v>
      </c>
      <c r="F16" s="8">
        <v>2372</v>
      </c>
      <c r="G16" s="14">
        <v>7.8402427062997E-3</v>
      </c>
      <c r="H16" s="8">
        <v>2372</v>
      </c>
      <c r="I16" s="14">
        <v>0.68678791989961596</v>
      </c>
      <c r="J16" s="8">
        <v>1626</v>
      </c>
      <c r="K16" s="14">
        <v>8.5553304130573E-3</v>
      </c>
      <c r="L16" s="8">
        <v>1130</v>
      </c>
      <c r="M16" s="14">
        <v>8.6604734497303104E-3</v>
      </c>
      <c r="N16" s="8">
        <v>1130</v>
      </c>
      <c r="O16" s="14">
        <v>0.71930507057082704</v>
      </c>
      <c r="P16" s="8">
        <v>1732</v>
      </c>
      <c r="Q16" s="14">
        <v>6.1149794795861004E-3</v>
      </c>
      <c r="R16" s="8">
        <v>1242</v>
      </c>
      <c r="S16" s="14">
        <v>7.1039527759572301E-3</v>
      </c>
      <c r="T16" s="10">
        <v>1242</v>
      </c>
    </row>
    <row r="17" spans="1:20" outlineLevel="1" x14ac:dyDescent="0.25">
      <c r="A17" s="6" t="s">
        <v>14</v>
      </c>
      <c r="B17" t="s">
        <v>22</v>
      </c>
      <c r="C17" s="16">
        <v>0.71543108699880997</v>
      </c>
      <c r="D17">
        <v>2838</v>
      </c>
      <c r="E17" s="16">
        <v>2.40279159854619E-2</v>
      </c>
      <c r="F17">
        <v>2061</v>
      </c>
      <c r="G17" s="16">
        <v>4.8263803509398101E-3</v>
      </c>
      <c r="H17">
        <v>2061</v>
      </c>
      <c r="I17" s="16">
        <v>0.72238439904698004</v>
      </c>
      <c r="J17">
        <v>1350</v>
      </c>
      <c r="K17" s="16">
        <v>2.5310658210378801E-2</v>
      </c>
      <c r="L17">
        <v>1001</v>
      </c>
      <c r="M17" s="16">
        <v>3.0549028785768402E-3</v>
      </c>
      <c r="N17">
        <v>1001</v>
      </c>
      <c r="O17" s="16">
        <v>0.709263208782833</v>
      </c>
      <c r="P17">
        <v>1488</v>
      </c>
      <c r="Q17" s="16">
        <v>2.2869020191357E-2</v>
      </c>
      <c r="R17">
        <v>1060</v>
      </c>
      <c r="S17" s="16">
        <v>6.4268248924811604E-3</v>
      </c>
      <c r="T17" s="11">
        <v>1060</v>
      </c>
    </row>
    <row r="18" spans="1:20" outlineLevel="1" x14ac:dyDescent="0.25">
      <c r="A18" s="6" t="s">
        <v>14</v>
      </c>
      <c r="B18" t="s">
        <v>23</v>
      </c>
      <c r="C18" s="16">
        <v>0.59721619284182803</v>
      </c>
      <c r="D18">
        <v>2764</v>
      </c>
      <c r="E18" s="16">
        <v>3.0763619532214199E-2</v>
      </c>
      <c r="F18">
        <v>1509</v>
      </c>
      <c r="G18" s="16">
        <v>1.00348816092153E-2</v>
      </c>
      <c r="H18">
        <v>1509</v>
      </c>
      <c r="I18" s="16">
        <v>0.59355343214879297</v>
      </c>
      <c r="J18">
        <v>1390</v>
      </c>
      <c r="K18" s="16">
        <v>3.7154786595401001E-2</v>
      </c>
      <c r="L18">
        <v>738</v>
      </c>
      <c r="M18" s="16">
        <v>9.3817216375820193E-3</v>
      </c>
      <c r="N18">
        <v>738</v>
      </c>
      <c r="O18" s="16">
        <v>0.60068542755824395</v>
      </c>
      <c r="P18">
        <v>1374</v>
      </c>
      <c r="Q18" s="16">
        <v>2.4788280446272001E-2</v>
      </c>
      <c r="R18">
        <v>771</v>
      </c>
      <c r="S18" s="16">
        <v>1.06455450873073E-2</v>
      </c>
      <c r="T18" s="11">
        <v>771</v>
      </c>
    </row>
    <row r="19" spans="1:20" outlineLevel="1" x14ac:dyDescent="0.25">
      <c r="A19" s="6" t="s">
        <v>14</v>
      </c>
      <c r="B19" t="s">
        <v>24</v>
      </c>
      <c r="C19" s="16">
        <v>0.51636116765270401</v>
      </c>
      <c r="D19">
        <v>1623</v>
      </c>
      <c r="E19" s="16">
        <v>6.6311035069642296E-2</v>
      </c>
      <c r="F19">
        <v>857</v>
      </c>
      <c r="G19" s="16">
        <v>1.37687406867044E-2</v>
      </c>
      <c r="H19">
        <v>857</v>
      </c>
      <c r="I19" s="16">
        <v>0.51469286754256305</v>
      </c>
      <c r="J19">
        <v>830</v>
      </c>
      <c r="K19" s="16">
        <v>7.9966618442060503E-2</v>
      </c>
      <c r="L19">
        <v>441</v>
      </c>
      <c r="M19" s="16">
        <v>1.25768017370653E-2</v>
      </c>
      <c r="N19">
        <v>441</v>
      </c>
      <c r="O19" s="16">
        <v>0.51806939851867495</v>
      </c>
      <c r="P19">
        <v>793</v>
      </c>
      <c r="Q19" s="16">
        <v>5.2419736223575E-2</v>
      </c>
      <c r="R19">
        <v>416</v>
      </c>
      <c r="S19" s="16">
        <v>1.4981254257464501E-2</v>
      </c>
      <c r="T19" s="11">
        <v>416</v>
      </c>
    </row>
    <row r="20" spans="1:20" outlineLevel="1" x14ac:dyDescent="0.25">
      <c r="A20" s="7" t="s">
        <v>14</v>
      </c>
      <c r="B20" s="9" t="s">
        <v>25</v>
      </c>
      <c r="C20" s="15">
        <v>0.58750576553521405</v>
      </c>
      <c r="D20" s="9">
        <v>1979</v>
      </c>
      <c r="E20" s="15">
        <v>3.6668312912629203E-2</v>
      </c>
      <c r="F20" s="9">
        <v>1128</v>
      </c>
      <c r="G20" s="15">
        <v>5.6429787246586698E-4</v>
      </c>
      <c r="H20" s="9">
        <v>1128</v>
      </c>
      <c r="I20" s="15">
        <v>0.59521274466566398</v>
      </c>
      <c r="J20" s="9">
        <v>940</v>
      </c>
      <c r="K20" s="15">
        <v>3.4455181446724097E-2</v>
      </c>
      <c r="L20" s="9">
        <v>544</v>
      </c>
      <c r="M20" s="15">
        <v>1.16083916613566E-3</v>
      </c>
      <c r="N20" s="9">
        <v>544</v>
      </c>
      <c r="O20" s="15">
        <v>0.58039949447183004</v>
      </c>
      <c r="P20" s="9">
        <v>1039</v>
      </c>
      <c r="Q20" s="15">
        <v>3.8761823271341901E-2</v>
      </c>
      <c r="R20" s="9">
        <v>584</v>
      </c>
      <c r="S20" s="15"/>
      <c r="T20" s="12"/>
    </row>
    <row r="21" spans="1:20" x14ac:dyDescent="0.25">
      <c r="C21" s="16"/>
      <c r="E21" s="16"/>
      <c r="G21" s="16"/>
      <c r="I21" s="16"/>
      <c r="K21" s="16"/>
      <c r="M21" s="16"/>
      <c r="O21" s="16"/>
      <c r="Q21" s="16"/>
      <c r="S21" s="16"/>
    </row>
    <row r="22" spans="1:20" x14ac:dyDescent="0.25">
      <c r="A22" s="19" t="s">
        <v>26</v>
      </c>
      <c r="B22" s="19"/>
      <c r="C22" s="20"/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</row>
    <row r="23" spans="1:20" outlineLevel="1" x14ac:dyDescent="0.25">
      <c r="A23" s="5" t="s">
        <v>14</v>
      </c>
      <c r="B23" s="8" t="s">
        <v>27</v>
      </c>
      <c r="C23" s="14">
        <v>0.66071642586719403</v>
      </c>
      <c r="D23" s="8">
        <v>337</v>
      </c>
      <c r="E23" s="14">
        <v>1.3710513856886399E-2</v>
      </c>
      <c r="F23" s="8">
        <v>245</v>
      </c>
      <c r="G23" s="14">
        <v>1.3878347214991701E-2</v>
      </c>
      <c r="H23" s="8">
        <v>245</v>
      </c>
      <c r="I23" s="14">
        <v>0.62354030216709899</v>
      </c>
      <c r="J23" s="8">
        <v>178</v>
      </c>
      <c r="K23" s="14">
        <v>2.7280919167584398E-2</v>
      </c>
      <c r="L23" s="8">
        <v>123</v>
      </c>
      <c r="M23" s="14">
        <v>2.7614870784853401E-2</v>
      </c>
      <c r="N23" s="8">
        <v>123</v>
      </c>
      <c r="O23" s="14">
        <v>0.70306678209147599</v>
      </c>
      <c r="P23" s="8">
        <v>159</v>
      </c>
      <c r="Q23" s="14"/>
      <c r="R23" s="8"/>
      <c r="S23" s="14"/>
      <c r="T23" s="10"/>
    </row>
    <row r="24" spans="1:20" outlineLevel="1" x14ac:dyDescent="0.25">
      <c r="A24" s="6" t="s">
        <v>14</v>
      </c>
      <c r="B24" t="s">
        <v>28</v>
      </c>
      <c r="C24" s="16">
        <v>0.77844138366827498</v>
      </c>
      <c r="D24">
        <v>451</v>
      </c>
      <c r="E24" s="16">
        <v>7.9622014676138698E-3</v>
      </c>
      <c r="F24">
        <v>340</v>
      </c>
      <c r="G24" s="16">
        <v>2.0033320601078802E-2</v>
      </c>
      <c r="H24">
        <v>340</v>
      </c>
      <c r="I24" s="16">
        <v>0.77158645255913105</v>
      </c>
      <c r="J24">
        <v>204</v>
      </c>
      <c r="K24" s="16">
        <v>1.34071002486492E-3</v>
      </c>
      <c r="L24">
        <v>150</v>
      </c>
      <c r="M24" s="16">
        <v>2.95659502718475E-2</v>
      </c>
      <c r="N24">
        <v>150</v>
      </c>
      <c r="O24" s="16">
        <v>0.78437779912690397</v>
      </c>
      <c r="P24">
        <v>247</v>
      </c>
      <c r="Q24" s="16">
        <v>1.36719930012276E-2</v>
      </c>
      <c r="R24">
        <v>190</v>
      </c>
      <c r="S24" s="16">
        <v>1.1813219637747599E-2</v>
      </c>
      <c r="T24" s="11">
        <v>190</v>
      </c>
    </row>
    <row r="25" spans="1:20" outlineLevel="1" x14ac:dyDescent="0.25">
      <c r="A25" s="6" t="s">
        <v>14</v>
      </c>
      <c r="B25" t="s">
        <v>29</v>
      </c>
      <c r="C25" s="16">
        <v>0.773434227651427</v>
      </c>
      <c r="D25">
        <v>752</v>
      </c>
      <c r="E25" s="16">
        <v>4.1458374414767799E-3</v>
      </c>
      <c r="F25">
        <v>553</v>
      </c>
      <c r="G25" s="16">
        <v>7.0722901815100702E-3</v>
      </c>
      <c r="H25">
        <v>553</v>
      </c>
      <c r="I25" s="16">
        <v>0.74011673197112304</v>
      </c>
      <c r="J25">
        <v>347</v>
      </c>
      <c r="K25" s="16"/>
      <c r="M25" s="16"/>
      <c r="O25" s="16">
        <v>0.80040674520773902</v>
      </c>
      <c r="P25">
        <v>405</v>
      </c>
      <c r="Q25" s="16">
        <v>7.25540831692356E-3</v>
      </c>
      <c r="R25">
        <v>306</v>
      </c>
      <c r="S25" s="16">
        <v>1.23768367011387E-2</v>
      </c>
      <c r="T25" s="11">
        <v>306</v>
      </c>
    </row>
    <row r="26" spans="1:20" outlineLevel="1" x14ac:dyDescent="0.25">
      <c r="A26" s="6" t="s">
        <v>14</v>
      </c>
      <c r="B26" t="s">
        <v>30</v>
      </c>
      <c r="C26" s="16">
        <v>0.824465068635583</v>
      </c>
      <c r="D26">
        <v>432</v>
      </c>
      <c r="E26" s="16"/>
      <c r="G26" s="16">
        <v>6.3120339329166102E-3</v>
      </c>
      <c r="H26">
        <v>370</v>
      </c>
      <c r="I26" s="16">
        <v>0.78442988220991205</v>
      </c>
      <c r="J26">
        <v>208</v>
      </c>
      <c r="K26" s="16"/>
      <c r="M26" s="16"/>
      <c r="O26" s="16">
        <v>0.86333424878138798</v>
      </c>
      <c r="P26">
        <v>224</v>
      </c>
      <c r="Q26" s="16"/>
      <c r="S26" s="16">
        <v>1.18801465391684E-2</v>
      </c>
      <c r="T26" s="11">
        <v>196</v>
      </c>
    </row>
    <row r="27" spans="1:20" outlineLevel="1" x14ac:dyDescent="0.25">
      <c r="A27" s="6" t="s">
        <v>14</v>
      </c>
      <c r="B27" t="s">
        <v>31</v>
      </c>
      <c r="C27" s="16">
        <v>0.61063611396245399</v>
      </c>
      <c r="D27">
        <v>517</v>
      </c>
      <c r="E27" s="16">
        <v>5.4773339987485804E-3</v>
      </c>
      <c r="F27">
        <v>318</v>
      </c>
      <c r="G27" s="16">
        <v>1.8257779995828601E-3</v>
      </c>
      <c r="H27">
        <v>318</v>
      </c>
      <c r="I27" s="16">
        <v>0.617375827257723</v>
      </c>
      <c r="J27">
        <v>239</v>
      </c>
      <c r="K27" s="16">
        <v>8.1052009305684902E-3</v>
      </c>
      <c r="L27">
        <v>149</v>
      </c>
      <c r="M27" s="16"/>
      <c r="O27" s="16">
        <v>0.60521901535386402</v>
      </c>
      <c r="P27">
        <v>278</v>
      </c>
      <c r="Q27" s="16">
        <v>3.3227385139949798E-3</v>
      </c>
      <c r="R27">
        <v>169</v>
      </c>
      <c r="S27" s="16">
        <v>3.3227385139949798E-3</v>
      </c>
      <c r="T27" s="11">
        <v>169</v>
      </c>
    </row>
    <row r="28" spans="1:20" outlineLevel="1" x14ac:dyDescent="0.25">
      <c r="A28" s="6" t="s">
        <v>14</v>
      </c>
      <c r="B28" t="s">
        <v>32</v>
      </c>
      <c r="C28" s="16">
        <v>0.62369510981425003</v>
      </c>
      <c r="D28">
        <v>544</v>
      </c>
      <c r="E28" s="16">
        <v>1.6046051475185098E-2</v>
      </c>
      <c r="F28">
        <v>354</v>
      </c>
      <c r="G28" s="16"/>
      <c r="I28" s="16">
        <v>0.63890486904694199</v>
      </c>
      <c r="J28">
        <v>276</v>
      </c>
      <c r="K28" s="16">
        <v>1.59014520543206E-2</v>
      </c>
      <c r="L28">
        <v>184</v>
      </c>
      <c r="M28" s="16"/>
      <c r="O28" s="16">
        <v>0.60787879318187499</v>
      </c>
      <c r="P28">
        <v>268</v>
      </c>
      <c r="Q28" s="16">
        <v>1.62040921117226E-2</v>
      </c>
      <c r="R28">
        <v>170</v>
      </c>
      <c r="S28" s="16"/>
      <c r="T28" s="11"/>
    </row>
    <row r="29" spans="1:20" outlineLevel="1" x14ac:dyDescent="0.25">
      <c r="A29" s="6" t="s">
        <v>14</v>
      </c>
      <c r="B29" t="s">
        <v>33</v>
      </c>
      <c r="C29" s="16">
        <v>0.59597444961770296</v>
      </c>
      <c r="D29">
        <v>325</v>
      </c>
      <c r="E29" s="16">
        <v>1.07924772637148E-2</v>
      </c>
      <c r="F29">
        <v>192</v>
      </c>
      <c r="G29" s="16">
        <v>9.8763901836093591E-3</v>
      </c>
      <c r="H29">
        <v>192</v>
      </c>
      <c r="I29" s="16">
        <v>0.60308711679722804</v>
      </c>
      <c r="J29">
        <v>174</v>
      </c>
      <c r="K29" s="16">
        <v>1.51939551535498E-2</v>
      </c>
      <c r="L29">
        <v>103</v>
      </c>
      <c r="M29" s="16">
        <v>1.8079126670220099E-2</v>
      </c>
      <c r="N29">
        <v>103</v>
      </c>
      <c r="O29" s="16">
        <v>0.58763003451610196</v>
      </c>
      <c r="P29">
        <v>151</v>
      </c>
      <c r="Q29" s="16">
        <v>5.4929393478623401E-3</v>
      </c>
      <c r="R29">
        <v>89</v>
      </c>
      <c r="S29" s="16"/>
      <c r="T29" s="11"/>
    </row>
    <row r="30" spans="1:20" outlineLevel="1" x14ac:dyDescent="0.25">
      <c r="A30" s="6" t="s">
        <v>14</v>
      </c>
      <c r="B30" t="s">
        <v>34</v>
      </c>
      <c r="C30" s="16">
        <v>0.65521165862330299</v>
      </c>
      <c r="D30">
        <v>687</v>
      </c>
      <c r="E30" s="16">
        <v>3.65475671990197E-2</v>
      </c>
      <c r="F30">
        <v>478</v>
      </c>
      <c r="G30" s="16">
        <v>5.7207694567043103E-3</v>
      </c>
      <c r="H30">
        <v>478</v>
      </c>
      <c r="I30" s="16">
        <v>0.66100829940469297</v>
      </c>
      <c r="J30">
        <v>324</v>
      </c>
      <c r="K30" s="16">
        <v>2.6115728100321599E-2</v>
      </c>
      <c r="L30">
        <v>229</v>
      </c>
      <c r="M30" s="16">
        <v>1.12089598621548E-2</v>
      </c>
      <c r="N30">
        <v>229</v>
      </c>
      <c r="O30" s="16">
        <v>0.65036473694699704</v>
      </c>
      <c r="P30">
        <v>363</v>
      </c>
      <c r="Q30" s="16">
        <v>4.5413009763489699E-2</v>
      </c>
      <c r="R30">
        <v>249</v>
      </c>
      <c r="S30" s="16">
        <v>1.0566602462326201E-3</v>
      </c>
      <c r="T30" s="11">
        <v>249</v>
      </c>
    </row>
    <row r="31" spans="1:20" outlineLevel="1" x14ac:dyDescent="0.25">
      <c r="A31" s="6" t="s">
        <v>14</v>
      </c>
      <c r="B31" t="s">
        <v>35</v>
      </c>
      <c r="C31" s="16">
        <v>0.73020416925917897</v>
      </c>
      <c r="D31">
        <v>1049</v>
      </c>
      <c r="E31" s="16">
        <v>2.1391799538533599E-2</v>
      </c>
      <c r="F31">
        <v>746</v>
      </c>
      <c r="G31" s="16">
        <v>4.0520539186018898E-3</v>
      </c>
      <c r="H31">
        <v>746</v>
      </c>
      <c r="I31" s="16">
        <v>0.73147672364281602</v>
      </c>
      <c r="J31">
        <v>509</v>
      </c>
      <c r="K31" s="16">
        <v>3.1138989189767902E-2</v>
      </c>
      <c r="L31">
        <v>364</v>
      </c>
      <c r="M31" s="16"/>
      <c r="O31" s="16">
        <v>0.72904609901373396</v>
      </c>
      <c r="P31">
        <v>540</v>
      </c>
      <c r="Q31" s="16">
        <v>1.2491933109374499E-2</v>
      </c>
      <c r="R31">
        <v>382</v>
      </c>
      <c r="S31" s="16">
        <v>7.7518627793785799E-3</v>
      </c>
      <c r="T31" s="11">
        <v>382</v>
      </c>
    </row>
    <row r="32" spans="1:20" outlineLevel="1" x14ac:dyDescent="0.25">
      <c r="A32" s="6" t="s">
        <v>14</v>
      </c>
      <c r="B32" t="s">
        <v>36</v>
      </c>
      <c r="C32" s="16">
        <v>0.77864046083518001</v>
      </c>
      <c r="D32">
        <v>608</v>
      </c>
      <c r="E32" s="16">
        <v>1.71306270628401E-2</v>
      </c>
      <c r="F32">
        <v>476</v>
      </c>
      <c r="G32" s="16">
        <v>8.2487157790826007E-3</v>
      </c>
      <c r="H32">
        <v>476</v>
      </c>
      <c r="I32" s="16">
        <v>0.81279706217877501</v>
      </c>
      <c r="J32">
        <v>280</v>
      </c>
      <c r="K32" s="16"/>
      <c r="M32" s="16">
        <v>3.2030998248940802E-3</v>
      </c>
      <c r="N32">
        <v>232</v>
      </c>
      <c r="O32" s="16">
        <v>0.749016744658351</v>
      </c>
      <c r="P32">
        <v>328</v>
      </c>
      <c r="Q32" s="16">
        <v>3.3252991956785299E-2</v>
      </c>
      <c r="R32">
        <v>244</v>
      </c>
      <c r="S32" s="16">
        <v>1.2997360486000401E-2</v>
      </c>
      <c r="T32" s="11">
        <v>244</v>
      </c>
    </row>
    <row r="33" spans="1:20" outlineLevel="1" x14ac:dyDescent="0.25">
      <c r="A33" s="6" t="s">
        <v>14</v>
      </c>
      <c r="B33" t="s">
        <v>37</v>
      </c>
      <c r="C33" s="16">
        <v>0.73034734038650895</v>
      </c>
      <c r="D33">
        <v>494</v>
      </c>
      <c r="E33" s="16">
        <v>1.12783577606671E-2</v>
      </c>
      <c r="F33">
        <v>361</v>
      </c>
      <c r="G33" s="16">
        <v>3.1326472796010399E-3</v>
      </c>
      <c r="H33">
        <v>361</v>
      </c>
      <c r="I33" s="16">
        <v>0.75105289912710205</v>
      </c>
      <c r="J33">
        <v>237</v>
      </c>
      <c r="K33" s="16">
        <v>3.17465531142367E-3</v>
      </c>
      <c r="L33">
        <v>176</v>
      </c>
      <c r="M33" s="16">
        <v>3.17465531142367E-3</v>
      </c>
      <c r="N33">
        <v>176</v>
      </c>
      <c r="O33" s="16">
        <v>0.71125121159175597</v>
      </c>
      <c r="P33">
        <v>257</v>
      </c>
      <c r="Q33" s="16">
        <v>1.9170399520529499E-2</v>
      </c>
      <c r="R33">
        <v>185</v>
      </c>
      <c r="S33" s="16">
        <v>3.0917364560027701E-3</v>
      </c>
      <c r="T33" s="11">
        <v>185</v>
      </c>
    </row>
    <row r="34" spans="1:20" outlineLevel="1" x14ac:dyDescent="0.25">
      <c r="A34" s="6" t="s">
        <v>14</v>
      </c>
      <c r="B34" t="s">
        <v>38</v>
      </c>
      <c r="C34" s="16">
        <v>0.50921327239434599</v>
      </c>
      <c r="D34">
        <v>1412</v>
      </c>
      <c r="E34" s="16">
        <v>4.7304942902987202E-2</v>
      </c>
      <c r="F34">
        <v>646</v>
      </c>
      <c r="G34" s="16">
        <v>8.8067516044378104E-3</v>
      </c>
      <c r="H34">
        <v>646</v>
      </c>
      <c r="I34" s="16">
        <v>0.48827782919104901</v>
      </c>
      <c r="J34">
        <v>741</v>
      </c>
      <c r="K34" s="16">
        <v>6.3669017095836195E-2</v>
      </c>
      <c r="L34">
        <v>322</v>
      </c>
      <c r="M34" s="16">
        <v>1.2952159614161801E-2</v>
      </c>
      <c r="N34">
        <v>322</v>
      </c>
      <c r="O34" s="16">
        <v>0.53029871270144302</v>
      </c>
      <c r="P34">
        <v>671</v>
      </c>
      <c r="Q34" s="16">
        <v>3.21428032723724E-2</v>
      </c>
      <c r="R34">
        <v>324</v>
      </c>
      <c r="S34" s="16">
        <v>4.9658221189940099E-3</v>
      </c>
      <c r="T34" s="11">
        <v>324</v>
      </c>
    </row>
    <row r="35" spans="1:20" outlineLevel="1" x14ac:dyDescent="0.25">
      <c r="A35" s="6" t="s">
        <v>14</v>
      </c>
      <c r="B35" t="s">
        <v>39</v>
      </c>
      <c r="C35" s="16">
        <v>0.75849441143095497</v>
      </c>
      <c r="D35">
        <v>545</v>
      </c>
      <c r="E35" s="16">
        <v>1.0962220899932099E-2</v>
      </c>
      <c r="F35">
        <v>353</v>
      </c>
      <c r="G35" s="16">
        <v>2.3585165819406699E-3</v>
      </c>
      <c r="H35">
        <v>353</v>
      </c>
      <c r="I35" s="16">
        <v>0.80905072823756097</v>
      </c>
      <c r="J35">
        <v>261</v>
      </c>
      <c r="K35" s="16">
        <v>1.37979759730658E-2</v>
      </c>
      <c r="L35">
        <v>172</v>
      </c>
      <c r="M35" s="16"/>
      <c r="O35" s="16">
        <v>0.71712923611172097</v>
      </c>
      <c r="P35">
        <v>284</v>
      </c>
      <c r="Q35" s="16">
        <v>8.3446015930547703E-3</v>
      </c>
      <c r="R35">
        <v>181</v>
      </c>
      <c r="S35" s="16">
        <v>4.5356081788027096E-3</v>
      </c>
      <c r="T35" s="11">
        <v>181</v>
      </c>
    </row>
    <row r="36" spans="1:20" outlineLevel="1" x14ac:dyDescent="0.25">
      <c r="A36" s="6" t="s">
        <v>14</v>
      </c>
      <c r="B36" t="s">
        <v>40</v>
      </c>
      <c r="C36" s="16">
        <v>0.62076913765818098</v>
      </c>
      <c r="D36">
        <v>489</v>
      </c>
      <c r="E36" s="16">
        <v>3.2445259138762103E-2</v>
      </c>
      <c r="F36">
        <v>302</v>
      </c>
      <c r="G36" s="16">
        <v>2.5107580127098201E-2</v>
      </c>
      <c r="H36">
        <v>302</v>
      </c>
      <c r="I36" s="16">
        <v>0.63206686092291797</v>
      </c>
      <c r="J36">
        <v>239</v>
      </c>
      <c r="K36" s="16">
        <v>1.7073767173237799E-2</v>
      </c>
      <c r="L36">
        <v>149</v>
      </c>
      <c r="M36" s="16">
        <v>4.9947182027997097E-3</v>
      </c>
      <c r="N36">
        <v>149</v>
      </c>
      <c r="O36" s="16">
        <v>0.60937969914324197</v>
      </c>
      <c r="P36">
        <v>250</v>
      </c>
      <c r="Q36" s="16">
        <v>4.8518462636227999E-2</v>
      </c>
      <c r="R36">
        <v>153</v>
      </c>
      <c r="S36" s="16">
        <v>4.6138598023782597E-2</v>
      </c>
      <c r="T36" s="11">
        <v>153</v>
      </c>
    </row>
    <row r="37" spans="1:20" outlineLevel="1" x14ac:dyDescent="0.25">
      <c r="A37" s="6" t="s">
        <v>14</v>
      </c>
      <c r="B37" t="s">
        <v>41</v>
      </c>
      <c r="C37" s="16">
        <v>0.65937503718707802</v>
      </c>
      <c r="D37">
        <v>318</v>
      </c>
      <c r="E37" s="16">
        <v>8.7044544949648108E-3</v>
      </c>
      <c r="F37">
        <v>208</v>
      </c>
      <c r="G37" s="16">
        <v>2.43966395137315E-2</v>
      </c>
      <c r="H37">
        <v>208</v>
      </c>
      <c r="I37" s="16">
        <v>0.64637640379573602</v>
      </c>
      <c r="J37">
        <v>149</v>
      </c>
      <c r="K37" s="16">
        <v>1.0469471136791799E-2</v>
      </c>
      <c r="L37">
        <v>95</v>
      </c>
      <c r="M37" s="16">
        <v>4.2972974441448097E-2</v>
      </c>
      <c r="N37">
        <v>95</v>
      </c>
      <c r="O37" s="16">
        <v>0.67072546422517998</v>
      </c>
      <c r="P37">
        <v>169</v>
      </c>
      <c r="Q37" s="16">
        <v>7.2357950907900696E-3</v>
      </c>
      <c r="R37">
        <v>113</v>
      </c>
      <c r="S37" s="16">
        <v>8.9393863977206001E-3</v>
      </c>
      <c r="T37" s="11">
        <v>113</v>
      </c>
    </row>
    <row r="38" spans="1:20" outlineLevel="1" x14ac:dyDescent="0.25">
      <c r="A38" s="6" t="s">
        <v>14</v>
      </c>
      <c r="B38" t="s">
        <v>42</v>
      </c>
      <c r="C38" s="16">
        <v>0.41348975829883999</v>
      </c>
      <c r="D38">
        <v>890</v>
      </c>
      <c r="E38" s="16">
        <v>9.0026721822424993E-2</v>
      </c>
      <c r="F38">
        <v>351</v>
      </c>
      <c r="G38" s="16">
        <v>4.9266385831580398E-3</v>
      </c>
      <c r="H38">
        <v>351</v>
      </c>
      <c r="I38" s="16">
        <v>0.39235122325509802</v>
      </c>
      <c r="J38">
        <v>446</v>
      </c>
      <c r="K38" s="16">
        <v>0.112108849088338</v>
      </c>
      <c r="L38">
        <v>170</v>
      </c>
      <c r="M38" s="16">
        <v>1.04666372729138E-2</v>
      </c>
      <c r="N38">
        <v>170</v>
      </c>
      <c r="O38" s="16">
        <v>0.43429766598055403</v>
      </c>
      <c r="P38">
        <v>444</v>
      </c>
      <c r="Q38" s="16">
        <v>7.0389413895326797E-2</v>
      </c>
      <c r="R38">
        <v>181</v>
      </c>
      <c r="S38" s="16"/>
      <c r="T38" s="11"/>
    </row>
    <row r="39" spans="1:20" outlineLevel="1" x14ac:dyDescent="0.25">
      <c r="A39" s="6" t="s">
        <v>14</v>
      </c>
      <c r="B39" t="s">
        <v>43</v>
      </c>
      <c r="C39" s="16">
        <v>0.66075716029875298</v>
      </c>
      <c r="D39">
        <v>450</v>
      </c>
      <c r="E39" s="16">
        <v>5.9642690420182699E-2</v>
      </c>
      <c r="F39">
        <v>303</v>
      </c>
      <c r="G39" s="16">
        <v>2.7196218217281701E-2</v>
      </c>
      <c r="H39">
        <v>303</v>
      </c>
      <c r="I39" s="16">
        <v>0.69387408283193697</v>
      </c>
      <c r="J39">
        <v>247</v>
      </c>
      <c r="K39" s="16">
        <v>7.1419517291533702E-2</v>
      </c>
      <c r="L39">
        <v>175</v>
      </c>
      <c r="M39" s="16">
        <v>1.2125189658766199E-2</v>
      </c>
      <c r="N39">
        <v>175</v>
      </c>
      <c r="O39" s="16">
        <v>0.62263769705604399</v>
      </c>
      <c r="P39">
        <v>203</v>
      </c>
      <c r="Q39" s="16">
        <v>4.4535964484401398E-2</v>
      </c>
      <c r="R39">
        <v>128</v>
      </c>
      <c r="S39" s="16">
        <v>4.6528581721553101E-2</v>
      </c>
      <c r="T39" s="11">
        <v>128</v>
      </c>
    </row>
    <row r="40" spans="1:20" outlineLevel="1" x14ac:dyDescent="0.25">
      <c r="A40" s="6" t="s">
        <v>14</v>
      </c>
      <c r="B40" t="s">
        <v>44</v>
      </c>
      <c r="C40" s="16">
        <v>0.716879967189613</v>
      </c>
      <c r="D40">
        <v>283</v>
      </c>
      <c r="E40" s="16">
        <v>4.91361516794656E-3</v>
      </c>
      <c r="F40">
        <v>203</v>
      </c>
      <c r="G40" s="16">
        <v>9.8272303358931095E-3</v>
      </c>
      <c r="H40">
        <v>203</v>
      </c>
      <c r="I40" s="16">
        <v>0.70021544504740896</v>
      </c>
      <c r="J40">
        <v>137</v>
      </c>
      <c r="K40" s="16"/>
      <c r="M40" s="16">
        <v>2.0777478542696098E-2</v>
      </c>
      <c r="N40">
        <v>96</v>
      </c>
      <c r="O40" s="16">
        <v>0.73252552726328901</v>
      </c>
      <c r="P40">
        <v>146</v>
      </c>
      <c r="Q40" s="16">
        <v>9.3233077270019806E-3</v>
      </c>
      <c r="R40">
        <v>107</v>
      </c>
      <c r="S40" s="16"/>
      <c r="T40" s="11"/>
    </row>
    <row r="41" spans="1:20" outlineLevel="1" x14ac:dyDescent="0.25">
      <c r="A41" s="6" t="s">
        <v>14</v>
      </c>
      <c r="B41" t="s">
        <v>45</v>
      </c>
      <c r="C41" s="16">
        <v>0.57215496375930996</v>
      </c>
      <c r="D41">
        <v>813</v>
      </c>
      <c r="E41" s="16">
        <v>4.4409911241192E-2</v>
      </c>
      <c r="F41">
        <v>422</v>
      </c>
      <c r="G41" s="16"/>
      <c r="I41" s="16">
        <v>0.57162620882920601</v>
      </c>
      <c r="J41">
        <v>375</v>
      </c>
      <c r="K41" s="16">
        <v>4.3329835980921598E-2</v>
      </c>
      <c r="L41">
        <v>191</v>
      </c>
      <c r="M41" s="16"/>
      <c r="O41" s="16">
        <v>0.57263957146046196</v>
      </c>
      <c r="P41">
        <v>438</v>
      </c>
      <c r="Q41" s="16">
        <v>4.5398056239895901E-2</v>
      </c>
      <c r="R41">
        <v>231</v>
      </c>
      <c r="S41" s="16"/>
      <c r="T41" s="11"/>
    </row>
    <row r="42" spans="1:20" outlineLevel="1" x14ac:dyDescent="0.25">
      <c r="A42" s="6" t="s">
        <v>14</v>
      </c>
      <c r="B42" t="s">
        <v>46</v>
      </c>
      <c r="C42" s="16">
        <v>0.715974423723308</v>
      </c>
      <c r="D42">
        <v>612</v>
      </c>
      <c r="E42" s="16">
        <v>2.0990920006577998E-2</v>
      </c>
      <c r="F42">
        <v>393</v>
      </c>
      <c r="G42" s="16"/>
      <c r="I42" s="16">
        <v>0.718938165061631</v>
      </c>
      <c r="J42">
        <v>306</v>
      </c>
      <c r="K42" s="16">
        <v>1.6976851364698099E-2</v>
      </c>
      <c r="L42">
        <v>198</v>
      </c>
      <c r="M42" s="16"/>
      <c r="O42" s="16">
        <v>0.71289502521861503</v>
      </c>
      <c r="P42">
        <v>306</v>
      </c>
      <c r="Q42" s="16">
        <v>2.52088337302676E-2</v>
      </c>
      <c r="R42">
        <v>195</v>
      </c>
      <c r="S42" s="16"/>
      <c r="T42" s="11"/>
    </row>
    <row r="43" spans="1:20" outlineLevel="1" x14ac:dyDescent="0.25">
      <c r="A43" s="7" t="s">
        <v>14</v>
      </c>
      <c r="B43" s="9" t="s">
        <v>47</v>
      </c>
      <c r="C43" s="15">
        <v>0.56482393686743604</v>
      </c>
      <c r="D43" s="9">
        <v>554</v>
      </c>
      <c r="E43" s="15">
        <v>2.1430791125141398E-2</v>
      </c>
      <c r="F43" s="9">
        <v>313</v>
      </c>
      <c r="G43" s="15">
        <v>2.9410579289540599E-3</v>
      </c>
      <c r="H43" s="9">
        <v>313</v>
      </c>
      <c r="I43" s="15">
        <v>0.59885345038356497</v>
      </c>
      <c r="J43" s="9">
        <v>259</v>
      </c>
      <c r="K43" s="15">
        <v>1.8166613882857899E-2</v>
      </c>
      <c r="L43" s="9">
        <v>155</v>
      </c>
      <c r="M43" s="15">
        <v>5.9348374727693299E-3</v>
      </c>
      <c r="N43" s="9">
        <v>155</v>
      </c>
      <c r="O43" s="15">
        <v>0.53496044300888501</v>
      </c>
      <c r="P43" s="9">
        <v>295</v>
      </c>
      <c r="Q43" s="15">
        <v>2.4637484944585002E-2</v>
      </c>
      <c r="R43" s="9">
        <v>158</v>
      </c>
      <c r="S43" s="15"/>
      <c r="T43" s="12"/>
    </row>
    <row r="44" spans="1:20" x14ac:dyDescent="0.25">
      <c r="C44" s="16"/>
      <c r="E44" s="16"/>
      <c r="G44" s="16"/>
      <c r="I44" s="16"/>
      <c r="K44" s="16"/>
      <c r="M44" s="16"/>
      <c r="O44" s="16"/>
      <c r="Q44" s="16"/>
      <c r="S44" s="16"/>
    </row>
    <row r="45" spans="1:20" x14ac:dyDescent="0.25">
      <c r="A45" s="19" t="s">
        <v>48</v>
      </c>
      <c r="B45" s="19"/>
      <c r="C45" s="20"/>
      <c r="D45" s="19"/>
      <c r="E45" s="20"/>
      <c r="F45" s="19"/>
      <c r="G45" s="20"/>
      <c r="H45" s="19"/>
      <c r="I45" s="20"/>
      <c r="J45" s="19"/>
      <c r="K45" s="20"/>
      <c r="L45" s="19"/>
      <c r="M45" s="20"/>
      <c r="N45" s="19"/>
      <c r="O45" s="20"/>
      <c r="P45" s="19"/>
      <c r="Q45" s="20"/>
      <c r="R45" s="19"/>
      <c r="S45" s="20"/>
      <c r="T45" s="19"/>
    </row>
    <row r="46" spans="1:20" outlineLevel="1" x14ac:dyDescent="0.25">
      <c r="A46" s="5" t="s">
        <v>14</v>
      </c>
      <c r="B46" s="8" t="s">
        <v>49</v>
      </c>
      <c r="C46" s="14">
        <v>0.64480193791316898</v>
      </c>
      <c r="D46" s="8">
        <v>2000</v>
      </c>
      <c r="E46" s="14">
        <v>3.2597021495213201E-2</v>
      </c>
      <c r="F46" s="8">
        <v>1075</v>
      </c>
      <c r="G46" s="14">
        <v>2.0870303749957798E-3</v>
      </c>
      <c r="H46" s="8">
        <v>1075</v>
      </c>
      <c r="I46" s="14">
        <v>0.62181758587340197</v>
      </c>
      <c r="J46" s="8">
        <v>994</v>
      </c>
      <c r="K46" s="14">
        <v>3.9971040778947899E-2</v>
      </c>
      <c r="L46" s="8">
        <v>509</v>
      </c>
      <c r="M46" s="14">
        <v>3.39611820359922E-3</v>
      </c>
      <c r="N46" s="8">
        <v>509</v>
      </c>
      <c r="O46" s="14">
        <v>0.66712254623823497</v>
      </c>
      <c r="P46" s="8">
        <v>1006</v>
      </c>
      <c r="Q46" s="14">
        <v>2.5924183491915501E-2</v>
      </c>
      <c r="R46" s="8">
        <v>566</v>
      </c>
      <c r="S46" s="14">
        <v>9.02421184777459E-4</v>
      </c>
      <c r="T46" s="10">
        <v>566</v>
      </c>
    </row>
    <row r="47" spans="1:20" outlineLevel="1" x14ac:dyDescent="0.25">
      <c r="A47" s="6" t="s">
        <v>14</v>
      </c>
      <c r="B47" t="s">
        <v>50</v>
      </c>
      <c r="C47" s="16">
        <v>0.69230834406639497</v>
      </c>
      <c r="D47">
        <v>2809</v>
      </c>
      <c r="E47" s="16">
        <v>2.1753879184843498E-2</v>
      </c>
      <c r="F47">
        <v>1897</v>
      </c>
      <c r="G47" s="16">
        <v>1.19592235662953E-2</v>
      </c>
      <c r="H47">
        <v>1897</v>
      </c>
      <c r="I47" s="16">
        <v>0.69586005746683499</v>
      </c>
      <c r="J47">
        <v>1324</v>
      </c>
      <c r="K47" s="16">
        <v>2.2825969581208701E-2</v>
      </c>
      <c r="L47">
        <v>895</v>
      </c>
      <c r="M47" s="16">
        <v>9.7408907969921705E-3</v>
      </c>
      <c r="N47">
        <v>895</v>
      </c>
      <c r="O47" s="16">
        <v>0.68911142489416799</v>
      </c>
      <c r="P47">
        <v>1485</v>
      </c>
      <c r="Q47" s="16">
        <v>2.0777644479113601E-2</v>
      </c>
      <c r="R47">
        <v>1002</v>
      </c>
      <c r="S47" s="16">
        <v>1.39792150199955E-2</v>
      </c>
      <c r="T47" s="11">
        <v>1002</v>
      </c>
    </row>
    <row r="48" spans="1:20" outlineLevel="1" x14ac:dyDescent="0.25">
      <c r="A48" s="7" t="s">
        <v>14</v>
      </c>
      <c r="B48" s="9" t="s">
        <v>51</v>
      </c>
      <c r="C48" s="15">
        <v>0.66382822806727604</v>
      </c>
      <c r="D48" s="9">
        <v>7753</v>
      </c>
      <c r="E48" s="15">
        <v>1.96985600601359E-2</v>
      </c>
      <c r="F48" s="9">
        <v>4955</v>
      </c>
      <c r="G48" s="15">
        <v>6.3923896427675797E-3</v>
      </c>
      <c r="H48" s="9">
        <v>4955</v>
      </c>
      <c r="I48" s="15">
        <v>0.67185365780794803</v>
      </c>
      <c r="J48" s="9">
        <v>3818</v>
      </c>
      <c r="K48" s="15">
        <v>2.0267989776672501E-2</v>
      </c>
      <c r="L48" s="9">
        <v>2450</v>
      </c>
      <c r="M48" s="15">
        <v>5.4370705016756104E-3</v>
      </c>
      <c r="N48" s="9">
        <v>2450</v>
      </c>
      <c r="O48" s="15">
        <v>0.65656575418834195</v>
      </c>
      <c r="P48" s="9">
        <v>3935</v>
      </c>
      <c r="Q48" s="15">
        <v>1.9171225019930498E-2</v>
      </c>
      <c r="R48" s="9">
        <v>2505</v>
      </c>
      <c r="S48" s="15">
        <v>7.2770875133682496E-3</v>
      </c>
      <c r="T48" s="12">
        <v>2505</v>
      </c>
    </row>
    <row r="49" spans="1:20" x14ac:dyDescent="0.25">
      <c r="C49" s="16"/>
      <c r="E49" s="16"/>
      <c r="G49" s="16"/>
      <c r="I49" s="16"/>
      <c r="K49" s="16"/>
      <c r="M49" s="16"/>
      <c r="O49" s="16"/>
      <c r="Q49" s="16"/>
      <c r="S49" s="16"/>
    </row>
    <row r="50" spans="1:20" x14ac:dyDescent="0.25">
      <c r="A50" s="19" t="s">
        <v>52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L50" s="19"/>
      <c r="M50" s="20"/>
      <c r="N50" s="19"/>
      <c r="O50" s="20"/>
      <c r="P50" s="19"/>
      <c r="Q50" s="20"/>
      <c r="R50" s="19"/>
      <c r="S50" s="20"/>
      <c r="T50" s="19"/>
    </row>
    <row r="51" spans="1:20" outlineLevel="1" x14ac:dyDescent="0.25">
      <c r="A51" s="5" t="s">
        <v>14</v>
      </c>
      <c r="B51" s="8" t="s">
        <v>53</v>
      </c>
      <c r="C51" s="14">
        <v>0.62629070620211003</v>
      </c>
      <c r="D51" s="8">
        <v>3274</v>
      </c>
      <c r="E51" s="14">
        <v>3.1386745224647301E-2</v>
      </c>
      <c r="F51" s="8">
        <v>1884</v>
      </c>
      <c r="G51" s="14">
        <v>9.8123748973844103E-3</v>
      </c>
      <c r="H51" s="8">
        <v>1884</v>
      </c>
      <c r="I51" s="14">
        <v>0.65863352538161102</v>
      </c>
      <c r="J51" s="8">
        <v>1623</v>
      </c>
      <c r="K51" s="14">
        <v>3.4629808204269398E-2</v>
      </c>
      <c r="L51" s="8">
        <v>953</v>
      </c>
      <c r="M51" s="14">
        <v>9.1559746870902708E-3</v>
      </c>
      <c r="N51" s="8">
        <v>953</v>
      </c>
      <c r="O51" s="14">
        <v>0.59459602637178999</v>
      </c>
      <c r="P51" s="8">
        <v>1651</v>
      </c>
      <c r="Q51" s="14">
        <v>2.78663963145203E-2</v>
      </c>
      <c r="R51" s="8">
        <v>931</v>
      </c>
      <c r="S51" s="14">
        <v>1.0524898144523301E-2</v>
      </c>
      <c r="T51" s="10">
        <v>931</v>
      </c>
    </row>
    <row r="52" spans="1:20" outlineLevel="1" x14ac:dyDescent="0.25">
      <c r="A52" s="7" t="s">
        <v>14</v>
      </c>
      <c r="B52" s="9" t="s">
        <v>54</v>
      </c>
      <c r="C52" s="15">
        <v>0.67779979561722303</v>
      </c>
      <c r="D52" s="9">
        <v>9288</v>
      </c>
      <c r="E52" s="15">
        <v>2.1514902026146299E-2</v>
      </c>
      <c r="F52" s="9">
        <v>6043</v>
      </c>
      <c r="G52" s="15">
        <v>5.44933461507488E-3</v>
      </c>
      <c r="H52" s="9">
        <v>6043</v>
      </c>
      <c r="I52" s="15">
        <v>0.66337520340038403</v>
      </c>
      <c r="J52" s="9">
        <v>4513</v>
      </c>
      <c r="K52" s="15">
        <v>2.3599271421934898E-2</v>
      </c>
      <c r="L52" s="9">
        <v>2901</v>
      </c>
      <c r="M52" s="15">
        <v>4.7313121788071901E-3</v>
      </c>
      <c r="N52" s="9">
        <v>2901</v>
      </c>
      <c r="O52" s="15">
        <v>0.69084286656410099</v>
      </c>
      <c r="P52" s="9">
        <v>4775</v>
      </c>
      <c r="Q52" s="15">
        <v>1.9704284326208101E-2</v>
      </c>
      <c r="R52" s="9">
        <v>3142</v>
      </c>
      <c r="S52" s="15">
        <v>6.0730552159846104E-3</v>
      </c>
      <c r="T52" s="12">
        <v>3142</v>
      </c>
    </row>
    <row r="53" spans="1:20" x14ac:dyDescent="0.25">
      <c r="C53" s="16"/>
      <c r="E53" s="16"/>
      <c r="G53" s="16"/>
      <c r="I53" s="16"/>
      <c r="K53" s="16"/>
      <c r="M53" s="16"/>
      <c r="O53" s="16"/>
      <c r="Q53" s="16"/>
      <c r="S53" s="16"/>
    </row>
    <row r="54" spans="1:20" x14ac:dyDescent="0.25">
      <c r="A54" s="19" t="s">
        <v>55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</row>
    <row r="55" spans="1:20" outlineLevel="1" x14ac:dyDescent="0.25">
      <c r="A55" s="5" t="s">
        <v>14</v>
      </c>
      <c r="B55" s="8" t="s">
        <v>56</v>
      </c>
      <c r="C55" s="14">
        <v>0.64480193791316898</v>
      </c>
      <c r="D55" s="8">
        <v>2000</v>
      </c>
      <c r="E55" s="14">
        <v>3.2597021495213201E-2</v>
      </c>
      <c r="F55" s="8">
        <v>1075</v>
      </c>
      <c r="G55" s="14">
        <v>2.0870303749957798E-3</v>
      </c>
      <c r="H55" s="8">
        <v>1075</v>
      </c>
      <c r="I55" s="14">
        <v>0.62181758587340197</v>
      </c>
      <c r="J55" s="8">
        <v>994</v>
      </c>
      <c r="K55" s="14">
        <v>3.9971040778947899E-2</v>
      </c>
      <c r="L55" s="8">
        <v>509</v>
      </c>
      <c r="M55" s="14">
        <v>3.39611820359922E-3</v>
      </c>
      <c r="N55" s="8">
        <v>509</v>
      </c>
      <c r="O55" s="14">
        <v>0.66712254623823497</v>
      </c>
      <c r="P55" s="8">
        <v>1006</v>
      </c>
      <c r="Q55" s="14">
        <v>2.5924183491915501E-2</v>
      </c>
      <c r="R55" s="8">
        <v>566</v>
      </c>
      <c r="S55" s="14">
        <v>9.02421184777459E-4</v>
      </c>
      <c r="T55" s="10">
        <v>566</v>
      </c>
    </row>
    <row r="56" spans="1:20" outlineLevel="1" x14ac:dyDescent="0.25">
      <c r="A56" s="6" t="s">
        <v>14</v>
      </c>
      <c r="B56" t="s">
        <v>57</v>
      </c>
      <c r="C56" s="16">
        <v>0.64691838691217096</v>
      </c>
      <c r="D56">
        <v>7512</v>
      </c>
      <c r="E56" s="16">
        <v>2.3980982719437102E-2</v>
      </c>
      <c r="F56">
        <v>4690</v>
      </c>
      <c r="G56" s="16">
        <v>7.59668247113771E-3</v>
      </c>
      <c r="H56">
        <v>4690</v>
      </c>
      <c r="I56" s="16">
        <v>0.631050050757757</v>
      </c>
      <c r="J56">
        <v>3670</v>
      </c>
      <c r="K56" s="16">
        <v>2.3461799869888701E-2</v>
      </c>
      <c r="L56">
        <v>2258</v>
      </c>
      <c r="M56" s="16">
        <v>8.8365461448836093E-3</v>
      </c>
      <c r="N56">
        <v>2258</v>
      </c>
      <c r="O56" s="16">
        <v>0.66164751968702495</v>
      </c>
      <c r="P56">
        <v>3842</v>
      </c>
      <c r="Q56" s="16">
        <v>2.4441037441207899E-2</v>
      </c>
      <c r="R56">
        <v>2432</v>
      </c>
      <c r="S56" s="16">
        <v>6.49802303361003E-3</v>
      </c>
      <c r="T56" s="11">
        <v>2432</v>
      </c>
    </row>
    <row r="57" spans="1:20" outlineLevel="1" x14ac:dyDescent="0.25">
      <c r="A57" s="7" t="s">
        <v>14</v>
      </c>
      <c r="B57" s="9" t="s">
        <v>58</v>
      </c>
      <c r="C57" s="15">
        <v>0.70395485313792805</v>
      </c>
      <c r="D57" s="9">
        <v>3050</v>
      </c>
      <c r="E57" s="15">
        <v>1.6493363828297299E-2</v>
      </c>
      <c r="F57" s="9">
        <v>2162</v>
      </c>
      <c r="G57" s="15">
        <v>8.9652991665616702E-3</v>
      </c>
      <c r="H57" s="9">
        <v>2162</v>
      </c>
      <c r="I57" s="15">
        <v>0.73875501620670203</v>
      </c>
      <c r="J57" s="9">
        <v>1472</v>
      </c>
      <c r="K57" s="15">
        <v>1.86845745452161E-2</v>
      </c>
      <c r="L57" s="9">
        <v>1087</v>
      </c>
      <c r="M57" s="15">
        <v>4.82314706480286E-3</v>
      </c>
      <c r="N57" s="9">
        <v>1087</v>
      </c>
      <c r="O57" s="15">
        <v>0.67350904146157597</v>
      </c>
      <c r="P57" s="9">
        <v>1578</v>
      </c>
      <c r="Q57" s="15">
        <v>1.4389858416701699E-2</v>
      </c>
      <c r="R57" s="9">
        <v>1075</v>
      </c>
      <c r="S57" s="15">
        <v>1.2941657667561401E-2</v>
      </c>
      <c r="T57" s="12">
        <v>1075</v>
      </c>
    </row>
    <row r="58" spans="1:20" x14ac:dyDescent="0.25">
      <c r="C58" s="16"/>
      <c r="E58" s="16"/>
      <c r="G58" s="16"/>
      <c r="I58" s="16"/>
      <c r="K58" s="16"/>
      <c r="M58" s="16"/>
      <c r="O58" s="16"/>
      <c r="Q58" s="16"/>
      <c r="S58" s="16"/>
    </row>
    <row r="59" spans="1:20" x14ac:dyDescent="0.25">
      <c r="A59" s="19" t="s">
        <v>59</v>
      </c>
      <c r="B59" s="19"/>
      <c r="C59" s="20"/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19"/>
      <c r="Q59" s="20"/>
      <c r="R59" s="19"/>
      <c r="S59" s="20"/>
      <c r="T59" s="19"/>
    </row>
    <row r="60" spans="1:20" outlineLevel="1" x14ac:dyDescent="0.25">
      <c r="A60" s="5" t="s">
        <v>14</v>
      </c>
      <c r="B60" s="8" t="s">
        <v>60</v>
      </c>
      <c r="C60" s="14">
        <v>0.66497259283052201</v>
      </c>
      <c r="D60" s="8">
        <v>4707</v>
      </c>
      <c r="E60" s="14">
        <v>2.7401786991391099E-2</v>
      </c>
      <c r="F60" s="8">
        <v>2903</v>
      </c>
      <c r="G60" s="14">
        <v>6.6758869913680604E-3</v>
      </c>
      <c r="H60" s="8">
        <v>2903</v>
      </c>
      <c r="I60" s="14">
        <v>0.65269839953407105</v>
      </c>
      <c r="J60" s="8">
        <v>2275</v>
      </c>
      <c r="K60" s="14">
        <v>3.1880814879552598E-2</v>
      </c>
      <c r="L60" s="8">
        <v>1372</v>
      </c>
      <c r="M60" s="14">
        <v>6.35699100658606E-3</v>
      </c>
      <c r="N60" s="8">
        <v>1372</v>
      </c>
      <c r="O60" s="14">
        <v>0.67658988580861601</v>
      </c>
      <c r="P60" s="8">
        <v>2432</v>
      </c>
      <c r="Q60" s="14">
        <v>2.3309284081726198E-2</v>
      </c>
      <c r="R60" s="8">
        <v>1531</v>
      </c>
      <c r="S60" s="14">
        <v>6.9672633297584103E-3</v>
      </c>
      <c r="T60" s="10">
        <v>1531</v>
      </c>
    </row>
    <row r="61" spans="1:20" outlineLevel="1" x14ac:dyDescent="0.25">
      <c r="A61" s="6" t="s">
        <v>14</v>
      </c>
      <c r="B61" t="s">
        <v>61</v>
      </c>
      <c r="C61" s="16">
        <v>0.68259215975087495</v>
      </c>
      <c r="D61">
        <v>31</v>
      </c>
      <c r="E61" s="16">
        <v>3.8790570724384202E-2</v>
      </c>
      <c r="F61">
        <v>16</v>
      </c>
      <c r="G61" s="16"/>
      <c r="I61" s="16">
        <v>0.69293910635784595</v>
      </c>
      <c r="J61">
        <v>15</v>
      </c>
      <c r="K61" s="16">
        <v>9.4499894796615705E-2</v>
      </c>
      <c r="L61">
        <v>9</v>
      </c>
      <c r="M61" s="16"/>
      <c r="O61" s="16">
        <v>0.67556815836864603</v>
      </c>
      <c r="P61">
        <v>16</v>
      </c>
      <c r="Q61" s="16"/>
      <c r="S61" s="16"/>
      <c r="T61" s="11"/>
    </row>
    <row r="62" spans="1:20" outlineLevel="1" x14ac:dyDescent="0.25">
      <c r="A62" s="6" t="s">
        <v>14</v>
      </c>
      <c r="B62" t="s">
        <v>62</v>
      </c>
      <c r="C62" s="16">
        <v>0.70846374170114701</v>
      </c>
      <c r="D62">
        <v>42</v>
      </c>
      <c r="E62" s="16">
        <v>7.2518358967294694E-2</v>
      </c>
      <c r="F62">
        <v>30</v>
      </c>
      <c r="G62" s="16"/>
      <c r="I62" s="16">
        <v>0.80682345441638503</v>
      </c>
      <c r="J62">
        <v>15</v>
      </c>
      <c r="K62" s="16">
        <v>8.5751866293569096E-2</v>
      </c>
      <c r="L62">
        <v>12</v>
      </c>
      <c r="M62" s="16"/>
      <c r="O62" s="16">
        <v>0.67610821550364797</v>
      </c>
      <c r="P62">
        <v>27</v>
      </c>
      <c r="Q62" s="16">
        <v>6.7323563185280696E-2</v>
      </c>
      <c r="R62">
        <v>18</v>
      </c>
      <c r="S62" s="16"/>
      <c r="T62" s="11"/>
    </row>
    <row r="63" spans="1:20" outlineLevel="1" x14ac:dyDescent="0.25">
      <c r="A63" s="6" t="s">
        <v>14</v>
      </c>
      <c r="B63" t="s">
        <v>63</v>
      </c>
      <c r="C63" s="16">
        <v>0.74160491444905496</v>
      </c>
      <c r="D63">
        <v>29</v>
      </c>
      <c r="E63" s="16"/>
      <c r="G63" s="16"/>
      <c r="I63" s="16">
        <v>0.69976552728649899</v>
      </c>
      <c r="J63">
        <v>13</v>
      </c>
      <c r="K63" s="16"/>
      <c r="M63" s="16"/>
      <c r="O63" s="16">
        <v>0.780878091793756</v>
      </c>
      <c r="P63">
        <v>16</v>
      </c>
      <c r="Q63" s="16"/>
      <c r="S63" s="16"/>
      <c r="T63" s="11"/>
    </row>
    <row r="64" spans="1:20" outlineLevel="1" x14ac:dyDescent="0.25">
      <c r="A64" s="7" t="s">
        <v>14</v>
      </c>
      <c r="B64" s="9" t="s">
        <v>64</v>
      </c>
      <c r="C64" s="15">
        <v>0.66382822806727604</v>
      </c>
      <c r="D64" s="9">
        <v>7753</v>
      </c>
      <c r="E64" s="15">
        <v>1.96985600601359E-2</v>
      </c>
      <c r="F64" s="9">
        <v>4955</v>
      </c>
      <c r="G64" s="15">
        <v>6.3923896427675797E-3</v>
      </c>
      <c r="H64" s="9">
        <v>4955</v>
      </c>
      <c r="I64" s="15">
        <v>0.67185365780794803</v>
      </c>
      <c r="J64" s="9">
        <v>3818</v>
      </c>
      <c r="K64" s="15">
        <v>2.0267989776672501E-2</v>
      </c>
      <c r="L64" s="9">
        <v>2450</v>
      </c>
      <c r="M64" s="15">
        <v>5.4370705016756104E-3</v>
      </c>
      <c r="N64" s="9">
        <v>2450</v>
      </c>
      <c r="O64" s="15">
        <v>0.65656575418834195</v>
      </c>
      <c r="P64" s="9">
        <v>3935</v>
      </c>
      <c r="Q64" s="15">
        <v>1.9171225019930498E-2</v>
      </c>
      <c r="R64" s="9">
        <v>2505</v>
      </c>
      <c r="S64" s="15">
        <v>7.2770875133682496E-3</v>
      </c>
      <c r="T64" s="12">
        <v>2505</v>
      </c>
    </row>
    <row r="65" spans="1:20" x14ac:dyDescent="0.25">
      <c r="C65" s="16"/>
      <c r="E65" s="16"/>
      <c r="G65" s="16"/>
      <c r="I65" s="16"/>
      <c r="K65" s="16"/>
      <c r="M65" s="16"/>
      <c r="O65" s="16"/>
      <c r="Q65" s="16"/>
      <c r="S65" s="16"/>
    </row>
    <row r="66" spans="1:20" x14ac:dyDescent="0.25">
      <c r="A66" s="19" t="s">
        <v>65</v>
      </c>
      <c r="B66" s="19"/>
      <c r="C66" s="20"/>
      <c r="D66" s="19"/>
      <c r="E66" s="20"/>
      <c r="F66" s="19"/>
      <c r="G66" s="20"/>
      <c r="H66" s="19"/>
      <c r="I66" s="20"/>
      <c r="J66" s="19"/>
      <c r="K66" s="20"/>
      <c r="L66" s="19"/>
      <c r="M66" s="20"/>
      <c r="N66" s="19"/>
      <c r="O66" s="20"/>
      <c r="P66" s="19"/>
      <c r="Q66" s="20"/>
      <c r="R66" s="19"/>
      <c r="S66" s="20"/>
      <c r="T66" s="19"/>
    </row>
    <row r="67" spans="1:20" outlineLevel="1" x14ac:dyDescent="0.25">
      <c r="A67" s="5" t="s">
        <v>14</v>
      </c>
      <c r="B67" s="8" t="s">
        <v>66</v>
      </c>
      <c r="C67" s="14">
        <v>0.67097561016787299</v>
      </c>
      <c r="D67" s="8">
        <v>12200</v>
      </c>
      <c r="E67" s="14">
        <v>2.1809345011054401E-2</v>
      </c>
      <c r="F67" s="8">
        <v>7780</v>
      </c>
      <c r="G67" s="14">
        <v>6.5179083206481003E-3</v>
      </c>
      <c r="H67" s="8">
        <v>7780</v>
      </c>
      <c r="I67" s="14">
        <v>0.66685108701621398</v>
      </c>
      <c r="J67" s="8">
        <v>5973</v>
      </c>
      <c r="K67" s="14">
        <v>2.3429273928698601E-2</v>
      </c>
      <c r="L67" s="8">
        <v>3777</v>
      </c>
      <c r="M67" s="14">
        <v>5.9138399773543101E-3</v>
      </c>
      <c r="N67" s="8">
        <v>3777</v>
      </c>
      <c r="O67" s="14">
        <v>0.67475915429144595</v>
      </c>
      <c r="P67" s="8">
        <v>6227</v>
      </c>
      <c r="Q67" s="14">
        <v>2.03401639188023E-2</v>
      </c>
      <c r="R67" s="8">
        <v>4003</v>
      </c>
      <c r="S67" s="14">
        <v>7.0657630929957397E-3</v>
      </c>
      <c r="T67" s="10">
        <v>4003</v>
      </c>
    </row>
    <row r="68" spans="1:20" outlineLevel="1" x14ac:dyDescent="0.25">
      <c r="A68" s="7" t="s">
        <v>14</v>
      </c>
      <c r="B68" s="9" t="s">
        <v>67</v>
      </c>
      <c r="C68" s="15">
        <v>0.45826482049725598</v>
      </c>
      <c r="D68" s="9">
        <v>362</v>
      </c>
      <c r="E68" s="15">
        <v>0.124006704861633</v>
      </c>
      <c r="F68" s="9">
        <v>147</v>
      </c>
      <c r="G68" s="15">
        <v>5.2409407602860801E-3</v>
      </c>
      <c r="H68" s="9">
        <v>147</v>
      </c>
      <c r="I68" s="15">
        <v>0.52092493567935305</v>
      </c>
      <c r="J68" s="9">
        <v>163</v>
      </c>
      <c r="K68" s="15">
        <v>0.14289835509625301</v>
      </c>
      <c r="L68" s="9">
        <v>77</v>
      </c>
      <c r="M68" s="15">
        <v>4.6804289076637796E-3</v>
      </c>
      <c r="N68" s="9">
        <v>77</v>
      </c>
      <c r="O68" s="15">
        <v>0.38769122675323098</v>
      </c>
      <c r="P68" s="9">
        <v>199</v>
      </c>
      <c r="Q68" s="15">
        <v>9.5416970901181605E-2</v>
      </c>
      <c r="R68" s="9">
        <v>70</v>
      </c>
      <c r="S68" s="15">
        <v>6.0891930066030798E-3</v>
      </c>
      <c r="T68" s="12">
        <v>70</v>
      </c>
    </row>
    <row r="69" spans="1:20" x14ac:dyDescent="0.25">
      <c r="C69" s="16"/>
      <c r="E69" s="16"/>
      <c r="G69" s="16"/>
      <c r="I69" s="16"/>
      <c r="K69" s="16"/>
      <c r="M69" s="16"/>
      <c r="O69" s="16"/>
      <c r="Q69" s="16"/>
      <c r="S69" s="16"/>
    </row>
    <row r="70" spans="1:20" x14ac:dyDescent="0.25">
      <c r="A70" s="19" t="s">
        <v>68</v>
      </c>
      <c r="B70" s="19"/>
      <c r="C70" s="20"/>
      <c r="D70" s="19"/>
      <c r="E70" s="20"/>
      <c r="F70" s="19"/>
      <c r="G70" s="20"/>
      <c r="H70" s="19"/>
      <c r="I70" s="20"/>
      <c r="J70" s="19"/>
      <c r="K70" s="20"/>
      <c r="L70" s="19"/>
      <c r="M70" s="20"/>
      <c r="N70" s="19"/>
      <c r="O70" s="20"/>
      <c r="P70" s="19"/>
      <c r="Q70" s="20"/>
      <c r="R70" s="19"/>
      <c r="S70" s="20"/>
      <c r="T70" s="19"/>
    </row>
    <row r="71" spans="1:20" outlineLevel="1" x14ac:dyDescent="0.25">
      <c r="A71" s="5" t="s">
        <v>14</v>
      </c>
      <c r="B71" s="8" t="s">
        <v>66</v>
      </c>
      <c r="C71" s="14">
        <v>0.67040327639673503</v>
      </c>
      <c r="D71" s="8">
        <v>12064</v>
      </c>
      <c r="E71" s="14">
        <v>2.1916225425622101E-2</v>
      </c>
      <c r="F71" s="8">
        <v>7685</v>
      </c>
      <c r="G71" s="14">
        <v>6.5978174935716798E-3</v>
      </c>
      <c r="H71" s="8">
        <v>7685</v>
      </c>
      <c r="I71" s="14">
        <v>0.66764750639078796</v>
      </c>
      <c r="J71" s="8">
        <v>5917</v>
      </c>
      <c r="K71" s="14">
        <v>2.3478656308062999E-2</v>
      </c>
      <c r="L71" s="8">
        <v>3740</v>
      </c>
      <c r="M71" s="14">
        <v>5.9560799742800798E-3</v>
      </c>
      <c r="N71" s="8">
        <v>3740</v>
      </c>
      <c r="O71" s="14">
        <v>0.67294589315867204</v>
      </c>
      <c r="P71" s="8">
        <v>6147</v>
      </c>
      <c r="Q71" s="14">
        <v>2.0485398030076402E-2</v>
      </c>
      <c r="R71" s="8">
        <v>3945</v>
      </c>
      <c r="S71" s="14">
        <v>7.18550148885818E-3</v>
      </c>
      <c r="T71" s="10">
        <v>3945</v>
      </c>
    </row>
    <row r="72" spans="1:20" outlineLevel="1" x14ac:dyDescent="0.25">
      <c r="A72" s="7" t="s">
        <v>14</v>
      </c>
      <c r="B72" s="9" t="s">
        <v>67</v>
      </c>
      <c r="C72" s="15">
        <v>0.52973398371692204</v>
      </c>
      <c r="D72" s="9">
        <v>498</v>
      </c>
      <c r="E72" s="15">
        <v>8.2967927045587905E-2</v>
      </c>
      <c r="F72" s="9">
        <v>242</v>
      </c>
      <c r="G72" s="15">
        <v>3.3017857056948999E-3</v>
      </c>
      <c r="H72" s="9">
        <v>242</v>
      </c>
      <c r="I72" s="15">
        <v>0.53093196380604002</v>
      </c>
      <c r="J72" s="9">
        <v>219</v>
      </c>
      <c r="K72" s="15">
        <v>0.115901592954674</v>
      </c>
      <c r="L72" s="9">
        <v>114</v>
      </c>
      <c r="M72" s="15">
        <v>3.6806383457854302E-3</v>
      </c>
      <c r="N72" s="9">
        <v>114</v>
      </c>
      <c r="O72" s="15">
        <v>0.52862242154765304</v>
      </c>
      <c r="P72" s="9">
        <v>279</v>
      </c>
      <c r="Q72" s="15">
        <v>5.2276468667784397E-2</v>
      </c>
      <c r="R72" s="9">
        <v>128</v>
      </c>
      <c r="S72" s="15">
        <v>2.94872631453093E-3</v>
      </c>
      <c r="T72" s="12">
        <v>128</v>
      </c>
    </row>
    <row r="73" spans="1:20" x14ac:dyDescent="0.25">
      <c r="C73" s="16"/>
      <c r="E73" s="16"/>
      <c r="G73" s="16"/>
      <c r="I73" s="16"/>
      <c r="K73" s="16"/>
      <c r="M73" s="16"/>
      <c r="O73" s="16"/>
      <c r="Q73" s="16"/>
      <c r="S73" s="16"/>
    </row>
    <row r="74" spans="1:20" x14ac:dyDescent="0.25">
      <c r="C74" s="16"/>
      <c r="E74" s="16"/>
      <c r="G74" s="16"/>
      <c r="I74" s="16"/>
      <c r="K74" s="16"/>
      <c r="M74" s="16"/>
      <c r="O74" s="16"/>
      <c r="Q74" s="16"/>
      <c r="S74" s="16"/>
    </row>
  </sheetData>
  <mergeCells count="26">
    <mergeCell ref="A59:T59"/>
    <mergeCell ref="A66:T66"/>
    <mergeCell ref="A70:T70"/>
    <mergeCell ref="A15:T15"/>
    <mergeCell ref="A22:T22"/>
    <mergeCell ref="A45:T45"/>
    <mergeCell ref="A50:T50"/>
    <mergeCell ref="A54:T54"/>
    <mergeCell ref="Q4:R4"/>
    <mergeCell ref="S4:T4"/>
    <mergeCell ref="O4:P4"/>
    <mergeCell ref="A6:T6"/>
    <mergeCell ref="A9:T9"/>
    <mergeCell ref="E4:F4"/>
    <mergeCell ref="G4:H4"/>
    <mergeCell ref="C4:D4"/>
    <mergeCell ref="K4:L4"/>
    <mergeCell ref="M4:N4"/>
    <mergeCell ref="I4:J4"/>
    <mergeCell ref="A1:T1"/>
    <mergeCell ref="C2:H2"/>
    <mergeCell ref="I2:N2"/>
    <mergeCell ref="O2:T2"/>
    <mergeCell ref="E3:H3"/>
    <mergeCell ref="K3:N3"/>
    <mergeCell ref="Q3:T3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74"/>
  <sheetViews>
    <sheetView showGridLines="0" workbookViewId="0">
      <selection sqref="A1:AR1"/>
    </sheetView>
  </sheetViews>
  <sheetFormatPr defaultColWidth="11.42578125" defaultRowHeight="15" outlineLevelRow="1" x14ac:dyDescent="0.25"/>
  <sheetData>
    <row r="1" spans="1:44" x14ac:dyDescent="0.25">
      <c r="A1" s="18" t="s">
        <v>73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</row>
    <row r="2" spans="1:44" x14ac:dyDescent="0.25">
      <c r="C2" s="19" t="s">
        <v>2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 t="s">
        <v>3</v>
      </c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 t="s">
        <v>4</v>
      </c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</row>
    <row r="3" spans="1:44" x14ac:dyDescent="0.25">
      <c r="E3" s="19" t="s">
        <v>74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S3" s="19" t="s">
        <v>74</v>
      </c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G3" s="19" t="s">
        <v>74</v>
      </c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</row>
    <row r="4" spans="1:44" x14ac:dyDescent="0.25">
      <c r="C4" s="19" t="s">
        <v>81</v>
      </c>
      <c r="D4" s="19"/>
      <c r="E4" s="19" t="s">
        <v>75</v>
      </c>
      <c r="F4" s="19"/>
      <c r="G4" s="19" t="s">
        <v>76</v>
      </c>
      <c r="H4" s="19"/>
      <c r="I4" s="19" t="s">
        <v>77</v>
      </c>
      <c r="J4" s="19"/>
      <c r="K4" s="19" t="s">
        <v>78</v>
      </c>
      <c r="L4" s="19"/>
      <c r="M4" s="19" t="s">
        <v>79</v>
      </c>
      <c r="N4" s="19"/>
      <c r="O4" s="19" t="s">
        <v>80</v>
      </c>
      <c r="P4" s="19"/>
      <c r="Q4" s="19" t="s">
        <v>81</v>
      </c>
      <c r="R4" s="19"/>
      <c r="S4" s="19" t="s">
        <v>75</v>
      </c>
      <c r="T4" s="19"/>
      <c r="U4" s="19" t="s">
        <v>76</v>
      </c>
      <c r="V4" s="19"/>
      <c r="W4" s="19" t="s">
        <v>77</v>
      </c>
      <c r="X4" s="19"/>
      <c r="Y4" s="19" t="s">
        <v>78</v>
      </c>
      <c r="Z4" s="19"/>
      <c r="AA4" s="19" t="s">
        <v>79</v>
      </c>
      <c r="AB4" s="19"/>
      <c r="AC4" s="19" t="s">
        <v>80</v>
      </c>
      <c r="AD4" s="19"/>
      <c r="AE4" s="19" t="s">
        <v>81</v>
      </c>
      <c r="AF4" s="19"/>
      <c r="AG4" s="19" t="s">
        <v>75</v>
      </c>
      <c r="AH4" s="19"/>
      <c r="AI4" s="19" t="s">
        <v>76</v>
      </c>
      <c r="AJ4" s="19"/>
      <c r="AK4" s="19" t="s">
        <v>77</v>
      </c>
      <c r="AL4" s="19"/>
      <c r="AM4" s="19" t="s">
        <v>78</v>
      </c>
      <c r="AN4" s="19"/>
      <c r="AO4" s="19" t="s">
        <v>79</v>
      </c>
      <c r="AP4" s="19"/>
      <c r="AQ4" s="19" t="s">
        <v>80</v>
      </c>
      <c r="AR4" s="19"/>
    </row>
    <row r="5" spans="1:44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  <c r="O5" s="1" t="s">
        <v>12</v>
      </c>
      <c r="P5" s="1" t="s">
        <v>13</v>
      </c>
      <c r="Q5" s="1" t="s">
        <v>12</v>
      </c>
      <c r="R5" s="1" t="s">
        <v>13</v>
      </c>
      <c r="S5" s="1" t="s">
        <v>12</v>
      </c>
      <c r="T5" s="1" t="s">
        <v>13</v>
      </c>
      <c r="U5" s="1" t="s">
        <v>12</v>
      </c>
      <c r="V5" s="1" t="s">
        <v>13</v>
      </c>
      <c r="W5" s="1" t="s">
        <v>12</v>
      </c>
      <c r="X5" s="1" t="s">
        <v>13</v>
      </c>
      <c r="Y5" s="1" t="s">
        <v>12</v>
      </c>
      <c r="Z5" s="1" t="s">
        <v>13</v>
      </c>
      <c r="AA5" s="1" t="s">
        <v>12</v>
      </c>
      <c r="AB5" s="1" t="s">
        <v>13</v>
      </c>
      <c r="AC5" s="1" t="s">
        <v>12</v>
      </c>
      <c r="AD5" s="1" t="s">
        <v>13</v>
      </c>
      <c r="AE5" s="1" t="s">
        <v>12</v>
      </c>
      <c r="AF5" s="1" t="s">
        <v>13</v>
      </c>
      <c r="AG5" s="1" t="s">
        <v>12</v>
      </c>
      <c r="AH5" s="1" t="s">
        <v>13</v>
      </c>
      <c r="AI5" s="1" t="s">
        <v>12</v>
      </c>
      <c r="AJ5" s="1" t="s">
        <v>13</v>
      </c>
      <c r="AK5" s="1" t="s">
        <v>12</v>
      </c>
      <c r="AL5" s="1" t="s">
        <v>13</v>
      </c>
      <c r="AM5" s="1" t="s">
        <v>12</v>
      </c>
      <c r="AN5" s="1" t="s">
        <v>13</v>
      </c>
      <c r="AO5" s="1" t="s">
        <v>12</v>
      </c>
      <c r="AP5" s="1" t="s">
        <v>13</v>
      </c>
      <c r="AQ5" s="1" t="s">
        <v>12</v>
      </c>
      <c r="AR5" s="1" t="s">
        <v>13</v>
      </c>
    </row>
    <row r="6" spans="1:44" x14ac:dyDescent="0.25">
      <c r="A6" s="19" t="s">
        <v>2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  <c r="U6" s="20"/>
      <c r="V6" s="19"/>
      <c r="W6" s="20"/>
      <c r="X6" s="19"/>
      <c r="Y6" s="20"/>
      <c r="Z6" s="19"/>
      <c r="AA6" s="20"/>
      <c r="AB6" s="19"/>
      <c r="AC6" s="20"/>
      <c r="AD6" s="19"/>
      <c r="AE6" s="20"/>
      <c r="AF6" s="19"/>
      <c r="AG6" s="20"/>
      <c r="AH6" s="19"/>
      <c r="AI6" s="20"/>
      <c r="AJ6" s="19"/>
      <c r="AK6" s="20"/>
      <c r="AL6" s="19"/>
      <c r="AM6" s="20"/>
      <c r="AN6" s="19"/>
      <c r="AO6" s="20"/>
      <c r="AP6" s="19"/>
      <c r="AQ6" s="20"/>
      <c r="AR6" s="19"/>
    </row>
    <row r="7" spans="1:44" outlineLevel="1" x14ac:dyDescent="0.25">
      <c r="A7" s="2" t="s">
        <v>14</v>
      </c>
      <c r="B7" s="3" t="s">
        <v>2</v>
      </c>
      <c r="C7" s="13">
        <v>0.33525149270344001</v>
      </c>
      <c r="D7" s="3">
        <v>12562</v>
      </c>
      <c r="E7" s="13">
        <v>0.31405215909208001</v>
      </c>
      <c r="F7" s="3">
        <v>4597</v>
      </c>
      <c r="G7" s="13">
        <v>7.0210392194238705E-2</v>
      </c>
      <c r="H7" s="3">
        <v>4597</v>
      </c>
      <c r="I7" s="13">
        <v>0.17617444210064501</v>
      </c>
      <c r="J7" s="3">
        <v>4597</v>
      </c>
      <c r="K7" s="13">
        <v>3.7905157441324902E-2</v>
      </c>
      <c r="L7" s="3">
        <v>4597</v>
      </c>
      <c r="M7" s="13">
        <v>0.24637592857673399</v>
      </c>
      <c r="N7" s="3">
        <v>4597</v>
      </c>
      <c r="O7" s="13">
        <v>0.155281920594978</v>
      </c>
      <c r="P7" s="3">
        <v>4597</v>
      </c>
      <c r="Q7" s="13">
        <v>0.33786377912655102</v>
      </c>
      <c r="R7" s="3">
        <v>6136</v>
      </c>
      <c r="S7" s="13">
        <v>0.31939931394374899</v>
      </c>
      <c r="T7" s="3">
        <v>2266</v>
      </c>
      <c r="U7" s="13">
        <v>1.9341721592447E-2</v>
      </c>
      <c r="V7" s="3">
        <v>2266</v>
      </c>
      <c r="W7" s="13">
        <v>0.19710182512560501</v>
      </c>
      <c r="X7" s="3">
        <v>2266</v>
      </c>
      <c r="Y7" s="13">
        <v>3.64120697207393E-2</v>
      </c>
      <c r="Z7" s="3">
        <v>2266</v>
      </c>
      <c r="AA7" s="13">
        <v>0.26030283252189401</v>
      </c>
      <c r="AB7" s="3">
        <v>2266</v>
      </c>
      <c r="AC7" s="13">
        <v>0.16744223709556499</v>
      </c>
      <c r="AD7" s="3">
        <v>2266</v>
      </c>
      <c r="AE7" s="13">
        <v>0.33284071549944799</v>
      </c>
      <c r="AF7" s="3">
        <v>6426</v>
      </c>
      <c r="AG7" s="13">
        <v>0.30903492037612501</v>
      </c>
      <c r="AH7" s="3">
        <v>2331</v>
      </c>
      <c r="AI7" s="13">
        <v>0.117940497390789</v>
      </c>
      <c r="AJ7" s="3">
        <v>2331</v>
      </c>
      <c r="AK7" s="13">
        <v>0.15653826562005399</v>
      </c>
      <c r="AL7" s="3">
        <v>2331</v>
      </c>
      <c r="AM7" s="13">
        <v>3.9306122576213201E-2</v>
      </c>
      <c r="AN7" s="3">
        <v>2331</v>
      </c>
      <c r="AO7" s="13">
        <v>0.23330830596146299</v>
      </c>
      <c r="AP7" s="3">
        <v>2331</v>
      </c>
      <c r="AQ7" s="13">
        <v>0.143871888075356</v>
      </c>
      <c r="AR7" s="4">
        <v>2331</v>
      </c>
    </row>
    <row r="8" spans="1:44" x14ac:dyDescent="0.25">
      <c r="C8" s="16"/>
      <c r="E8" s="16"/>
      <c r="G8" s="16"/>
      <c r="I8" s="16"/>
      <c r="K8" s="16"/>
      <c r="M8" s="16"/>
      <c r="O8" s="16"/>
      <c r="Q8" s="16"/>
      <c r="S8" s="16"/>
      <c r="U8" s="16"/>
      <c r="W8" s="16"/>
      <c r="Y8" s="16"/>
      <c r="AA8" s="16"/>
      <c r="AC8" s="16"/>
      <c r="AE8" s="16"/>
      <c r="AG8" s="16"/>
      <c r="AI8" s="16"/>
      <c r="AK8" s="16"/>
      <c r="AM8" s="16"/>
      <c r="AO8" s="16"/>
      <c r="AQ8" s="16"/>
    </row>
    <row r="9" spans="1:44" x14ac:dyDescent="0.25">
      <c r="A9" s="19" t="s">
        <v>15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19"/>
      <c r="Y9" s="20"/>
      <c r="Z9" s="19"/>
      <c r="AA9" s="20"/>
      <c r="AB9" s="19"/>
      <c r="AC9" s="20"/>
      <c r="AD9" s="19"/>
      <c r="AE9" s="20"/>
      <c r="AF9" s="19"/>
      <c r="AG9" s="20"/>
      <c r="AH9" s="19"/>
      <c r="AI9" s="20"/>
      <c r="AJ9" s="19"/>
      <c r="AK9" s="20"/>
      <c r="AL9" s="19"/>
      <c r="AM9" s="20"/>
      <c r="AN9" s="19"/>
      <c r="AO9" s="20"/>
      <c r="AP9" s="19"/>
      <c r="AQ9" s="20"/>
      <c r="AR9" s="19"/>
    </row>
    <row r="10" spans="1:44" outlineLevel="1" x14ac:dyDescent="0.25">
      <c r="A10" s="5" t="s">
        <v>14</v>
      </c>
      <c r="B10" s="8" t="s">
        <v>16</v>
      </c>
      <c r="C10" s="14">
        <v>0.51895748917719697</v>
      </c>
      <c r="D10" s="8">
        <v>1065</v>
      </c>
      <c r="E10" s="14">
        <v>0.30113382926039001</v>
      </c>
      <c r="F10" s="8">
        <v>515</v>
      </c>
      <c r="G10" s="14"/>
      <c r="H10" s="8"/>
      <c r="I10" s="14">
        <v>0.38842797716773803</v>
      </c>
      <c r="J10" s="8">
        <v>515</v>
      </c>
      <c r="K10" s="14">
        <v>4.0711762169425098E-2</v>
      </c>
      <c r="L10" s="8">
        <v>515</v>
      </c>
      <c r="M10" s="14">
        <v>0.152015242273002</v>
      </c>
      <c r="N10" s="8">
        <v>515</v>
      </c>
      <c r="O10" s="14">
        <v>0.117711189129445</v>
      </c>
      <c r="P10" s="8">
        <v>515</v>
      </c>
      <c r="Q10" s="14">
        <v>0.58068881097402003</v>
      </c>
      <c r="R10" s="8">
        <v>509</v>
      </c>
      <c r="S10" s="14">
        <v>0.30260497414486198</v>
      </c>
      <c r="T10" s="8">
        <v>251</v>
      </c>
      <c r="U10" s="14"/>
      <c r="V10" s="8"/>
      <c r="W10" s="14">
        <v>0.40051541583095002</v>
      </c>
      <c r="X10" s="8">
        <v>251</v>
      </c>
      <c r="Y10" s="14">
        <v>6.8271306842500698E-2</v>
      </c>
      <c r="Z10" s="8">
        <v>251</v>
      </c>
      <c r="AA10" s="14">
        <v>0.16490497738186199</v>
      </c>
      <c r="AB10" s="8">
        <v>251</v>
      </c>
      <c r="AC10" s="14">
        <v>6.3703325799826099E-2</v>
      </c>
      <c r="AD10" s="8">
        <v>251</v>
      </c>
      <c r="AE10" s="14">
        <v>0.46335610155644602</v>
      </c>
      <c r="AF10" s="8">
        <v>556</v>
      </c>
      <c r="AG10" s="14">
        <v>0.29946564613294102</v>
      </c>
      <c r="AH10" s="8">
        <v>264</v>
      </c>
      <c r="AI10" s="14"/>
      <c r="AJ10" s="8"/>
      <c r="AK10" s="14">
        <v>0.37472160368618701</v>
      </c>
      <c r="AL10" s="8">
        <v>264</v>
      </c>
      <c r="AM10" s="14">
        <v>9.4610213966654505E-3</v>
      </c>
      <c r="AN10" s="8">
        <v>264</v>
      </c>
      <c r="AO10" s="14">
        <v>0.137399116524378</v>
      </c>
      <c r="AP10" s="8">
        <v>264</v>
      </c>
      <c r="AQ10" s="14">
        <v>0.178952612259829</v>
      </c>
      <c r="AR10" s="10">
        <v>264</v>
      </c>
    </row>
    <row r="11" spans="1:44" outlineLevel="1" x14ac:dyDescent="0.25">
      <c r="A11" s="6" t="s">
        <v>14</v>
      </c>
      <c r="B11" t="s">
        <v>17</v>
      </c>
      <c r="C11" s="16">
        <v>0.168786398480194</v>
      </c>
      <c r="D11">
        <v>6423</v>
      </c>
      <c r="E11" s="16">
        <v>0.321580206255627</v>
      </c>
      <c r="F11">
        <v>1311</v>
      </c>
      <c r="G11" s="16">
        <v>1.7870145760114298E-2</v>
      </c>
      <c r="H11">
        <v>1311</v>
      </c>
      <c r="I11" s="16">
        <v>0.20313946179575701</v>
      </c>
      <c r="J11">
        <v>1311</v>
      </c>
      <c r="K11" s="16">
        <v>5.5042348213605E-2</v>
      </c>
      <c r="L11">
        <v>1311</v>
      </c>
      <c r="M11" s="16">
        <v>0.242384895561263</v>
      </c>
      <c r="N11">
        <v>1311</v>
      </c>
      <c r="O11" s="16">
        <v>0.15998294241363301</v>
      </c>
      <c r="P11">
        <v>1311</v>
      </c>
      <c r="Q11" s="16">
        <v>0.17528051258824201</v>
      </c>
      <c r="R11">
        <v>3144</v>
      </c>
      <c r="S11" s="16">
        <v>0.35199155899940898</v>
      </c>
      <c r="T11">
        <v>679</v>
      </c>
      <c r="U11" s="16">
        <v>1.15847803592993E-2</v>
      </c>
      <c r="V11">
        <v>679</v>
      </c>
      <c r="W11" s="16">
        <v>0.212952277539462</v>
      </c>
      <c r="X11">
        <v>679</v>
      </c>
      <c r="Y11" s="16">
        <v>5.0296577880928901E-2</v>
      </c>
      <c r="Z11">
        <v>679</v>
      </c>
      <c r="AA11" s="16">
        <v>0.23538978595464899</v>
      </c>
      <c r="AB11">
        <v>679</v>
      </c>
      <c r="AC11" s="16">
        <v>0.137785019266252</v>
      </c>
      <c r="AD11">
        <v>679</v>
      </c>
      <c r="AE11" s="16">
        <v>0.16313061187667499</v>
      </c>
      <c r="AF11">
        <v>3279</v>
      </c>
      <c r="AG11" s="16">
        <v>0.29318181840346202</v>
      </c>
      <c r="AH11">
        <v>632</v>
      </c>
      <c r="AI11" s="16">
        <v>2.3739475084224099E-2</v>
      </c>
      <c r="AJ11">
        <v>632</v>
      </c>
      <c r="AK11" s="16">
        <v>0.193976168411233</v>
      </c>
      <c r="AL11">
        <v>632</v>
      </c>
      <c r="AM11" s="16">
        <v>5.9473990163244797E-2</v>
      </c>
      <c r="AN11">
        <v>632</v>
      </c>
      <c r="AO11" s="16">
        <v>0.24891699024809499</v>
      </c>
      <c r="AP11">
        <v>632</v>
      </c>
      <c r="AQ11" s="16">
        <v>0.18071155768974201</v>
      </c>
      <c r="AR11" s="11">
        <v>632</v>
      </c>
    </row>
    <row r="12" spans="1:44" outlineLevel="1" x14ac:dyDescent="0.25">
      <c r="A12" s="6" t="s">
        <v>14</v>
      </c>
      <c r="B12" t="s">
        <v>18</v>
      </c>
      <c r="C12" s="16">
        <v>0.40376274997752098</v>
      </c>
      <c r="D12">
        <v>2865</v>
      </c>
      <c r="E12" s="16">
        <v>0.315275058200085</v>
      </c>
      <c r="F12">
        <v>1281</v>
      </c>
      <c r="G12" s="16">
        <v>0.104777221245294</v>
      </c>
      <c r="H12">
        <v>1281</v>
      </c>
      <c r="I12" s="16">
        <v>0.11888184284002799</v>
      </c>
      <c r="J12">
        <v>1281</v>
      </c>
      <c r="K12" s="16">
        <v>4.9104339949624702E-2</v>
      </c>
      <c r="L12">
        <v>1281</v>
      </c>
      <c r="M12" s="16">
        <v>0.25948931746404802</v>
      </c>
      <c r="N12">
        <v>1281</v>
      </c>
      <c r="O12" s="16">
        <v>0.152472220300921</v>
      </c>
      <c r="P12">
        <v>1281</v>
      </c>
      <c r="Q12" s="16">
        <v>0.37338415160863803</v>
      </c>
      <c r="R12">
        <v>1385</v>
      </c>
      <c r="S12" s="16">
        <v>0.32123078722978199</v>
      </c>
      <c r="T12">
        <v>608</v>
      </c>
      <c r="U12" s="16">
        <v>2.5841088619465099E-2</v>
      </c>
      <c r="V12">
        <v>608</v>
      </c>
      <c r="W12" s="16">
        <v>0.141008498596878</v>
      </c>
      <c r="X12">
        <v>608</v>
      </c>
      <c r="Y12" s="16">
        <v>3.9738321396406602E-2</v>
      </c>
      <c r="Z12">
        <v>608</v>
      </c>
      <c r="AA12" s="16">
        <v>0.248447013314051</v>
      </c>
      <c r="AB12">
        <v>608</v>
      </c>
      <c r="AC12" s="16">
        <v>0.22373429084341701</v>
      </c>
      <c r="AD12">
        <v>608</v>
      </c>
      <c r="AE12" s="16">
        <v>0.435288820536056</v>
      </c>
      <c r="AF12">
        <v>1480</v>
      </c>
      <c r="AG12" s="16">
        <v>0.30997377234253898</v>
      </c>
      <c r="AH12">
        <v>673</v>
      </c>
      <c r="AI12" s="16">
        <v>0.17503948493326099</v>
      </c>
      <c r="AJ12">
        <v>673</v>
      </c>
      <c r="AK12" s="16">
        <v>9.9186566803512205E-2</v>
      </c>
      <c r="AL12">
        <v>673</v>
      </c>
      <c r="AM12" s="16">
        <v>5.7441176875902701E-2</v>
      </c>
      <c r="AN12">
        <v>673</v>
      </c>
      <c r="AO12" s="16">
        <v>0.26931824193881898</v>
      </c>
      <c r="AP12">
        <v>673</v>
      </c>
      <c r="AQ12" s="16">
        <v>8.9040757105965901E-2</v>
      </c>
      <c r="AR12" s="11">
        <v>673</v>
      </c>
    </row>
    <row r="13" spans="1:44" outlineLevel="1" x14ac:dyDescent="0.25">
      <c r="A13" s="7" t="s">
        <v>14</v>
      </c>
      <c r="B13" s="9" t="s">
        <v>19</v>
      </c>
      <c r="C13" s="15">
        <v>0.661767952167165</v>
      </c>
      <c r="D13" s="9">
        <v>2209</v>
      </c>
      <c r="E13" s="15">
        <v>0.31179655144471102</v>
      </c>
      <c r="F13" s="9">
        <v>1490</v>
      </c>
      <c r="G13" s="15">
        <v>0.106875504845513</v>
      </c>
      <c r="H13" s="9">
        <v>1490</v>
      </c>
      <c r="I13" s="15">
        <v>0.127632079336778</v>
      </c>
      <c r="J13" s="9">
        <v>1490</v>
      </c>
      <c r="K13" s="15">
        <v>1.4358010468994001E-2</v>
      </c>
      <c r="L13" s="9">
        <v>1490</v>
      </c>
      <c r="M13" s="15">
        <v>0.27203439853536998</v>
      </c>
      <c r="N13" s="9">
        <v>1490</v>
      </c>
      <c r="O13" s="15">
        <v>0.167303455368634</v>
      </c>
      <c r="P13" s="9">
        <v>1490</v>
      </c>
      <c r="Q13" s="15">
        <v>0.65003524230547305</v>
      </c>
      <c r="R13" s="9">
        <v>1098</v>
      </c>
      <c r="S13" s="15">
        <v>0.29911083571533098</v>
      </c>
      <c r="T13" s="9">
        <v>728</v>
      </c>
      <c r="U13" s="15">
        <v>2.76883684867784E-2</v>
      </c>
      <c r="V13" s="9">
        <v>728</v>
      </c>
      <c r="W13" s="15">
        <v>0.15053590901007999</v>
      </c>
      <c r="X13" s="9">
        <v>728</v>
      </c>
      <c r="Y13" s="15">
        <v>1.0348093091873E-2</v>
      </c>
      <c r="Z13" s="9">
        <v>728</v>
      </c>
      <c r="AA13" s="15">
        <v>0.32691059743787498</v>
      </c>
      <c r="AB13" s="9">
        <v>728</v>
      </c>
      <c r="AC13" s="15">
        <v>0.18540619625806201</v>
      </c>
      <c r="AD13" s="9">
        <v>728</v>
      </c>
      <c r="AE13" s="15">
        <v>0.67288555351477297</v>
      </c>
      <c r="AF13" s="9">
        <v>1111</v>
      </c>
      <c r="AG13" s="15">
        <v>0.32346710963415798</v>
      </c>
      <c r="AH13" s="9">
        <v>762</v>
      </c>
      <c r="AI13" s="15">
        <v>0.17972579586929799</v>
      </c>
      <c r="AJ13" s="9">
        <v>762</v>
      </c>
      <c r="AK13" s="15">
        <v>0.106561098190291</v>
      </c>
      <c r="AL13" s="9">
        <v>762</v>
      </c>
      <c r="AM13" s="15">
        <v>1.8047039537821701E-2</v>
      </c>
      <c r="AN13" s="9">
        <v>762</v>
      </c>
      <c r="AO13" s="15">
        <v>0.22154959451094</v>
      </c>
      <c r="AP13" s="9">
        <v>762</v>
      </c>
      <c r="AQ13" s="15">
        <v>0.15064936225749301</v>
      </c>
      <c r="AR13" s="12">
        <v>762</v>
      </c>
    </row>
    <row r="14" spans="1:44" x14ac:dyDescent="0.25">
      <c r="C14" s="16"/>
      <c r="E14" s="16"/>
      <c r="G14" s="16"/>
      <c r="I14" s="16"/>
      <c r="K14" s="16"/>
      <c r="M14" s="16"/>
      <c r="O14" s="16"/>
      <c r="Q14" s="16"/>
      <c r="S14" s="16"/>
      <c r="U14" s="16"/>
      <c r="W14" s="16"/>
      <c r="Y14" s="16"/>
      <c r="AA14" s="16"/>
      <c r="AC14" s="16"/>
      <c r="AE14" s="16"/>
      <c r="AG14" s="16"/>
      <c r="AI14" s="16"/>
      <c r="AK14" s="16"/>
      <c r="AM14" s="16"/>
      <c r="AO14" s="16"/>
      <c r="AQ14" s="16"/>
    </row>
    <row r="15" spans="1:44" x14ac:dyDescent="0.25">
      <c r="A15" s="19" t="s">
        <v>20</v>
      </c>
      <c r="B15" s="19"/>
      <c r="C15" s="20"/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19"/>
      <c r="Y15" s="20"/>
      <c r="Z15" s="19"/>
      <c r="AA15" s="20"/>
      <c r="AB15" s="19"/>
      <c r="AC15" s="20"/>
      <c r="AD15" s="19"/>
      <c r="AE15" s="20"/>
      <c r="AF15" s="19"/>
      <c r="AG15" s="20"/>
      <c r="AH15" s="19"/>
      <c r="AI15" s="20"/>
      <c r="AJ15" s="19"/>
      <c r="AK15" s="20"/>
      <c r="AL15" s="19"/>
      <c r="AM15" s="20"/>
      <c r="AN15" s="19"/>
      <c r="AO15" s="20"/>
      <c r="AP15" s="19"/>
      <c r="AQ15" s="20"/>
      <c r="AR15" s="19"/>
    </row>
    <row r="16" spans="1:44" outlineLevel="1" x14ac:dyDescent="0.25">
      <c r="A16" s="5" t="s">
        <v>14</v>
      </c>
      <c r="B16" s="8" t="s">
        <v>21</v>
      </c>
      <c r="C16" s="14">
        <v>0.29643599977256901</v>
      </c>
      <c r="D16" s="8">
        <v>3358</v>
      </c>
      <c r="E16" s="14">
        <v>0.33810759120720701</v>
      </c>
      <c r="F16" s="8">
        <v>981</v>
      </c>
      <c r="G16" s="14">
        <v>7.2852072778861895E-2</v>
      </c>
      <c r="H16" s="8">
        <v>981</v>
      </c>
      <c r="I16" s="14">
        <v>0.13217218534188999</v>
      </c>
      <c r="J16" s="8">
        <v>981</v>
      </c>
      <c r="K16" s="14">
        <v>2.27454980295561E-2</v>
      </c>
      <c r="L16" s="8">
        <v>981</v>
      </c>
      <c r="M16" s="14">
        <v>0.33991408666759199</v>
      </c>
      <c r="N16" s="8">
        <v>981</v>
      </c>
      <c r="O16" s="14">
        <v>9.4208565974892994E-2</v>
      </c>
      <c r="P16" s="8">
        <v>981</v>
      </c>
      <c r="Q16" s="14">
        <v>0.31321208010038398</v>
      </c>
      <c r="R16" s="8">
        <v>1626</v>
      </c>
      <c r="S16" s="14">
        <v>0.36245443451593001</v>
      </c>
      <c r="T16" s="8">
        <v>495</v>
      </c>
      <c r="U16" s="14">
        <v>8.7271389525299197E-4</v>
      </c>
      <c r="V16" s="8">
        <v>495</v>
      </c>
      <c r="W16" s="14">
        <v>0.15837134836412001</v>
      </c>
      <c r="X16" s="8">
        <v>495</v>
      </c>
      <c r="Y16" s="14">
        <v>1.5113379666127901E-2</v>
      </c>
      <c r="Z16" s="8">
        <v>495</v>
      </c>
      <c r="AA16" s="14">
        <v>0.34624472140205098</v>
      </c>
      <c r="AB16" s="8">
        <v>495</v>
      </c>
      <c r="AC16" s="14">
        <v>0.11694340215651899</v>
      </c>
      <c r="AD16" s="8">
        <v>495</v>
      </c>
      <c r="AE16" s="14">
        <v>0.28069492942917301</v>
      </c>
      <c r="AF16" s="8">
        <v>1732</v>
      </c>
      <c r="AG16" s="14">
        <v>0.31248860817655799</v>
      </c>
      <c r="AH16" s="8">
        <v>486</v>
      </c>
      <c r="AI16" s="14">
        <v>0.14859240389338799</v>
      </c>
      <c r="AJ16" s="8">
        <v>486</v>
      </c>
      <c r="AK16" s="14">
        <v>0.104604097587236</v>
      </c>
      <c r="AL16" s="8">
        <v>486</v>
      </c>
      <c r="AM16" s="14">
        <v>3.0776399956399102E-2</v>
      </c>
      <c r="AN16" s="8">
        <v>486</v>
      </c>
      <c r="AO16" s="14">
        <v>0.33325267180658402</v>
      </c>
      <c r="AP16" s="8">
        <v>486</v>
      </c>
      <c r="AQ16" s="14">
        <v>7.0285818579834694E-2</v>
      </c>
      <c r="AR16" s="10">
        <v>486</v>
      </c>
    </row>
    <row r="17" spans="1:44" outlineLevel="1" x14ac:dyDescent="0.25">
      <c r="A17" s="6" t="s">
        <v>14</v>
      </c>
      <c r="B17" t="s">
        <v>22</v>
      </c>
      <c r="C17" s="16">
        <v>0.28456891300119003</v>
      </c>
      <c r="D17">
        <v>2838</v>
      </c>
      <c r="E17" s="16">
        <v>0.36147001774176601</v>
      </c>
      <c r="F17">
        <v>775</v>
      </c>
      <c r="G17" s="16">
        <v>5.5771293037079103E-2</v>
      </c>
      <c r="H17">
        <v>775</v>
      </c>
      <c r="I17" s="16">
        <v>0.13350601316076399</v>
      </c>
      <c r="J17">
        <v>775</v>
      </c>
      <c r="K17" s="16">
        <v>6.8446106454998198E-2</v>
      </c>
      <c r="L17">
        <v>775</v>
      </c>
      <c r="M17" s="16">
        <v>0.18053406649487999</v>
      </c>
      <c r="N17">
        <v>775</v>
      </c>
      <c r="O17" s="16">
        <v>0.20027250311051201</v>
      </c>
      <c r="P17">
        <v>775</v>
      </c>
      <c r="Q17" s="16">
        <v>0.27761560095302001</v>
      </c>
      <c r="R17">
        <v>1350</v>
      </c>
      <c r="S17" s="16">
        <v>0.35423898596864101</v>
      </c>
      <c r="T17">
        <v>349</v>
      </c>
      <c r="U17" s="16">
        <v>3.25598476384849E-2</v>
      </c>
      <c r="V17">
        <v>349</v>
      </c>
      <c r="W17" s="16">
        <v>0.14760887791081401</v>
      </c>
      <c r="X17">
        <v>349</v>
      </c>
      <c r="Y17" s="16">
        <v>7.7423240947756794E-2</v>
      </c>
      <c r="Z17">
        <v>349</v>
      </c>
      <c r="AA17" s="16">
        <v>0.18304201349814</v>
      </c>
      <c r="AB17">
        <v>349</v>
      </c>
      <c r="AC17" s="16">
        <v>0.205127034036164</v>
      </c>
      <c r="AD17">
        <v>349</v>
      </c>
      <c r="AE17" s="16">
        <v>0.290736791217167</v>
      </c>
      <c r="AF17">
        <v>1488</v>
      </c>
      <c r="AG17" s="16">
        <v>0.36760755707703502</v>
      </c>
      <c r="AH17">
        <v>426</v>
      </c>
      <c r="AI17" s="16">
        <v>7.5472652902731405E-2</v>
      </c>
      <c r="AJ17">
        <v>426</v>
      </c>
      <c r="AK17" s="16">
        <v>0.121535814458955</v>
      </c>
      <c r="AL17">
        <v>426</v>
      </c>
      <c r="AM17" s="16">
        <v>6.08265138718104E-2</v>
      </c>
      <c r="AN17">
        <v>426</v>
      </c>
      <c r="AO17" s="16">
        <v>0.17840537672193801</v>
      </c>
      <c r="AP17">
        <v>426</v>
      </c>
      <c r="AQ17" s="16">
        <v>0.196152084967531</v>
      </c>
      <c r="AR17" s="11">
        <v>426</v>
      </c>
    </row>
    <row r="18" spans="1:44" outlineLevel="1" x14ac:dyDescent="0.25">
      <c r="A18" s="6" t="s">
        <v>14</v>
      </c>
      <c r="B18" t="s">
        <v>23</v>
      </c>
      <c r="C18" s="16">
        <v>0.40278380715817202</v>
      </c>
      <c r="D18">
        <v>2764</v>
      </c>
      <c r="E18" s="16">
        <v>0.34163711429896698</v>
      </c>
      <c r="F18">
        <v>1236</v>
      </c>
      <c r="G18" s="16">
        <v>6.6279495324902599E-2</v>
      </c>
      <c r="H18">
        <v>1236</v>
      </c>
      <c r="I18" s="16">
        <v>0.17669259302745999</v>
      </c>
      <c r="J18">
        <v>1236</v>
      </c>
      <c r="K18" s="16">
        <v>2.2561167117355199E-2</v>
      </c>
      <c r="L18">
        <v>1236</v>
      </c>
      <c r="M18" s="16">
        <v>0.229133084775933</v>
      </c>
      <c r="N18">
        <v>1236</v>
      </c>
      <c r="O18" s="16">
        <v>0.16369654545538201</v>
      </c>
      <c r="P18">
        <v>1236</v>
      </c>
      <c r="Q18" s="16">
        <v>0.40644656785120697</v>
      </c>
      <c r="R18">
        <v>1390</v>
      </c>
      <c r="S18" s="16">
        <v>0.34603571100386199</v>
      </c>
      <c r="T18">
        <v>642</v>
      </c>
      <c r="U18" s="16">
        <v>1.62172486163513E-2</v>
      </c>
      <c r="V18">
        <v>642</v>
      </c>
      <c r="W18" s="16">
        <v>0.19681985390241599</v>
      </c>
      <c r="X18">
        <v>642</v>
      </c>
      <c r="Y18" s="16">
        <v>1.77776651674477E-2</v>
      </c>
      <c r="Z18">
        <v>642</v>
      </c>
      <c r="AA18" s="16">
        <v>0.24203486355003601</v>
      </c>
      <c r="AB18">
        <v>642</v>
      </c>
      <c r="AC18" s="16">
        <v>0.181114657759886</v>
      </c>
      <c r="AD18">
        <v>642</v>
      </c>
      <c r="AE18" s="16">
        <v>0.399314572441756</v>
      </c>
      <c r="AF18">
        <v>1374</v>
      </c>
      <c r="AG18" s="16">
        <v>0.33739513700089602</v>
      </c>
      <c r="AH18">
        <v>594</v>
      </c>
      <c r="AI18" s="16">
        <v>0.11455919184532599</v>
      </c>
      <c r="AJ18">
        <v>594</v>
      </c>
      <c r="AK18" s="16">
        <v>0.15728199700512299</v>
      </c>
      <c r="AL18">
        <v>594</v>
      </c>
      <c r="AM18" s="16">
        <v>2.7174344464166899E-2</v>
      </c>
      <c r="AN18">
        <v>594</v>
      </c>
      <c r="AO18" s="16">
        <v>0.21669069545582001</v>
      </c>
      <c r="AP18">
        <v>594</v>
      </c>
      <c r="AQ18" s="16">
        <v>0.146898634228668</v>
      </c>
      <c r="AR18" s="11">
        <v>594</v>
      </c>
    </row>
    <row r="19" spans="1:44" outlineLevel="1" x14ac:dyDescent="0.25">
      <c r="A19" s="6" t="s">
        <v>14</v>
      </c>
      <c r="B19" t="s">
        <v>24</v>
      </c>
      <c r="C19" s="16">
        <v>0.48363883234729599</v>
      </c>
      <c r="D19">
        <v>1623</v>
      </c>
      <c r="E19" s="16">
        <v>0.16925184105907001</v>
      </c>
      <c r="F19">
        <v>760</v>
      </c>
      <c r="G19" s="16">
        <v>3.6500511402064E-2</v>
      </c>
      <c r="H19">
        <v>760</v>
      </c>
      <c r="I19" s="16">
        <v>0.44727268874015902</v>
      </c>
      <c r="J19">
        <v>760</v>
      </c>
      <c r="K19" s="16">
        <v>1.9764697525772101E-2</v>
      </c>
      <c r="L19">
        <v>760</v>
      </c>
      <c r="M19" s="16">
        <v>0.21473779519974001</v>
      </c>
      <c r="N19">
        <v>760</v>
      </c>
      <c r="O19" s="16">
        <v>0.112472466073194</v>
      </c>
      <c r="P19">
        <v>760</v>
      </c>
      <c r="Q19" s="16">
        <v>0.48530713245743701</v>
      </c>
      <c r="R19">
        <v>830</v>
      </c>
      <c r="S19" s="16">
        <v>0.154454766745872</v>
      </c>
      <c r="T19">
        <v>386</v>
      </c>
      <c r="U19" s="16">
        <v>1.1086597554747E-2</v>
      </c>
      <c r="V19">
        <v>386</v>
      </c>
      <c r="W19" s="16">
        <v>0.48352811047803002</v>
      </c>
      <c r="X19">
        <v>386</v>
      </c>
      <c r="Y19" s="16">
        <v>1.7659086740071502E-2</v>
      </c>
      <c r="Z19">
        <v>386</v>
      </c>
      <c r="AA19" s="16">
        <v>0.208410386920519</v>
      </c>
      <c r="AB19">
        <v>386</v>
      </c>
      <c r="AC19" s="16">
        <v>0.12486105156076099</v>
      </c>
      <c r="AD19">
        <v>386</v>
      </c>
      <c r="AE19" s="16">
        <v>0.48193060148132599</v>
      </c>
      <c r="AF19">
        <v>793</v>
      </c>
      <c r="AG19" s="16">
        <v>0.18451635064711699</v>
      </c>
      <c r="AH19">
        <v>374</v>
      </c>
      <c r="AI19" s="16">
        <v>6.27172433979378E-2</v>
      </c>
      <c r="AJ19">
        <v>374</v>
      </c>
      <c r="AK19" s="16">
        <v>0.40987196877197202</v>
      </c>
      <c r="AL19">
        <v>374</v>
      </c>
      <c r="AM19" s="16">
        <v>2.1936823943921602E-2</v>
      </c>
      <c r="AN19">
        <v>374</v>
      </c>
      <c r="AO19" s="16">
        <v>0.221265084466613</v>
      </c>
      <c r="AP19">
        <v>374</v>
      </c>
      <c r="AQ19" s="16">
        <v>9.9692528772438602E-2</v>
      </c>
      <c r="AR19" s="11">
        <v>374</v>
      </c>
    </row>
    <row r="20" spans="1:44" outlineLevel="1" x14ac:dyDescent="0.25">
      <c r="A20" s="7" t="s">
        <v>14</v>
      </c>
      <c r="B20" s="9" t="s">
        <v>25</v>
      </c>
      <c r="C20" s="15">
        <v>0.412494234464786</v>
      </c>
      <c r="D20" s="9">
        <v>1979</v>
      </c>
      <c r="E20" s="15">
        <v>0.216239366992346</v>
      </c>
      <c r="F20" s="9">
        <v>845</v>
      </c>
      <c r="G20" s="15">
        <v>0.13031905642302699</v>
      </c>
      <c r="H20" s="9">
        <v>845</v>
      </c>
      <c r="I20" s="15">
        <v>0.166028293281786</v>
      </c>
      <c r="J20" s="9">
        <v>845</v>
      </c>
      <c r="K20" s="15">
        <v>2.44179003292243E-2</v>
      </c>
      <c r="L20" s="9">
        <v>845</v>
      </c>
      <c r="M20" s="15">
        <v>0.29837851128208498</v>
      </c>
      <c r="N20" s="9">
        <v>845</v>
      </c>
      <c r="O20" s="15">
        <v>0.164616871691532</v>
      </c>
      <c r="P20" s="9">
        <v>845</v>
      </c>
      <c r="Q20" s="15">
        <v>0.40478725533433702</v>
      </c>
      <c r="R20" s="9">
        <v>940</v>
      </c>
      <c r="S20" s="15">
        <v>0.23867420969033301</v>
      </c>
      <c r="T20" s="9">
        <v>394</v>
      </c>
      <c r="U20" s="15">
        <v>3.2660766215253302E-2</v>
      </c>
      <c r="V20" s="9">
        <v>394</v>
      </c>
      <c r="W20" s="15">
        <v>0.172628344148401</v>
      </c>
      <c r="X20" s="9">
        <v>394</v>
      </c>
      <c r="Y20" s="15">
        <v>2.0906867337628001E-2</v>
      </c>
      <c r="Z20" s="9">
        <v>394</v>
      </c>
      <c r="AA20" s="15">
        <v>0.35506439521197403</v>
      </c>
      <c r="AB20" s="9">
        <v>394</v>
      </c>
      <c r="AC20" s="15">
        <v>0.18006541739641199</v>
      </c>
      <c r="AD20" s="9">
        <v>394</v>
      </c>
      <c r="AE20" s="15">
        <v>0.41960050552817002</v>
      </c>
      <c r="AF20" s="9">
        <v>1039</v>
      </c>
      <c r="AG20" s="15">
        <v>0.19631498711349299</v>
      </c>
      <c r="AH20" s="9">
        <v>451</v>
      </c>
      <c r="AI20" s="15">
        <v>0.217049366887547</v>
      </c>
      <c r="AJ20" s="9">
        <v>451</v>
      </c>
      <c r="AK20" s="15">
        <v>0.160166789260722</v>
      </c>
      <c r="AL20" s="9">
        <v>451</v>
      </c>
      <c r="AM20" s="15">
        <v>2.75360481153922E-2</v>
      </c>
      <c r="AN20" s="9">
        <v>451</v>
      </c>
      <c r="AO20" s="15">
        <v>0.248035787671676</v>
      </c>
      <c r="AP20" s="9">
        <v>451</v>
      </c>
      <c r="AQ20" s="15">
        <v>0.150897020951171</v>
      </c>
      <c r="AR20" s="12">
        <v>451</v>
      </c>
    </row>
    <row r="21" spans="1:44" x14ac:dyDescent="0.25">
      <c r="C21" s="16"/>
      <c r="E21" s="16"/>
      <c r="G21" s="16"/>
      <c r="I21" s="16"/>
      <c r="K21" s="16"/>
      <c r="M21" s="16"/>
      <c r="O21" s="16"/>
      <c r="Q21" s="16"/>
      <c r="S21" s="16"/>
      <c r="U21" s="16"/>
      <c r="W21" s="16"/>
      <c r="Y21" s="16"/>
      <c r="AA21" s="16"/>
      <c r="AC21" s="16"/>
      <c r="AE21" s="16"/>
      <c r="AG21" s="16"/>
      <c r="AI21" s="16"/>
      <c r="AK21" s="16"/>
      <c r="AM21" s="16"/>
      <c r="AO21" s="16"/>
      <c r="AQ21" s="16"/>
    </row>
    <row r="22" spans="1:44" x14ac:dyDescent="0.25">
      <c r="A22" s="19" t="s">
        <v>26</v>
      </c>
      <c r="B22" s="19"/>
      <c r="C22" s="20"/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  <c r="U22" s="20"/>
      <c r="V22" s="19"/>
      <c r="W22" s="20"/>
      <c r="X22" s="19"/>
      <c r="Y22" s="20"/>
      <c r="Z22" s="19"/>
      <c r="AA22" s="20"/>
      <c r="AB22" s="19"/>
      <c r="AC22" s="20"/>
      <c r="AD22" s="19"/>
      <c r="AE22" s="20"/>
      <c r="AF22" s="19"/>
      <c r="AG22" s="20"/>
      <c r="AH22" s="19"/>
      <c r="AI22" s="20"/>
      <c r="AJ22" s="19"/>
      <c r="AK22" s="20"/>
      <c r="AL22" s="19"/>
      <c r="AM22" s="20"/>
      <c r="AN22" s="19"/>
      <c r="AO22" s="20"/>
      <c r="AP22" s="19"/>
      <c r="AQ22" s="20"/>
      <c r="AR22" s="19"/>
    </row>
    <row r="23" spans="1:44" outlineLevel="1" x14ac:dyDescent="0.25">
      <c r="A23" s="5" t="s">
        <v>14</v>
      </c>
      <c r="B23" s="8" t="s">
        <v>27</v>
      </c>
      <c r="C23" s="14">
        <v>0.33928357413280602</v>
      </c>
      <c r="D23" s="8">
        <v>337</v>
      </c>
      <c r="E23" s="14">
        <v>0.332480164067186</v>
      </c>
      <c r="F23" s="8">
        <v>92</v>
      </c>
      <c r="G23" s="14">
        <v>0.14470490796677599</v>
      </c>
      <c r="H23" s="8">
        <v>92</v>
      </c>
      <c r="I23" s="14">
        <v>7.98361636566082E-2</v>
      </c>
      <c r="J23" s="8">
        <v>92</v>
      </c>
      <c r="K23" s="14">
        <v>2.70265131233378E-2</v>
      </c>
      <c r="L23" s="8">
        <v>92</v>
      </c>
      <c r="M23" s="14">
        <v>0.38657898939597102</v>
      </c>
      <c r="N23" s="8">
        <v>92</v>
      </c>
      <c r="O23" s="14">
        <v>2.9373261790121001E-2</v>
      </c>
      <c r="P23" s="8">
        <v>92</v>
      </c>
      <c r="Q23" s="14">
        <v>0.37645969783290201</v>
      </c>
      <c r="R23" s="8">
        <v>178</v>
      </c>
      <c r="S23" s="14">
        <v>0.417667332019723</v>
      </c>
      <c r="T23" s="8">
        <v>55</v>
      </c>
      <c r="U23" s="14"/>
      <c r="V23" s="8"/>
      <c r="W23" s="14">
        <v>6.7445524986297301E-2</v>
      </c>
      <c r="X23" s="8">
        <v>55</v>
      </c>
      <c r="Y23" s="14"/>
      <c r="Z23" s="8"/>
      <c r="AA23" s="14">
        <v>0.488322482606801</v>
      </c>
      <c r="AB23" s="8">
        <v>55</v>
      </c>
      <c r="AC23" s="14">
        <v>2.6564660387178699E-2</v>
      </c>
      <c r="AD23" s="8">
        <v>55</v>
      </c>
      <c r="AE23" s="14">
        <v>0.29693321790852401</v>
      </c>
      <c r="AF23" s="8">
        <v>159</v>
      </c>
      <c r="AG23" s="14">
        <v>0.20944568125374499</v>
      </c>
      <c r="AH23" s="8">
        <v>37</v>
      </c>
      <c r="AI23" s="14">
        <v>0.35369992376749299</v>
      </c>
      <c r="AJ23" s="8">
        <v>37</v>
      </c>
      <c r="AK23" s="14">
        <v>9.7731767621037302E-2</v>
      </c>
      <c r="AL23" s="8">
        <v>37</v>
      </c>
      <c r="AM23" s="14">
        <v>6.6060479673713299E-2</v>
      </c>
      <c r="AN23" s="8">
        <v>37</v>
      </c>
      <c r="AO23" s="14">
        <v>0.23963246719438999</v>
      </c>
      <c r="AP23" s="8">
        <v>37</v>
      </c>
      <c r="AQ23" s="14">
        <v>3.3429680489620903E-2</v>
      </c>
      <c r="AR23" s="10">
        <v>37</v>
      </c>
    </row>
    <row r="24" spans="1:44" outlineLevel="1" x14ac:dyDescent="0.25">
      <c r="A24" s="6" t="s">
        <v>14</v>
      </c>
      <c r="B24" t="s">
        <v>28</v>
      </c>
      <c r="C24" s="16">
        <v>0.22155861633172499</v>
      </c>
      <c r="D24">
        <v>451</v>
      </c>
      <c r="E24" s="16">
        <v>0.19227361114019301</v>
      </c>
      <c r="F24">
        <v>110</v>
      </c>
      <c r="G24" s="16">
        <v>7.6988551434093305E-2</v>
      </c>
      <c r="H24">
        <v>110</v>
      </c>
      <c r="I24" s="16">
        <v>9.9057189662745307E-2</v>
      </c>
      <c r="J24">
        <v>110</v>
      </c>
      <c r="K24" s="16">
        <v>2.4395466028059101E-2</v>
      </c>
      <c r="L24">
        <v>110</v>
      </c>
      <c r="M24" s="16">
        <v>0.429495508054622</v>
      </c>
      <c r="N24">
        <v>110</v>
      </c>
      <c r="O24" s="16">
        <v>0.177789673680287</v>
      </c>
      <c r="P24">
        <v>110</v>
      </c>
      <c r="Q24" s="16">
        <v>0.228413547440869</v>
      </c>
      <c r="R24">
        <v>204</v>
      </c>
      <c r="S24" s="16">
        <v>0.18328074486613199</v>
      </c>
      <c r="T24">
        <v>54</v>
      </c>
      <c r="U24" s="16"/>
      <c r="W24" s="16">
        <v>0.104585331768248</v>
      </c>
      <c r="X24">
        <v>54</v>
      </c>
      <c r="Y24" s="16">
        <v>4.5802982633540899E-2</v>
      </c>
      <c r="Z24">
        <v>54</v>
      </c>
      <c r="AA24" s="16">
        <v>0.460180335930508</v>
      </c>
      <c r="AB24">
        <v>54</v>
      </c>
      <c r="AC24" s="16">
        <v>0.20615060480156999</v>
      </c>
      <c r="AD24">
        <v>54</v>
      </c>
      <c r="AE24" s="16">
        <v>0.215622200873096</v>
      </c>
      <c r="AF24">
        <v>247</v>
      </c>
      <c r="AG24" s="16">
        <v>0.20052349267622699</v>
      </c>
      <c r="AH24">
        <v>56</v>
      </c>
      <c r="AI24" s="16">
        <v>0.14761635903244899</v>
      </c>
      <c r="AJ24">
        <v>56</v>
      </c>
      <c r="AK24" s="16">
        <v>9.3985779047388196E-2</v>
      </c>
      <c r="AL24">
        <v>56</v>
      </c>
      <c r="AM24" s="16">
        <v>4.75662446257143E-3</v>
      </c>
      <c r="AN24">
        <v>56</v>
      </c>
      <c r="AO24" s="16">
        <v>0.40134584061657402</v>
      </c>
      <c r="AP24">
        <v>56</v>
      </c>
      <c r="AQ24" s="16">
        <v>0.151771904164791</v>
      </c>
      <c r="AR24" s="11">
        <v>56</v>
      </c>
    </row>
    <row r="25" spans="1:44" outlineLevel="1" x14ac:dyDescent="0.25">
      <c r="A25" s="6" t="s">
        <v>14</v>
      </c>
      <c r="B25" t="s">
        <v>29</v>
      </c>
      <c r="C25" s="16">
        <v>0.226565772348573</v>
      </c>
      <c r="D25">
        <v>752</v>
      </c>
      <c r="E25" s="16">
        <v>0.367429189146042</v>
      </c>
      <c r="F25">
        <v>197</v>
      </c>
      <c r="G25" s="16">
        <v>0.137866562263875</v>
      </c>
      <c r="H25">
        <v>197</v>
      </c>
      <c r="I25" s="16">
        <v>0.18023439834764901</v>
      </c>
      <c r="J25">
        <v>197</v>
      </c>
      <c r="K25" s="16">
        <v>1.4046977919184101E-2</v>
      </c>
      <c r="L25">
        <v>197</v>
      </c>
      <c r="M25" s="16">
        <v>0.148119595882306</v>
      </c>
      <c r="N25">
        <v>197</v>
      </c>
      <c r="O25" s="16">
        <v>0.15230327644094399</v>
      </c>
      <c r="P25">
        <v>197</v>
      </c>
      <c r="Q25" s="16">
        <v>0.25988326802887601</v>
      </c>
      <c r="R25">
        <v>347</v>
      </c>
      <c r="S25" s="16">
        <v>0.371706262602292</v>
      </c>
      <c r="T25">
        <v>99</v>
      </c>
      <c r="U25" s="16">
        <v>2.1749570391327699E-3</v>
      </c>
      <c r="V25">
        <v>99</v>
      </c>
      <c r="W25" s="16">
        <v>0.26481078807889602</v>
      </c>
      <c r="X25">
        <v>99</v>
      </c>
      <c r="Y25" s="16">
        <v>1.23930821297347E-2</v>
      </c>
      <c r="Z25">
        <v>99</v>
      </c>
      <c r="AA25" s="16">
        <v>8.8158112517871007E-2</v>
      </c>
      <c r="AB25">
        <v>99</v>
      </c>
      <c r="AC25" s="16">
        <v>0.26075679763207399</v>
      </c>
      <c r="AD25">
        <v>99</v>
      </c>
      <c r="AE25" s="16">
        <v>0.199593254792261</v>
      </c>
      <c r="AF25">
        <v>405</v>
      </c>
      <c r="AG25" s="16">
        <v>0.36294401116584402</v>
      </c>
      <c r="AH25">
        <v>98</v>
      </c>
      <c r="AI25" s="16">
        <v>0.28016035405331502</v>
      </c>
      <c r="AJ25">
        <v>98</v>
      </c>
      <c r="AK25" s="16">
        <v>9.1542874868448296E-2</v>
      </c>
      <c r="AL25">
        <v>98</v>
      </c>
      <c r="AM25" s="16">
        <v>1.5781345367454399E-2</v>
      </c>
      <c r="AN25">
        <v>98</v>
      </c>
      <c r="AO25" s="16">
        <v>0.21099855449668301</v>
      </c>
      <c r="AP25">
        <v>98</v>
      </c>
      <c r="AQ25" s="16">
        <v>3.8572860048255997E-2</v>
      </c>
      <c r="AR25" s="11">
        <v>98</v>
      </c>
    </row>
    <row r="26" spans="1:44" outlineLevel="1" x14ac:dyDescent="0.25">
      <c r="A26" s="6" t="s">
        <v>14</v>
      </c>
      <c r="B26" t="s">
        <v>30</v>
      </c>
      <c r="C26" s="16">
        <v>0.175534931364417</v>
      </c>
      <c r="D26">
        <v>432</v>
      </c>
      <c r="E26" s="16">
        <v>0.52370834404774902</v>
      </c>
      <c r="F26">
        <v>62</v>
      </c>
      <c r="G26" s="16">
        <v>5.3017441125389198E-2</v>
      </c>
      <c r="H26">
        <v>62</v>
      </c>
      <c r="I26" s="16">
        <v>6.3214614715997305E-2</v>
      </c>
      <c r="J26">
        <v>62</v>
      </c>
      <c r="K26" s="16">
        <v>4.0931308530917102E-2</v>
      </c>
      <c r="L26">
        <v>62</v>
      </c>
      <c r="M26" s="16">
        <v>0.25291849931204702</v>
      </c>
      <c r="N26">
        <v>62</v>
      </c>
      <c r="O26" s="16">
        <v>6.6209792267900303E-2</v>
      </c>
      <c r="P26">
        <v>62</v>
      </c>
      <c r="Q26" s="16">
        <v>0.215570117790088</v>
      </c>
      <c r="R26">
        <v>208</v>
      </c>
      <c r="S26" s="16">
        <v>0.47189902280123303</v>
      </c>
      <c r="T26">
        <v>34</v>
      </c>
      <c r="U26" s="16"/>
      <c r="W26" s="16">
        <v>7.9837105727696006E-2</v>
      </c>
      <c r="X26">
        <v>34</v>
      </c>
      <c r="Y26" s="16">
        <v>6.7659110048698304E-2</v>
      </c>
      <c r="Z26">
        <v>34</v>
      </c>
      <c r="AA26" s="16">
        <v>0.34900263993023201</v>
      </c>
      <c r="AB26">
        <v>34</v>
      </c>
      <c r="AC26" s="16">
        <v>3.1602121492141602E-2</v>
      </c>
      <c r="AD26">
        <v>34</v>
      </c>
      <c r="AE26" s="16">
        <v>0.13666575121861199</v>
      </c>
      <c r="AF26">
        <v>224</v>
      </c>
      <c r="AG26" s="16">
        <v>0.60304982341737801</v>
      </c>
      <c r="AH26">
        <v>28</v>
      </c>
      <c r="AI26" s="16">
        <v>0.13420905124638399</v>
      </c>
      <c r="AJ26">
        <v>28</v>
      </c>
      <c r="AK26" s="16">
        <v>3.7758712265524498E-2</v>
      </c>
      <c r="AL26">
        <v>28</v>
      </c>
      <c r="AM26" s="16"/>
      <c r="AO26" s="16">
        <v>0.105773976334557</v>
      </c>
      <c r="AP26">
        <v>28</v>
      </c>
      <c r="AQ26" s="16">
        <v>0.119208436736156</v>
      </c>
      <c r="AR26" s="11">
        <v>28</v>
      </c>
    </row>
    <row r="27" spans="1:44" outlineLevel="1" x14ac:dyDescent="0.25">
      <c r="A27" s="6" t="s">
        <v>14</v>
      </c>
      <c r="B27" t="s">
        <v>31</v>
      </c>
      <c r="C27" s="16">
        <v>0.38936388603754601</v>
      </c>
      <c r="D27">
        <v>517</v>
      </c>
      <c r="E27" s="16">
        <v>0.42004135462132203</v>
      </c>
      <c r="F27">
        <v>197</v>
      </c>
      <c r="G27" s="16">
        <v>1.5638773248596E-2</v>
      </c>
      <c r="H27">
        <v>197</v>
      </c>
      <c r="I27" s="16">
        <v>5.47980397350376E-2</v>
      </c>
      <c r="J27">
        <v>197</v>
      </c>
      <c r="K27" s="16">
        <v>1.3648946161642901E-2</v>
      </c>
      <c r="L27">
        <v>197</v>
      </c>
      <c r="M27" s="16">
        <v>0.443017603286114</v>
      </c>
      <c r="N27">
        <v>197</v>
      </c>
      <c r="O27" s="16">
        <v>5.2855282947288099E-2</v>
      </c>
      <c r="P27">
        <v>197</v>
      </c>
      <c r="Q27" s="16">
        <v>0.382624172742277</v>
      </c>
      <c r="R27">
        <v>239</v>
      </c>
      <c r="S27" s="16">
        <v>0.42496890221310801</v>
      </c>
      <c r="T27">
        <v>90</v>
      </c>
      <c r="U27" s="16"/>
      <c r="W27" s="16">
        <v>8.6290698928158896E-2</v>
      </c>
      <c r="X27">
        <v>90</v>
      </c>
      <c r="Y27" s="16">
        <v>3.0413603163507901E-3</v>
      </c>
      <c r="Z27">
        <v>90</v>
      </c>
      <c r="AA27" s="16">
        <v>0.40402610870081601</v>
      </c>
      <c r="AB27">
        <v>90</v>
      </c>
      <c r="AC27" s="16">
        <v>8.1672929841566502E-2</v>
      </c>
      <c r="AD27">
        <v>90</v>
      </c>
      <c r="AE27" s="16">
        <v>0.39478098464613598</v>
      </c>
      <c r="AF27">
        <v>278</v>
      </c>
      <c r="AG27" s="16">
        <v>0.41611794592592799</v>
      </c>
      <c r="AH27">
        <v>107</v>
      </c>
      <c r="AI27" s="16">
        <v>2.80906669758339E-2</v>
      </c>
      <c r="AJ27">
        <v>107</v>
      </c>
      <c r="AK27" s="16">
        <v>2.9722975391606898E-2</v>
      </c>
      <c r="AL27">
        <v>107</v>
      </c>
      <c r="AM27" s="16">
        <v>2.20949111710779E-2</v>
      </c>
      <c r="AN27">
        <v>107</v>
      </c>
      <c r="AO27" s="16">
        <v>0.47406338540242399</v>
      </c>
      <c r="AP27">
        <v>107</v>
      </c>
      <c r="AQ27" s="16">
        <v>2.9910115133128801E-2</v>
      </c>
      <c r="AR27" s="11">
        <v>107</v>
      </c>
    </row>
    <row r="28" spans="1:44" outlineLevel="1" x14ac:dyDescent="0.25">
      <c r="A28" s="6" t="s">
        <v>14</v>
      </c>
      <c r="B28" t="s">
        <v>32</v>
      </c>
      <c r="C28" s="16">
        <v>0.37630489018574997</v>
      </c>
      <c r="D28">
        <v>544</v>
      </c>
      <c r="E28" s="16">
        <v>0.22244389545049001</v>
      </c>
      <c r="F28">
        <v>190</v>
      </c>
      <c r="G28" s="16">
        <v>4.39943159049744E-2</v>
      </c>
      <c r="H28">
        <v>190</v>
      </c>
      <c r="I28" s="16">
        <v>0.27694642598092201</v>
      </c>
      <c r="J28">
        <v>190</v>
      </c>
      <c r="K28" s="16">
        <v>2.1665805972893401E-2</v>
      </c>
      <c r="L28">
        <v>190</v>
      </c>
      <c r="M28" s="16">
        <v>0.31908584566877801</v>
      </c>
      <c r="N28">
        <v>190</v>
      </c>
      <c r="O28" s="16">
        <v>0.115863711021943</v>
      </c>
      <c r="P28">
        <v>190</v>
      </c>
      <c r="Q28" s="16">
        <v>0.36109513095305801</v>
      </c>
      <c r="R28">
        <v>276</v>
      </c>
      <c r="S28" s="16">
        <v>0.27984630356194301</v>
      </c>
      <c r="T28">
        <v>92</v>
      </c>
      <c r="U28" s="16">
        <v>3.0394498963199502E-3</v>
      </c>
      <c r="V28">
        <v>92</v>
      </c>
      <c r="W28" s="16">
        <v>0.32338456547935202</v>
      </c>
      <c r="X28">
        <v>92</v>
      </c>
      <c r="Y28" s="16"/>
      <c r="AA28" s="16">
        <v>0.26484098333629702</v>
      </c>
      <c r="AB28">
        <v>92</v>
      </c>
      <c r="AC28" s="16">
        <v>0.12888869772608799</v>
      </c>
      <c r="AD28">
        <v>92</v>
      </c>
      <c r="AE28" s="16">
        <v>0.39212120681812501</v>
      </c>
      <c r="AF28">
        <v>268</v>
      </c>
      <c r="AG28" s="16">
        <v>0.167475327194441</v>
      </c>
      <c r="AH28">
        <v>98</v>
      </c>
      <c r="AI28" s="16">
        <v>8.3212711468502606E-2</v>
      </c>
      <c r="AJ28">
        <v>98</v>
      </c>
      <c r="AK28" s="16">
        <v>0.232477245598329</v>
      </c>
      <c r="AL28">
        <v>98</v>
      </c>
      <c r="AM28" s="16">
        <v>4.2412990169956401E-2</v>
      </c>
      <c r="AN28">
        <v>98</v>
      </c>
      <c r="AO28" s="16">
        <v>0.37103074686305398</v>
      </c>
      <c r="AP28">
        <v>98</v>
      </c>
      <c r="AQ28" s="16">
        <v>0.10339097870571699</v>
      </c>
      <c r="AR28" s="11">
        <v>98</v>
      </c>
    </row>
    <row r="29" spans="1:44" outlineLevel="1" x14ac:dyDescent="0.25">
      <c r="A29" s="6" t="s">
        <v>14</v>
      </c>
      <c r="B29" t="s">
        <v>33</v>
      </c>
      <c r="C29" s="16">
        <v>0.40402555038229698</v>
      </c>
      <c r="D29">
        <v>325</v>
      </c>
      <c r="E29" s="16">
        <v>0.27633607666975502</v>
      </c>
      <c r="F29">
        <v>133</v>
      </c>
      <c r="G29" s="16">
        <v>6.4155078060345094E-2</v>
      </c>
      <c r="H29">
        <v>133</v>
      </c>
      <c r="I29" s="16">
        <v>0.141532116362038</v>
      </c>
      <c r="J29">
        <v>133</v>
      </c>
      <c r="K29" s="16">
        <v>3.2820720068012302E-2</v>
      </c>
      <c r="L29">
        <v>133</v>
      </c>
      <c r="M29" s="16">
        <v>0.35453737309989902</v>
      </c>
      <c r="N29">
        <v>133</v>
      </c>
      <c r="O29" s="16">
        <v>0.130618635739951</v>
      </c>
      <c r="P29">
        <v>133</v>
      </c>
      <c r="Q29" s="16">
        <v>0.39691288320277202</v>
      </c>
      <c r="R29">
        <v>174</v>
      </c>
      <c r="S29" s="16">
        <v>0.28232130107956499</v>
      </c>
      <c r="T29">
        <v>71</v>
      </c>
      <c r="U29" s="16"/>
      <c r="W29" s="16">
        <v>0.147278174690465</v>
      </c>
      <c r="X29">
        <v>71</v>
      </c>
      <c r="Y29" s="16">
        <v>1.38499252569468E-2</v>
      </c>
      <c r="Z29">
        <v>71</v>
      </c>
      <c r="AA29" s="16">
        <v>0.39427892661542902</v>
      </c>
      <c r="AB29">
        <v>71</v>
      </c>
      <c r="AC29" s="16">
        <v>0.16227167235759299</v>
      </c>
      <c r="AD29">
        <v>71</v>
      </c>
      <c r="AE29" s="16">
        <v>0.41236996548389798</v>
      </c>
      <c r="AF29">
        <v>151</v>
      </c>
      <c r="AG29" s="16">
        <v>0.26957755017333201</v>
      </c>
      <c r="AH29">
        <v>62</v>
      </c>
      <c r="AI29" s="16">
        <v>0.13659911110949999</v>
      </c>
      <c r="AJ29">
        <v>62</v>
      </c>
      <c r="AK29" s="16">
        <v>0.13504365664797699</v>
      </c>
      <c r="AL29">
        <v>62</v>
      </c>
      <c r="AM29" s="16">
        <v>5.4242576728662797E-2</v>
      </c>
      <c r="AN29">
        <v>62</v>
      </c>
      <c r="AO29" s="16">
        <v>0.309661137214164</v>
      </c>
      <c r="AP29">
        <v>62</v>
      </c>
      <c r="AQ29" s="16">
        <v>9.4875968126364604E-2</v>
      </c>
      <c r="AR29" s="11">
        <v>62</v>
      </c>
    </row>
    <row r="30" spans="1:44" outlineLevel="1" x14ac:dyDescent="0.25">
      <c r="A30" s="6" t="s">
        <v>14</v>
      </c>
      <c r="B30" t="s">
        <v>34</v>
      </c>
      <c r="C30" s="16">
        <v>0.34478834137669701</v>
      </c>
      <c r="D30">
        <v>687</v>
      </c>
      <c r="E30" s="16">
        <v>0.46810850156372402</v>
      </c>
      <c r="F30">
        <v>209</v>
      </c>
      <c r="G30" s="16">
        <v>5.65521654505192E-2</v>
      </c>
      <c r="H30">
        <v>209</v>
      </c>
      <c r="I30" s="16">
        <v>9.3764939723013196E-2</v>
      </c>
      <c r="J30">
        <v>209</v>
      </c>
      <c r="K30" s="16">
        <v>5.9129669538990501E-2</v>
      </c>
      <c r="L30">
        <v>209</v>
      </c>
      <c r="M30" s="16">
        <v>0.180432841461386</v>
      </c>
      <c r="N30">
        <v>209</v>
      </c>
      <c r="O30" s="16">
        <v>0.142011882262367</v>
      </c>
      <c r="P30">
        <v>209</v>
      </c>
      <c r="Q30" s="16">
        <v>0.33899170059530698</v>
      </c>
      <c r="R30">
        <v>324</v>
      </c>
      <c r="S30" s="16">
        <v>0.53524027811729602</v>
      </c>
      <c r="T30">
        <v>95</v>
      </c>
      <c r="U30" s="16">
        <v>2.82231618062318E-2</v>
      </c>
      <c r="V30">
        <v>95</v>
      </c>
      <c r="W30" s="16">
        <v>0.13175596707199599</v>
      </c>
      <c r="X30">
        <v>95</v>
      </c>
      <c r="Y30" s="16">
        <v>2.8506810129288698E-2</v>
      </c>
      <c r="Z30">
        <v>95</v>
      </c>
      <c r="AA30" s="16">
        <v>0.11359777164528501</v>
      </c>
      <c r="AB30">
        <v>95</v>
      </c>
      <c r="AC30" s="16">
        <v>0.16267601122990299</v>
      </c>
      <c r="AD30">
        <v>95</v>
      </c>
      <c r="AE30" s="16">
        <v>0.34963526305300302</v>
      </c>
      <c r="AF30">
        <v>363</v>
      </c>
      <c r="AG30" s="16">
        <v>0.41368435941769099</v>
      </c>
      <c r="AH30">
        <v>114</v>
      </c>
      <c r="AI30" s="16">
        <v>7.9518662098523402E-2</v>
      </c>
      <c r="AJ30">
        <v>114</v>
      </c>
      <c r="AK30" s="16">
        <v>6.2965381319179906E-2</v>
      </c>
      <c r="AL30">
        <v>114</v>
      </c>
      <c r="AM30" s="16">
        <v>8.39558090960391E-2</v>
      </c>
      <c r="AN30">
        <v>114</v>
      </c>
      <c r="AO30" s="16">
        <v>0.23461644163929599</v>
      </c>
      <c r="AP30">
        <v>114</v>
      </c>
      <c r="AQ30" s="16">
        <v>0.125259346429271</v>
      </c>
      <c r="AR30" s="11">
        <v>114</v>
      </c>
    </row>
    <row r="31" spans="1:44" outlineLevel="1" x14ac:dyDescent="0.25">
      <c r="A31" s="6" t="s">
        <v>14</v>
      </c>
      <c r="B31" t="s">
        <v>35</v>
      </c>
      <c r="C31" s="16">
        <v>0.26979583074082097</v>
      </c>
      <c r="D31">
        <v>1049</v>
      </c>
      <c r="E31" s="16">
        <v>0.31858246118063699</v>
      </c>
      <c r="F31">
        <v>303</v>
      </c>
      <c r="G31" s="16">
        <v>5.5055028846544903E-2</v>
      </c>
      <c r="H31">
        <v>303</v>
      </c>
      <c r="I31" s="16">
        <v>0.16229010426886101</v>
      </c>
      <c r="J31">
        <v>303</v>
      </c>
      <c r="K31" s="16">
        <v>7.2555218165071905E-2</v>
      </c>
      <c r="L31">
        <v>303</v>
      </c>
      <c r="M31" s="16">
        <v>0.17785216465668499</v>
      </c>
      <c r="N31">
        <v>303</v>
      </c>
      <c r="O31" s="16">
        <v>0.21366502288219999</v>
      </c>
      <c r="P31">
        <v>303</v>
      </c>
      <c r="Q31" s="16">
        <v>0.26852327635718398</v>
      </c>
      <c r="R31">
        <v>509</v>
      </c>
      <c r="S31" s="16">
        <v>0.27256354925188903</v>
      </c>
      <c r="T31">
        <v>145</v>
      </c>
      <c r="U31" s="16">
        <v>3.77487178643231E-2</v>
      </c>
      <c r="V31">
        <v>145</v>
      </c>
      <c r="W31" s="16">
        <v>0.16535042166928601</v>
      </c>
      <c r="X31">
        <v>145</v>
      </c>
      <c r="Y31" s="16">
        <v>9.8752042796371106E-2</v>
      </c>
      <c r="Z31">
        <v>145</v>
      </c>
      <c r="AA31" s="16">
        <v>0.215379562794837</v>
      </c>
      <c r="AB31">
        <v>145</v>
      </c>
      <c r="AC31" s="16">
        <v>0.21020570562329399</v>
      </c>
      <c r="AD31">
        <v>145</v>
      </c>
      <c r="AE31" s="16">
        <v>0.27095390098626598</v>
      </c>
      <c r="AF31">
        <v>540</v>
      </c>
      <c r="AG31" s="16">
        <v>0.36008564630295598</v>
      </c>
      <c r="AH31">
        <v>158</v>
      </c>
      <c r="AI31" s="16">
        <v>7.0663112531610894E-2</v>
      </c>
      <c r="AJ31">
        <v>158</v>
      </c>
      <c r="AK31" s="16">
        <v>0.15953008856489301</v>
      </c>
      <c r="AL31">
        <v>158</v>
      </c>
      <c r="AM31" s="16">
        <v>4.8929025873234097E-2</v>
      </c>
      <c r="AN31">
        <v>158</v>
      </c>
      <c r="AO31" s="16">
        <v>0.14400724119351899</v>
      </c>
      <c r="AP31">
        <v>158</v>
      </c>
      <c r="AQ31" s="16">
        <v>0.216784885533788</v>
      </c>
      <c r="AR31" s="11">
        <v>158</v>
      </c>
    </row>
    <row r="32" spans="1:44" outlineLevel="1" x14ac:dyDescent="0.25">
      <c r="A32" s="6" t="s">
        <v>14</v>
      </c>
      <c r="B32" t="s">
        <v>36</v>
      </c>
      <c r="C32" s="16">
        <v>0.22135953916481901</v>
      </c>
      <c r="D32">
        <v>608</v>
      </c>
      <c r="E32" s="16">
        <v>0.28285866640803897</v>
      </c>
      <c r="F32">
        <v>130</v>
      </c>
      <c r="G32" s="16">
        <v>5.8551836015997401E-2</v>
      </c>
      <c r="H32">
        <v>130</v>
      </c>
      <c r="I32" s="16">
        <v>0.10704273630093</v>
      </c>
      <c r="J32">
        <v>130</v>
      </c>
      <c r="K32" s="16">
        <v>0.10639719399198599</v>
      </c>
      <c r="L32">
        <v>130</v>
      </c>
      <c r="M32" s="16">
        <v>7.5782557508835294E-2</v>
      </c>
      <c r="N32">
        <v>130</v>
      </c>
      <c r="O32" s="16">
        <v>0.369367009774213</v>
      </c>
      <c r="P32">
        <v>130</v>
      </c>
      <c r="Q32" s="16">
        <v>0.18720293782122499</v>
      </c>
      <c r="R32">
        <v>280</v>
      </c>
      <c r="S32" s="16">
        <v>0.23048403363485401</v>
      </c>
      <c r="T32">
        <v>48</v>
      </c>
      <c r="U32" s="16"/>
      <c r="W32" s="16">
        <v>0.14279353564257399</v>
      </c>
      <c r="X32">
        <v>48</v>
      </c>
      <c r="Y32" s="16">
        <v>0.15225037101533201</v>
      </c>
      <c r="Z32">
        <v>48</v>
      </c>
      <c r="AA32" s="16">
        <v>0.11562777351988</v>
      </c>
      <c r="AB32">
        <v>48</v>
      </c>
      <c r="AC32" s="16">
        <v>0.35884428618736097</v>
      </c>
      <c r="AD32">
        <v>48</v>
      </c>
      <c r="AE32" s="16">
        <v>0.250983255341649</v>
      </c>
      <c r="AF32">
        <v>328</v>
      </c>
      <c r="AG32" s="16">
        <v>0.31762859786284098</v>
      </c>
      <c r="AH32">
        <v>82</v>
      </c>
      <c r="AI32" s="16">
        <v>9.7422625500013293E-2</v>
      </c>
      <c r="AJ32">
        <v>82</v>
      </c>
      <c r="AK32" s="16">
        <v>8.3308864066511307E-2</v>
      </c>
      <c r="AL32">
        <v>82</v>
      </c>
      <c r="AM32" s="16">
        <v>7.5956659373040497E-2</v>
      </c>
      <c r="AN32">
        <v>82</v>
      </c>
      <c r="AO32" s="16">
        <v>4.93305261312489E-2</v>
      </c>
      <c r="AP32">
        <v>82</v>
      </c>
      <c r="AQ32" s="16">
        <v>0.37635272706634498</v>
      </c>
      <c r="AR32" s="11">
        <v>82</v>
      </c>
    </row>
    <row r="33" spans="1:44" outlineLevel="1" x14ac:dyDescent="0.25">
      <c r="A33" s="6" t="s">
        <v>14</v>
      </c>
      <c r="B33" t="s">
        <v>37</v>
      </c>
      <c r="C33" s="16">
        <v>0.269652659613492</v>
      </c>
      <c r="D33">
        <v>494</v>
      </c>
      <c r="E33" s="16">
        <v>0.291703070956987</v>
      </c>
      <c r="F33">
        <v>133</v>
      </c>
      <c r="G33" s="16">
        <v>5.5018702920063799E-2</v>
      </c>
      <c r="H33">
        <v>133</v>
      </c>
      <c r="I33" s="16">
        <v>8.8192514579286799E-2</v>
      </c>
      <c r="J33">
        <v>133</v>
      </c>
      <c r="K33" s="16">
        <v>2.1982202528318999E-2</v>
      </c>
      <c r="L33">
        <v>133</v>
      </c>
      <c r="M33" s="16">
        <v>0.37633059959003001</v>
      </c>
      <c r="N33">
        <v>133</v>
      </c>
      <c r="O33" s="16">
        <v>0.166772909425313</v>
      </c>
      <c r="P33">
        <v>133</v>
      </c>
      <c r="Q33" s="16">
        <v>0.24894710087289801</v>
      </c>
      <c r="R33">
        <v>237</v>
      </c>
      <c r="S33" s="16">
        <v>0.36894936894837299</v>
      </c>
      <c r="T33">
        <v>61</v>
      </c>
      <c r="U33" s="16">
        <v>3.9127646824697597E-2</v>
      </c>
      <c r="V33">
        <v>61</v>
      </c>
      <c r="W33" s="16">
        <v>2.8589539312704301E-2</v>
      </c>
      <c r="X33">
        <v>61</v>
      </c>
      <c r="Y33" s="16">
        <v>2.5576617984421599E-2</v>
      </c>
      <c r="Z33">
        <v>61</v>
      </c>
      <c r="AA33" s="16">
        <v>0.32435131270016798</v>
      </c>
      <c r="AB33">
        <v>61</v>
      </c>
      <c r="AC33" s="16">
        <v>0.213405514229636</v>
      </c>
      <c r="AD33">
        <v>61</v>
      </c>
      <c r="AE33" s="16">
        <v>0.28874878840824397</v>
      </c>
      <c r="AF33">
        <v>257</v>
      </c>
      <c r="AG33" s="16">
        <v>0.230281211737419</v>
      </c>
      <c r="AH33">
        <v>72</v>
      </c>
      <c r="AI33" s="16">
        <v>6.7654366190926102E-2</v>
      </c>
      <c r="AJ33">
        <v>72</v>
      </c>
      <c r="AK33" s="16">
        <v>0.135585407845184</v>
      </c>
      <c r="AL33">
        <v>72</v>
      </c>
      <c r="AM33" s="16">
        <v>1.9124127955657998E-2</v>
      </c>
      <c r="AN33">
        <v>72</v>
      </c>
      <c r="AO33" s="16">
        <v>0.417661569807382</v>
      </c>
      <c r="AP33">
        <v>72</v>
      </c>
      <c r="AQ33" s="16">
        <v>0.12969331646342999</v>
      </c>
      <c r="AR33" s="11">
        <v>72</v>
      </c>
    </row>
    <row r="34" spans="1:44" outlineLevel="1" x14ac:dyDescent="0.25">
      <c r="A34" s="6" t="s">
        <v>14</v>
      </c>
      <c r="B34" t="s">
        <v>38</v>
      </c>
      <c r="C34" s="16">
        <v>0.49078672760565401</v>
      </c>
      <c r="D34">
        <v>1412</v>
      </c>
      <c r="E34" s="16">
        <v>0.36791560664994399</v>
      </c>
      <c r="F34">
        <v>752</v>
      </c>
      <c r="G34" s="16">
        <v>3.9349022543584501E-2</v>
      </c>
      <c r="H34">
        <v>752</v>
      </c>
      <c r="I34" s="16">
        <v>0.219247580455977</v>
      </c>
      <c r="J34">
        <v>752</v>
      </c>
      <c r="K34" s="16">
        <v>1.2806448116746401E-2</v>
      </c>
      <c r="L34">
        <v>752</v>
      </c>
      <c r="M34" s="16">
        <v>0.197300596334921</v>
      </c>
      <c r="N34">
        <v>752</v>
      </c>
      <c r="O34" s="16">
        <v>0.16338074589882601</v>
      </c>
      <c r="P34">
        <v>752</v>
      </c>
      <c r="Q34" s="16">
        <v>0.51172217080895099</v>
      </c>
      <c r="R34">
        <v>741</v>
      </c>
      <c r="S34" s="16">
        <v>0.35007771128471898</v>
      </c>
      <c r="T34">
        <v>412</v>
      </c>
      <c r="U34" s="16">
        <v>1.40949075764786E-3</v>
      </c>
      <c r="V34">
        <v>412</v>
      </c>
      <c r="W34" s="16">
        <v>0.24748977376648801</v>
      </c>
      <c r="X34">
        <v>412</v>
      </c>
      <c r="Y34" s="16">
        <v>5.9307140569583696E-3</v>
      </c>
      <c r="Z34">
        <v>412</v>
      </c>
      <c r="AA34" s="16">
        <v>0.22119448719515</v>
      </c>
      <c r="AB34">
        <v>412</v>
      </c>
      <c r="AC34" s="16">
        <v>0.173897822939036</v>
      </c>
      <c r="AD34">
        <v>412</v>
      </c>
      <c r="AE34" s="16">
        <v>0.46970128729855698</v>
      </c>
      <c r="AF34">
        <v>671</v>
      </c>
      <c r="AG34" s="16">
        <v>0.38751198465443298</v>
      </c>
      <c r="AH34">
        <v>340</v>
      </c>
      <c r="AI34" s="16">
        <v>8.1028682109248296E-2</v>
      </c>
      <c r="AJ34">
        <v>340</v>
      </c>
      <c r="AK34" s="16">
        <v>0.18822123544962999</v>
      </c>
      <c r="AL34">
        <v>340</v>
      </c>
      <c r="AM34" s="16">
        <v>2.03600008725618E-2</v>
      </c>
      <c r="AN34">
        <v>340</v>
      </c>
      <c r="AO34" s="16">
        <v>0.17105121502013501</v>
      </c>
      <c r="AP34">
        <v>340</v>
      </c>
      <c r="AQ34" s="16">
        <v>0.15182688189399199</v>
      </c>
      <c r="AR34" s="11">
        <v>340</v>
      </c>
    </row>
    <row r="35" spans="1:44" outlineLevel="1" x14ac:dyDescent="0.25">
      <c r="A35" s="6" t="s">
        <v>14</v>
      </c>
      <c r="B35" t="s">
        <v>39</v>
      </c>
      <c r="C35" s="16">
        <v>0.241505588569045</v>
      </c>
      <c r="D35">
        <v>545</v>
      </c>
      <c r="E35" s="16">
        <v>0.238152025036239</v>
      </c>
      <c r="F35">
        <v>192</v>
      </c>
      <c r="G35" s="16">
        <v>0.156937168634943</v>
      </c>
      <c r="H35">
        <v>192</v>
      </c>
      <c r="I35" s="16">
        <v>8.4283667436332504E-2</v>
      </c>
      <c r="J35">
        <v>192</v>
      </c>
      <c r="K35" s="16">
        <v>5.7597854872306203E-2</v>
      </c>
      <c r="L35">
        <v>192</v>
      </c>
      <c r="M35" s="16">
        <v>0.26184660667269599</v>
      </c>
      <c r="N35">
        <v>192</v>
      </c>
      <c r="O35" s="16">
        <v>0.20118267734748299</v>
      </c>
      <c r="P35">
        <v>192</v>
      </c>
      <c r="Q35" s="16">
        <v>0.190949271762439</v>
      </c>
      <c r="R35">
        <v>261</v>
      </c>
      <c r="S35" s="16">
        <v>0.28239517354423099</v>
      </c>
      <c r="T35">
        <v>89</v>
      </c>
      <c r="U35" s="16">
        <v>1.12432000320676E-2</v>
      </c>
      <c r="V35">
        <v>89</v>
      </c>
      <c r="W35" s="16">
        <v>7.8586801327460404E-2</v>
      </c>
      <c r="X35">
        <v>89</v>
      </c>
      <c r="Y35" s="16">
        <v>9.7193464363915405E-2</v>
      </c>
      <c r="Z35">
        <v>89</v>
      </c>
      <c r="AA35" s="16">
        <v>0.242284939162039</v>
      </c>
      <c r="AB35">
        <v>89</v>
      </c>
      <c r="AC35" s="16">
        <v>0.28829642157028701</v>
      </c>
      <c r="AD35">
        <v>89</v>
      </c>
      <c r="AE35" s="16">
        <v>0.28287076388827898</v>
      </c>
      <c r="AF35">
        <v>284</v>
      </c>
      <c r="AG35" s="16">
        <v>0.21371572711716599</v>
      </c>
      <c r="AH35">
        <v>103</v>
      </c>
      <c r="AI35" s="16">
        <v>0.23740660496244101</v>
      </c>
      <c r="AJ35">
        <v>103</v>
      </c>
      <c r="AK35" s="16">
        <v>8.7430150499497095E-2</v>
      </c>
      <c r="AL35">
        <v>103</v>
      </c>
      <c r="AM35" s="16">
        <v>3.57284775234167E-2</v>
      </c>
      <c r="AN35">
        <v>103</v>
      </c>
      <c r="AO35" s="16">
        <v>0.27265087244501002</v>
      </c>
      <c r="AP35">
        <v>103</v>
      </c>
      <c r="AQ35" s="16">
        <v>0.15306816745246801</v>
      </c>
      <c r="AR35" s="11">
        <v>103</v>
      </c>
    </row>
    <row r="36" spans="1:44" outlineLevel="1" x14ac:dyDescent="0.25">
      <c r="A36" s="6" t="s">
        <v>14</v>
      </c>
      <c r="B36" t="s">
        <v>40</v>
      </c>
      <c r="C36" s="16">
        <v>0.37923086234181902</v>
      </c>
      <c r="D36">
        <v>489</v>
      </c>
      <c r="E36" s="16">
        <v>0.33392720810360799</v>
      </c>
      <c r="F36">
        <v>185</v>
      </c>
      <c r="G36" s="16">
        <v>6.0571381697508697E-2</v>
      </c>
      <c r="H36">
        <v>185</v>
      </c>
      <c r="I36" s="16">
        <v>0.101648066915876</v>
      </c>
      <c r="J36">
        <v>185</v>
      </c>
      <c r="K36" s="16">
        <v>1.0327182313514101E-2</v>
      </c>
      <c r="L36">
        <v>185</v>
      </c>
      <c r="M36" s="16">
        <v>0.375583995599445</v>
      </c>
      <c r="N36">
        <v>185</v>
      </c>
      <c r="O36" s="16">
        <v>0.11794216537004799</v>
      </c>
      <c r="P36">
        <v>185</v>
      </c>
      <c r="Q36" s="16">
        <v>0.36793313907708203</v>
      </c>
      <c r="R36">
        <v>239</v>
      </c>
      <c r="S36" s="16">
        <v>0.38339963908621399</v>
      </c>
      <c r="T36">
        <v>89</v>
      </c>
      <c r="U36" s="16">
        <v>6.4753567581547697E-2</v>
      </c>
      <c r="V36">
        <v>89</v>
      </c>
      <c r="W36" s="16">
        <v>7.0148193957248195E-2</v>
      </c>
      <c r="X36">
        <v>89</v>
      </c>
      <c r="Y36" s="16">
        <v>2.1230980283823201E-2</v>
      </c>
      <c r="Z36">
        <v>89</v>
      </c>
      <c r="AA36" s="16">
        <v>0.36195937831284303</v>
      </c>
      <c r="AB36">
        <v>89</v>
      </c>
      <c r="AC36" s="16">
        <v>9.8508240778324305E-2</v>
      </c>
      <c r="AD36">
        <v>89</v>
      </c>
      <c r="AE36" s="16">
        <v>0.39062030085675797</v>
      </c>
      <c r="AF36">
        <v>250</v>
      </c>
      <c r="AG36" s="16">
        <v>0.28707098281024501</v>
      </c>
      <c r="AH36">
        <v>96</v>
      </c>
      <c r="AI36" s="16">
        <v>5.6610358555748003E-2</v>
      </c>
      <c r="AJ36">
        <v>96</v>
      </c>
      <c r="AK36" s="16">
        <v>0.131482160667621</v>
      </c>
      <c r="AL36">
        <v>96</v>
      </c>
      <c r="AM36" s="16"/>
      <c r="AO36" s="16">
        <v>0.38848811460951099</v>
      </c>
      <c r="AP36">
        <v>96</v>
      </c>
      <c r="AQ36" s="16">
        <v>0.13634838335687499</v>
      </c>
      <c r="AR36" s="11">
        <v>96</v>
      </c>
    </row>
    <row r="37" spans="1:44" outlineLevel="1" x14ac:dyDescent="0.25">
      <c r="A37" s="6" t="s">
        <v>14</v>
      </c>
      <c r="B37" t="s">
        <v>41</v>
      </c>
      <c r="C37" s="16">
        <v>0.34062496281292198</v>
      </c>
      <c r="D37">
        <v>318</v>
      </c>
      <c r="E37" s="16">
        <v>0.32871793036814401</v>
      </c>
      <c r="F37">
        <v>107</v>
      </c>
      <c r="G37" s="16">
        <v>0.163059708484385</v>
      </c>
      <c r="H37">
        <v>107</v>
      </c>
      <c r="I37" s="16">
        <v>8.2619558799920695E-2</v>
      </c>
      <c r="J37">
        <v>107</v>
      </c>
      <c r="K37" s="16">
        <v>7.7109571900799506E-2</v>
      </c>
      <c r="L37">
        <v>107</v>
      </c>
      <c r="M37" s="16">
        <v>0.17920598033077001</v>
      </c>
      <c r="N37">
        <v>107</v>
      </c>
      <c r="O37" s="16">
        <v>0.169287250115981</v>
      </c>
      <c r="P37">
        <v>107</v>
      </c>
      <c r="Q37" s="16">
        <v>0.35362359620426398</v>
      </c>
      <c r="R37">
        <v>149</v>
      </c>
      <c r="S37" s="16">
        <v>0.335734133369467</v>
      </c>
      <c r="T37">
        <v>52</v>
      </c>
      <c r="U37" s="16">
        <v>0.11881199559371899</v>
      </c>
      <c r="V37">
        <v>52</v>
      </c>
      <c r="W37" s="16">
        <v>5.4595974628097801E-2</v>
      </c>
      <c r="X37">
        <v>52</v>
      </c>
      <c r="Y37" s="16"/>
      <c r="AA37" s="16">
        <v>0.235013758998562</v>
      </c>
      <c r="AB37">
        <v>52</v>
      </c>
      <c r="AC37" s="16">
        <v>0.25584413741015399</v>
      </c>
      <c r="AD37">
        <v>52</v>
      </c>
      <c r="AE37" s="16">
        <v>0.32927453577482002</v>
      </c>
      <c r="AF37">
        <v>169</v>
      </c>
      <c r="AG37" s="16">
        <v>0.32214621412963501</v>
      </c>
      <c r="AH37">
        <v>55</v>
      </c>
      <c r="AI37" s="16">
        <v>0.20450426378953299</v>
      </c>
      <c r="AJ37">
        <v>55</v>
      </c>
      <c r="AK37" s="16">
        <v>0.108867807764278</v>
      </c>
      <c r="AL37">
        <v>55</v>
      </c>
      <c r="AM37" s="16">
        <v>0.14933413919302499</v>
      </c>
      <c r="AN37">
        <v>55</v>
      </c>
      <c r="AO37" s="16">
        <v>0.12693370639042201</v>
      </c>
      <c r="AP37">
        <v>55</v>
      </c>
      <c r="AQ37" s="16">
        <v>8.8213868733107798E-2</v>
      </c>
      <c r="AR37" s="11">
        <v>55</v>
      </c>
    </row>
    <row r="38" spans="1:44" outlineLevel="1" x14ac:dyDescent="0.25">
      <c r="A38" s="6" t="s">
        <v>14</v>
      </c>
      <c r="B38" t="s">
        <v>42</v>
      </c>
      <c r="C38" s="16">
        <v>0.58651024170115995</v>
      </c>
      <c r="D38">
        <v>890</v>
      </c>
      <c r="E38" s="16">
        <v>0.12579441298928101</v>
      </c>
      <c r="F38">
        <v>536</v>
      </c>
      <c r="G38" s="16">
        <v>4.6274527608479797E-2</v>
      </c>
      <c r="H38">
        <v>536</v>
      </c>
      <c r="I38" s="16">
        <v>0.56270475882448301</v>
      </c>
      <c r="J38">
        <v>536</v>
      </c>
      <c r="K38" s="16">
        <v>1.9853192578431801E-2</v>
      </c>
      <c r="L38">
        <v>536</v>
      </c>
      <c r="M38" s="16">
        <v>0.12028464318938099</v>
      </c>
      <c r="N38">
        <v>536</v>
      </c>
      <c r="O38" s="16">
        <v>0.12508846480994301</v>
      </c>
      <c r="P38">
        <v>536</v>
      </c>
      <c r="Q38" s="16">
        <v>0.60764877674490203</v>
      </c>
      <c r="R38">
        <v>446</v>
      </c>
      <c r="S38" s="16">
        <v>0.118428248288829</v>
      </c>
      <c r="T38">
        <v>275</v>
      </c>
      <c r="U38" s="16">
        <v>1.48244942127548E-2</v>
      </c>
      <c r="V38">
        <v>275</v>
      </c>
      <c r="W38" s="16">
        <v>0.60448359903457405</v>
      </c>
      <c r="X38">
        <v>275</v>
      </c>
      <c r="Y38" s="16">
        <v>1.2208732990915501E-2</v>
      </c>
      <c r="Z38">
        <v>275</v>
      </c>
      <c r="AA38" s="16">
        <v>0.109362826635221</v>
      </c>
      <c r="AB38">
        <v>275</v>
      </c>
      <c r="AC38" s="16">
        <v>0.140692098837706</v>
      </c>
      <c r="AD38">
        <v>275</v>
      </c>
      <c r="AE38" s="16">
        <v>0.56570233401944603</v>
      </c>
      <c r="AF38">
        <v>444</v>
      </c>
      <c r="AG38" s="16">
        <v>0.13360687670879401</v>
      </c>
      <c r="AH38">
        <v>261</v>
      </c>
      <c r="AI38" s="16">
        <v>7.9630046372068594E-2</v>
      </c>
      <c r="AJ38">
        <v>261</v>
      </c>
      <c r="AK38" s="16">
        <v>0.51839463453895296</v>
      </c>
      <c r="AL38">
        <v>261</v>
      </c>
      <c r="AM38" s="16">
        <v>2.7960812433727701E-2</v>
      </c>
      <c r="AN38">
        <v>261</v>
      </c>
      <c r="AO38" s="16">
        <v>0.131868187550714</v>
      </c>
      <c r="AP38">
        <v>261</v>
      </c>
      <c r="AQ38" s="16">
        <v>0.10853944239574199</v>
      </c>
      <c r="AR38" s="11">
        <v>261</v>
      </c>
    </row>
    <row r="39" spans="1:44" outlineLevel="1" x14ac:dyDescent="0.25">
      <c r="A39" s="6" t="s">
        <v>14</v>
      </c>
      <c r="B39" t="s">
        <v>43</v>
      </c>
      <c r="C39" s="16">
        <v>0.33924283970124702</v>
      </c>
      <c r="D39">
        <v>450</v>
      </c>
      <c r="E39" s="16">
        <v>0.30058653188853202</v>
      </c>
      <c r="F39">
        <v>144</v>
      </c>
      <c r="G39" s="16"/>
      <c r="I39" s="16">
        <v>0.12580937861102501</v>
      </c>
      <c r="J39">
        <v>144</v>
      </c>
      <c r="K39" s="16">
        <v>1.3765299898491099E-2</v>
      </c>
      <c r="L39">
        <v>144</v>
      </c>
      <c r="M39" s="16">
        <v>0.51035018529408605</v>
      </c>
      <c r="N39">
        <v>144</v>
      </c>
      <c r="O39" s="16">
        <v>4.9488604307865697E-2</v>
      </c>
      <c r="P39">
        <v>144</v>
      </c>
      <c r="Q39" s="16">
        <v>0.30612591716806298</v>
      </c>
      <c r="R39">
        <v>247</v>
      </c>
      <c r="S39" s="16">
        <v>0.26744065670514999</v>
      </c>
      <c r="T39">
        <v>70</v>
      </c>
      <c r="U39" s="16"/>
      <c r="W39" s="16">
        <v>0.117717529397818</v>
      </c>
      <c r="X39">
        <v>70</v>
      </c>
      <c r="Y39" s="16">
        <v>2.8646874477626299E-2</v>
      </c>
      <c r="Z39">
        <v>70</v>
      </c>
      <c r="AA39" s="16">
        <v>0.54042330917305703</v>
      </c>
      <c r="AB39">
        <v>70</v>
      </c>
      <c r="AC39" s="16">
        <v>4.5771630246349303E-2</v>
      </c>
      <c r="AD39">
        <v>70</v>
      </c>
      <c r="AE39" s="16">
        <v>0.37736230294395601</v>
      </c>
      <c r="AF39">
        <v>203</v>
      </c>
      <c r="AG39" s="16">
        <v>0.33124611766495399</v>
      </c>
      <c r="AH39">
        <v>74</v>
      </c>
      <c r="AI39" s="16"/>
      <c r="AK39" s="16">
        <v>0.13329425398902001</v>
      </c>
      <c r="AL39">
        <v>74</v>
      </c>
      <c r="AM39" s="16"/>
      <c r="AO39" s="16">
        <v>0.48253286214207802</v>
      </c>
      <c r="AP39">
        <v>74</v>
      </c>
      <c r="AQ39" s="16">
        <v>5.2926766203947699E-2</v>
      </c>
      <c r="AR39" s="11">
        <v>74</v>
      </c>
    </row>
    <row r="40" spans="1:44" outlineLevel="1" x14ac:dyDescent="0.25">
      <c r="A40" s="6" t="s">
        <v>14</v>
      </c>
      <c r="B40" t="s">
        <v>44</v>
      </c>
      <c r="C40" s="16">
        <v>0.283120032810387</v>
      </c>
      <c r="D40">
        <v>283</v>
      </c>
      <c r="E40" s="16">
        <v>0.26302540671980201</v>
      </c>
      <c r="F40">
        <v>80</v>
      </c>
      <c r="G40" s="16">
        <v>3.7324864426732503E-2</v>
      </c>
      <c r="H40">
        <v>80</v>
      </c>
      <c r="I40" s="16">
        <v>0.111974593280198</v>
      </c>
      <c r="J40">
        <v>80</v>
      </c>
      <c r="K40" s="16">
        <v>3.7616757048844998E-2</v>
      </c>
      <c r="L40">
        <v>80</v>
      </c>
      <c r="M40" s="16">
        <v>0.38656594360924001</v>
      </c>
      <c r="N40">
        <v>80</v>
      </c>
      <c r="O40" s="16">
        <v>0.16349243491518201</v>
      </c>
      <c r="P40">
        <v>80</v>
      </c>
      <c r="Q40" s="16">
        <v>0.29978455495259199</v>
      </c>
      <c r="R40">
        <v>137</v>
      </c>
      <c r="S40" s="16">
        <v>0.24322207140555099</v>
      </c>
      <c r="T40">
        <v>41</v>
      </c>
      <c r="U40" s="16"/>
      <c r="W40" s="16">
        <v>0.145591670528567</v>
      </c>
      <c r="X40">
        <v>41</v>
      </c>
      <c r="Y40" s="16">
        <v>4.9099844034129002E-2</v>
      </c>
      <c r="Z40">
        <v>41</v>
      </c>
      <c r="AA40" s="16">
        <v>0.38938302912539102</v>
      </c>
      <c r="AB40">
        <v>41</v>
      </c>
      <c r="AC40" s="16">
        <v>0.172703384906362</v>
      </c>
      <c r="AD40">
        <v>41</v>
      </c>
      <c r="AE40" s="16">
        <v>0.26747447273671099</v>
      </c>
      <c r="AF40">
        <v>146</v>
      </c>
      <c r="AG40" s="16">
        <v>0.28386376519571599</v>
      </c>
      <c r="AH40">
        <v>39</v>
      </c>
      <c r="AI40" s="16">
        <v>7.66005163634743E-2</v>
      </c>
      <c r="AJ40">
        <v>39</v>
      </c>
      <c r="AK40" s="16">
        <v>7.66005163634743E-2</v>
      </c>
      <c r="AL40">
        <v>39</v>
      </c>
      <c r="AM40" s="16">
        <v>2.5533505454491401E-2</v>
      </c>
      <c r="AN40">
        <v>39</v>
      </c>
      <c r="AO40" s="16">
        <v>0.38360162285663402</v>
      </c>
      <c r="AP40">
        <v>39</v>
      </c>
      <c r="AQ40" s="16">
        <v>0.15380007376621099</v>
      </c>
      <c r="AR40" s="11">
        <v>39</v>
      </c>
    </row>
    <row r="41" spans="1:44" outlineLevel="1" x14ac:dyDescent="0.25">
      <c r="A41" s="6" t="s">
        <v>14</v>
      </c>
      <c r="B41" t="s">
        <v>45</v>
      </c>
      <c r="C41" s="16">
        <v>0.42784503624068998</v>
      </c>
      <c r="D41">
        <v>813</v>
      </c>
      <c r="E41" s="16">
        <v>0.21694741834681699</v>
      </c>
      <c r="F41">
        <v>390</v>
      </c>
      <c r="G41" s="16">
        <v>0.15625652017104499</v>
      </c>
      <c r="H41">
        <v>390</v>
      </c>
      <c r="I41" s="16">
        <v>0.17609219970124401</v>
      </c>
      <c r="J41">
        <v>390</v>
      </c>
      <c r="K41" s="16">
        <v>2.3382988137298801E-2</v>
      </c>
      <c r="L41">
        <v>390</v>
      </c>
      <c r="M41" s="16">
        <v>0.26439968463798202</v>
      </c>
      <c r="N41">
        <v>390</v>
      </c>
      <c r="O41" s="16">
        <v>0.162921189005613</v>
      </c>
      <c r="P41">
        <v>390</v>
      </c>
      <c r="Q41" s="16">
        <v>0.42837379117079399</v>
      </c>
      <c r="R41">
        <v>375</v>
      </c>
      <c r="S41" s="16">
        <v>0.26001466487841501</v>
      </c>
      <c r="T41">
        <v>183</v>
      </c>
      <c r="U41" s="16">
        <v>3.2147125693799801E-2</v>
      </c>
      <c r="V41">
        <v>183</v>
      </c>
      <c r="W41" s="16">
        <v>0.182662402969995</v>
      </c>
      <c r="X41">
        <v>183</v>
      </c>
      <c r="Y41" s="16">
        <v>1.72145628974835E-2</v>
      </c>
      <c r="Z41">
        <v>183</v>
      </c>
      <c r="AA41" s="16">
        <v>0.31914420065322502</v>
      </c>
      <c r="AB41">
        <v>183</v>
      </c>
      <c r="AC41" s="16">
        <v>0.18881704290708201</v>
      </c>
      <c r="AD41">
        <v>183</v>
      </c>
      <c r="AE41" s="16">
        <v>0.42736042853953798</v>
      </c>
      <c r="AF41">
        <v>438</v>
      </c>
      <c r="AG41" s="16">
        <v>0.17753942960600499</v>
      </c>
      <c r="AH41">
        <v>207</v>
      </c>
      <c r="AI41" s="16">
        <v>0.26982081819506598</v>
      </c>
      <c r="AJ41">
        <v>207</v>
      </c>
      <c r="AK41" s="16">
        <v>0.170080241257376</v>
      </c>
      <c r="AL41">
        <v>207</v>
      </c>
      <c r="AM41" s="16">
        <v>2.90273060813502E-2</v>
      </c>
      <c r="AN41">
        <v>207</v>
      </c>
      <c r="AO41" s="16">
        <v>0.21430659895238899</v>
      </c>
      <c r="AP41">
        <v>207</v>
      </c>
      <c r="AQ41" s="16">
        <v>0.13922560590781399</v>
      </c>
      <c r="AR41" s="11">
        <v>207</v>
      </c>
    </row>
    <row r="42" spans="1:44" outlineLevel="1" x14ac:dyDescent="0.25">
      <c r="A42" s="6" t="s">
        <v>14</v>
      </c>
      <c r="B42" t="s">
        <v>46</v>
      </c>
      <c r="C42" s="16">
        <v>0.284025576276692</v>
      </c>
      <c r="D42">
        <v>612</v>
      </c>
      <c r="E42" s="16">
        <v>0.11370508757830899</v>
      </c>
      <c r="F42">
        <v>214</v>
      </c>
      <c r="G42" s="16">
        <v>8.7353466903676694E-2</v>
      </c>
      <c r="H42">
        <v>214</v>
      </c>
      <c r="I42" s="16">
        <v>0.28365792140737101</v>
      </c>
      <c r="J42">
        <v>214</v>
      </c>
      <c r="K42" s="16">
        <v>2.73615774124896E-2</v>
      </c>
      <c r="L42">
        <v>214</v>
      </c>
      <c r="M42" s="16">
        <v>0.33232246735174897</v>
      </c>
      <c r="N42">
        <v>214</v>
      </c>
      <c r="O42" s="16">
        <v>0.155599479346404</v>
      </c>
      <c r="P42">
        <v>214</v>
      </c>
      <c r="Q42" s="16">
        <v>0.281061834938369</v>
      </c>
      <c r="R42">
        <v>306</v>
      </c>
      <c r="S42" s="16">
        <v>8.4491527605136299E-2</v>
      </c>
      <c r="T42">
        <v>107</v>
      </c>
      <c r="U42" s="16">
        <v>6.9607581158187604E-2</v>
      </c>
      <c r="V42">
        <v>107</v>
      </c>
      <c r="W42" s="16">
        <v>0.282734412913759</v>
      </c>
      <c r="X42">
        <v>107</v>
      </c>
      <c r="Y42" s="16">
        <v>3.92327844275994E-2</v>
      </c>
      <c r="Z42">
        <v>107</v>
      </c>
      <c r="AA42" s="16">
        <v>0.36913702515633401</v>
      </c>
      <c r="AB42">
        <v>107</v>
      </c>
      <c r="AC42" s="16">
        <v>0.15479666873898401</v>
      </c>
      <c r="AD42">
        <v>107</v>
      </c>
      <c r="AE42" s="16">
        <v>0.28710497478138503</v>
      </c>
      <c r="AF42">
        <v>306</v>
      </c>
      <c r="AG42" s="16">
        <v>0.14400228220896899</v>
      </c>
      <c r="AH42">
        <v>107</v>
      </c>
      <c r="AI42" s="16">
        <v>0.105757610555401</v>
      </c>
      <c r="AJ42">
        <v>107</v>
      </c>
      <c r="AK42" s="16">
        <v>0.284615686109782</v>
      </c>
      <c r="AL42">
        <v>107</v>
      </c>
      <c r="AM42" s="16">
        <v>1.50500251823634E-2</v>
      </c>
      <c r="AN42">
        <v>107</v>
      </c>
      <c r="AO42" s="16">
        <v>0.29414232689398001</v>
      </c>
      <c r="AP42">
        <v>107</v>
      </c>
      <c r="AQ42" s="16">
        <v>0.15643206904950399</v>
      </c>
      <c r="AR42" s="11">
        <v>107</v>
      </c>
    </row>
    <row r="43" spans="1:44" outlineLevel="1" x14ac:dyDescent="0.25">
      <c r="A43" s="7" t="s">
        <v>14</v>
      </c>
      <c r="B43" s="9" t="s">
        <v>47</v>
      </c>
      <c r="C43" s="15">
        <v>0.43517606313256402</v>
      </c>
      <c r="D43" s="9">
        <v>554</v>
      </c>
      <c r="E43" s="15">
        <v>0.25217763119411202</v>
      </c>
      <c r="F43" s="9">
        <v>241</v>
      </c>
      <c r="G43" s="15">
        <v>5.9183464129538101E-2</v>
      </c>
      <c r="H43" s="9">
        <v>241</v>
      </c>
      <c r="I43" s="15">
        <v>8.8237239514000504E-2</v>
      </c>
      <c r="J43" s="9">
        <v>241</v>
      </c>
      <c r="K43" s="15">
        <v>2.6796810178820001E-2</v>
      </c>
      <c r="L43" s="9">
        <v>241</v>
      </c>
      <c r="M43" s="15">
        <v>0.39991778355326701</v>
      </c>
      <c r="N43" s="9">
        <v>241</v>
      </c>
      <c r="O43" s="15">
        <v>0.17368707143026299</v>
      </c>
      <c r="P43" s="9">
        <v>241</v>
      </c>
      <c r="Q43" s="15">
        <v>0.40114654961643498</v>
      </c>
      <c r="R43" s="9">
        <v>259</v>
      </c>
      <c r="S43" s="15">
        <v>0.227200803447865</v>
      </c>
      <c r="T43" s="9">
        <v>104</v>
      </c>
      <c r="U43" s="15">
        <v>1.8260263024836802E-2</v>
      </c>
      <c r="V43" s="9">
        <v>104</v>
      </c>
      <c r="W43" s="15">
        <v>8.6598537176624302E-2</v>
      </c>
      <c r="X43" s="9">
        <v>104</v>
      </c>
      <c r="Y43" s="15">
        <v>2.6579547310816399E-2</v>
      </c>
      <c r="Z43" s="9">
        <v>104</v>
      </c>
      <c r="AA43" s="15">
        <v>0.48276383003864598</v>
      </c>
      <c r="AB43" s="9">
        <v>104</v>
      </c>
      <c r="AC43" s="15">
        <v>0.15859701900121101</v>
      </c>
      <c r="AD43" s="9">
        <v>104</v>
      </c>
      <c r="AE43" s="15">
        <v>0.46503955699111499</v>
      </c>
      <c r="AF43" s="9">
        <v>295</v>
      </c>
      <c r="AG43" s="15">
        <v>0.27108518388724101</v>
      </c>
      <c r="AH43" s="9">
        <v>137</v>
      </c>
      <c r="AI43" s="15">
        <v>9.0162481525970298E-2</v>
      </c>
      <c r="AJ43" s="9">
        <v>137</v>
      </c>
      <c r="AK43" s="15">
        <v>8.9477743356485201E-2</v>
      </c>
      <c r="AL43" s="9">
        <v>137</v>
      </c>
      <c r="AM43" s="15">
        <v>2.6961278988341102E-2</v>
      </c>
      <c r="AN43" s="9">
        <v>137</v>
      </c>
      <c r="AO43" s="15">
        <v>0.337203014277768</v>
      </c>
      <c r="AP43" s="9">
        <v>137</v>
      </c>
      <c r="AQ43" s="15">
        <v>0.18511029796419501</v>
      </c>
      <c r="AR43" s="12">
        <v>137</v>
      </c>
    </row>
    <row r="44" spans="1:44" x14ac:dyDescent="0.25">
      <c r="C44" s="16"/>
      <c r="E44" s="16"/>
      <c r="G44" s="16"/>
      <c r="I44" s="16"/>
      <c r="K44" s="16"/>
      <c r="M44" s="16"/>
      <c r="O44" s="16"/>
      <c r="Q44" s="16"/>
      <c r="S44" s="16"/>
      <c r="U44" s="16"/>
      <c r="W44" s="16"/>
      <c r="Y44" s="16"/>
      <c r="AA44" s="16"/>
      <c r="AC44" s="16"/>
      <c r="AE44" s="16"/>
      <c r="AG44" s="16"/>
      <c r="AI44" s="16"/>
      <c r="AK44" s="16"/>
      <c r="AM44" s="16"/>
      <c r="AO44" s="16"/>
      <c r="AQ44" s="16"/>
    </row>
    <row r="45" spans="1:44" x14ac:dyDescent="0.25">
      <c r="A45" s="19" t="s">
        <v>48</v>
      </c>
      <c r="B45" s="19"/>
      <c r="C45" s="20"/>
      <c r="D45" s="19"/>
      <c r="E45" s="20"/>
      <c r="F45" s="19"/>
      <c r="G45" s="20"/>
      <c r="H45" s="19"/>
      <c r="I45" s="20"/>
      <c r="J45" s="19"/>
      <c r="K45" s="20"/>
      <c r="L45" s="19"/>
      <c r="M45" s="20"/>
      <c r="N45" s="19"/>
      <c r="O45" s="20"/>
      <c r="P45" s="19"/>
      <c r="Q45" s="20"/>
      <c r="R45" s="19"/>
      <c r="S45" s="20"/>
      <c r="T45" s="19"/>
      <c r="U45" s="20"/>
      <c r="V45" s="19"/>
      <c r="W45" s="20"/>
      <c r="X45" s="19"/>
      <c r="Y45" s="20"/>
      <c r="Z45" s="19"/>
      <c r="AA45" s="20"/>
      <c r="AB45" s="19"/>
      <c r="AC45" s="20"/>
      <c r="AD45" s="19"/>
      <c r="AE45" s="20"/>
      <c r="AF45" s="19"/>
      <c r="AG45" s="20"/>
      <c r="AH45" s="19"/>
      <c r="AI45" s="20"/>
      <c r="AJ45" s="19"/>
      <c r="AK45" s="20"/>
      <c r="AL45" s="19"/>
      <c r="AM45" s="20"/>
      <c r="AN45" s="19"/>
      <c r="AO45" s="20"/>
      <c r="AP45" s="19"/>
      <c r="AQ45" s="20"/>
      <c r="AR45" s="19"/>
    </row>
    <row r="46" spans="1:44" outlineLevel="1" x14ac:dyDescent="0.25">
      <c r="A46" s="5" t="s">
        <v>14</v>
      </c>
      <c r="B46" s="8" t="s">
        <v>49</v>
      </c>
      <c r="C46" s="14">
        <v>0.35519806208683102</v>
      </c>
      <c r="D46" s="8">
        <v>2000</v>
      </c>
      <c r="E46" s="14">
        <v>0.35497270398422198</v>
      </c>
      <c r="F46" s="8">
        <v>910</v>
      </c>
      <c r="G46" s="14">
        <v>4.1027006976152199E-2</v>
      </c>
      <c r="H46" s="8">
        <v>910</v>
      </c>
      <c r="I46" s="14">
        <v>0.241538113274674</v>
      </c>
      <c r="J46" s="8">
        <v>910</v>
      </c>
      <c r="K46" s="14">
        <v>2.8987002880175101E-2</v>
      </c>
      <c r="L46" s="8">
        <v>910</v>
      </c>
      <c r="M46" s="14">
        <v>0.17377984080771</v>
      </c>
      <c r="N46" s="8">
        <v>910</v>
      </c>
      <c r="O46" s="14">
        <v>0.15969533207706699</v>
      </c>
      <c r="P46" s="8">
        <v>910</v>
      </c>
      <c r="Q46" s="14">
        <v>0.37818241412659798</v>
      </c>
      <c r="R46" s="8">
        <v>994</v>
      </c>
      <c r="S46" s="14">
        <v>0.336958351459345</v>
      </c>
      <c r="T46" s="8">
        <v>479</v>
      </c>
      <c r="U46" s="14">
        <v>2.28086876632679E-2</v>
      </c>
      <c r="V46" s="8">
        <v>479</v>
      </c>
      <c r="W46" s="14">
        <v>0.25696621373047002</v>
      </c>
      <c r="X46" s="8">
        <v>479</v>
      </c>
      <c r="Y46" s="14">
        <v>3.7613796783872298E-2</v>
      </c>
      <c r="Z46" s="8">
        <v>479</v>
      </c>
      <c r="AA46" s="14">
        <v>0.198406844549503</v>
      </c>
      <c r="AB46" s="8">
        <v>479</v>
      </c>
      <c r="AC46" s="14">
        <v>0.147246105813542</v>
      </c>
      <c r="AD46" s="8">
        <v>479</v>
      </c>
      <c r="AE46" s="14">
        <v>0.33287745376176497</v>
      </c>
      <c r="AF46" s="8">
        <v>1006</v>
      </c>
      <c r="AG46" s="14">
        <v>0.37490788872890501</v>
      </c>
      <c r="AH46" s="8">
        <v>431</v>
      </c>
      <c r="AI46" s="14">
        <v>6.1187907055042602E-2</v>
      </c>
      <c r="AJ46" s="8">
        <v>431</v>
      </c>
      <c r="AK46" s="14">
        <v>0.22446494717441801</v>
      </c>
      <c r="AL46" s="8">
        <v>431</v>
      </c>
      <c r="AM46" s="14">
        <v>1.9440352231088101E-2</v>
      </c>
      <c r="AN46" s="8">
        <v>431</v>
      </c>
      <c r="AO46" s="14">
        <v>0.146526911865487</v>
      </c>
      <c r="AP46" s="8">
        <v>431</v>
      </c>
      <c r="AQ46" s="14">
        <v>0.17347199294505999</v>
      </c>
      <c r="AR46" s="10">
        <v>431</v>
      </c>
    </row>
    <row r="47" spans="1:44" outlineLevel="1" x14ac:dyDescent="0.25">
      <c r="A47" s="6" t="s">
        <v>14</v>
      </c>
      <c r="B47" t="s">
        <v>50</v>
      </c>
      <c r="C47" s="16">
        <v>0.30769165593360498</v>
      </c>
      <c r="D47">
        <v>2809</v>
      </c>
      <c r="E47" s="16">
        <v>0.357305261688039</v>
      </c>
      <c r="F47">
        <v>904</v>
      </c>
      <c r="G47" s="16">
        <v>7.6184477132780398E-2</v>
      </c>
      <c r="H47">
        <v>904</v>
      </c>
      <c r="I47" s="16">
        <v>0.110235117199231</v>
      </c>
      <c r="J47">
        <v>904</v>
      </c>
      <c r="K47" s="16">
        <v>4.7102878448676597E-2</v>
      </c>
      <c r="L47">
        <v>904</v>
      </c>
      <c r="M47" s="16">
        <v>0.23579249604847299</v>
      </c>
      <c r="N47">
        <v>904</v>
      </c>
      <c r="O47" s="16">
        <v>0.17337976948280101</v>
      </c>
      <c r="P47">
        <v>904</v>
      </c>
      <c r="Q47" s="16">
        <v>0.30413994253316501</v>
      </c>
      <c r="R47">
        <v>1324</v>
      </c>
      <c r="S47" s="16">
        <v>0.368027313739969</v>
      </c>
      <c r="T47">
        <v>426</v>
      </c>
      <c r="U47" s="16">
        <v>1.5584567088181501E-2</v>
      </c>
      <c r="V47">
        <v>426</v>
      </c>
      <c r="W47" s="16">
        <v>0.13233958335964599</v>
      </c>
      <c r="X47">
        <v>426</v>
      </c>
      <c r="Y47" s="16">
        <v>6.2496448692734401E-2</v>
      </c>
      <c r="Z47">
        <v>426</v>
      </c>
      <c r="AA47" s="16">
        <v>0.22250341800444401</v>
      </c>
      <c r="AB47">
        <v>426</v>
      </c>
      <c r="AC47" s="16">
        <v>0.199048669115024</v>
      </c>
      <c r="AD47">
        <v>426</v>
      </c>
      <c r="AE47" s="16">
        <v>0.31088857510583201</v>
      </c>
      <c r="AF47">
        <v>1485</v>
      </c>
      <c r="AG47" s="16">
        <v>0.34784751625501797</v>
      </c>
      <c r="AH47">
        <v>478</v>
      </c>
      <c r="AI47" s="16">
        <v>0.129638659195116</v>
      </c>
      <c r="AJ47">
        <v>478</v>
      </c>
      <c r="AK47" s="16">
        <v>9.0737131844796606E-2</v>
      </c>
      <c r="AL47">
        <v>478</v>
      </c>
      <c r="AM47" s="16">
        <v>3.3524463797406603E-2</v>
      </c>
      <c r="AN47">
        <v>478</v>
      </c>
      <c r="AO47" s="16">
        <v>0.24751457280870701</v>
      </c>
      <c r="AP47">
        <v>478</v>
      </c>
      <c r="AQ47" s="16">
        <v>0.15073765609895501</v>
      </c>
      <c r="AR47" s="11">
        <v>478</v>
      </c>
    </row>
    <row r="48" spans="1:44" outlineLevel="1" x14ac:dyDescent="0.25">
      <c r="A48" s="7" t="s">
        <v>14</v>
      </c>
      <c r="B48" s="9" t="s">
        <v>51</v>
      </c>
      <c r="C48" s="15">
        <v>0.33617177193272402</v>
      </c>
      <c r="D48" s="9">
        <v>7753</v>
      </c>
      <c r="E48" s="15">
        <v>0.26807475541210901</v>
      </c>
      <c r="F48" s="9">
        <v>2783</v>
      </c>
      <c r="G48" s="15">
        <v>8.6743704458118395E-2</v>
      </c>
      <c r="H48" s="9">
        <v>2783</v>
      </c>
      <c r="I48" s="15">
        <v>0.16234860100377099</v>
      </c>
      <c r="J48" s="9">
        <v>2783</v>
      </c>
      <c r="K48" s="15">
        <v>3.9702788950825102E-2</v>
      </c>
      <c r="L48" s="9">
        <v>2783</v>
      </c>
      <c r="M48" s="15">
        <v>0.29873765528951801</v>
      </c>
      <c r="N48" s="9">
        <v>2783</v>
      </c>
      <c r="O48" s="15">
        <v>0.144392494885658</v>
      </c>
      <c r="P48" s="9">
        <v>2783</v>
      </c>
      <c r="Q48" s="15">
        <v>0.32814634219205102</v>
      </c>
      <c r="R48" s="9">
        <v>3818</v>
      </c>
      <c r="S48" s="15">
        <v>0.28464056571931701</v>
      </c>
      <c r="T48" s="9">
        <v>1361</v>
      </c>
      <c r="U48" s="15">
        <v>1.84384338465391E-2</v>
      </c>
      <c r="V48" s="9">
        <v>1361</v>
      </c>
      <c r="W48" s="15">
        <v>0.181454333186506</v>
      </c>
      <c r="X48" s="9">
        <v>1361</v>
      </c>
      <c r="Y48" s="15">
        <v>2.3880868416349899E-2</v>
      </c>
      <c r="Z48" s="9">
        <v>1361</v>
      </c>
      <c r="AA48" s="15">
        <v>0.32321798668648299</v>
      </c>
      <c r="AB48" s="9">
        <v>1361</v>
      </c>
      <c r="AC48" s="15">
        <v>0.16836781214480501</v>
      </c>
      <c r="AD48" s="9">
        <v>1361</v>
      </c>
      <c r="AE48" s="15">
        <v>0.34343424581165799</v>
      </c>
      <c r="AF48" s="9">
        <v>3935</v>
      </c>
      <c r="AG48" s="15">
        <v>0.25374529450079603</v>
      </c>
      <c r="AH48" s="9">
        <v>1422</v>
      </c>
      <c r="AI48" s="15">
        <v>0.14582790783327801</v>
      </c>
      <c r="AJ48" s="9">
        <v>1422</v>
      </c>
      <c r="AK48" s="15">
        <v>0.14582210230449399</v>
      </c>
      <c r="AL48" s="9">
        <v>1422</v>
      </c>
      <c r="AM48" s="15">
        <v>5.3388783637244697E-2</v>
      </c>
      <c r="AN48" s="9">
        <v>1422</v>
      </c>
      <c r="AO48" s="15">
        <v>0.27756211691599197</v>
      </c>
      <c r="AP48" s="9">
        <v>1422</v>
      </c>
      <c r="AQ48" s="15">
        <v>0.12365379480819599</v>
      </c>
      <c r="AR48" s="12">
        <v>1422</v>
      </c>
    </row>
    <row r="49" spans="1:44" x14ac:dyDescent="0.25">
      <c r="C49" s="16"/>
      <c r="E49" s="16"/>
      <c r="G49" s="16"/>
      <c r="I49" s="16"/>
      <c r="K49" s="16"/>
      <c r="M49" s="16"/>
      <c r="O49" s="16"/>
      <c r="Q49" s="16"/>
      <c r="S49" s="16"/>
      <c r="U49" s="16"/>
      <c r="W49" s="16"/>
      <c r="Y49" s="16"/>
      <c r="AA49" s="16"/>
      <c r="AC49" s="16"/>
      <c r="AE49" s="16"/>
      <c r="AG49" s="16"/>
      <c r="AI49" s="16"/>
      <c r="AK49" s="16"/>
      <c r="AM49" s="16"/>
      <c r="AO49" s="16"/>
      <c r="AQ49" s="16"/>
    </row>
    <row r="50" spans="1:44" x14ac:dyDescent="0.25">
      <c r="A50" s="19" t="s">
        <v>52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L50" s="19"/>
      <c r="M50" s="20"/>
      <c r="N50" s="19"/>
      <c r="O50" s="20"/>
      <c r="P50" s="19"/>
      <c r="Q50" s="20"/>
      <c r="R50" s="19"/>
      <c r="S50" s="20"/>
      <c r="T50" s="19"/>
      <c r="U50" s="20"/>
      <c r="V50" s="19"/>
      <c r="W50" s="20"/>
      <c r="X50" s="19"/>
      <c r="Y50" s="20"/>
      <c r="Z50" s="19"/>
      <c r="AA50" s="20"/>
      <c r="AB50" s="19"/>
      <c r="AC50" s="20"/>
      <c r="AD50" s="19"/>
      <c r="AE50" s="20"/>
      <c r="AF50" s="19"/>
      <c r="AG50" s="20"/>
      <c r="AH50" s="19"/>
      <c r="AI50" s="20"/>
      <c r="AJ50" s="19"/>
      <c r="AK50" s="20"/>
      <c r="AL50" s="19"/>
      <c r="AM50" s="20"/>
      <c r="AN50" s="19"/>
      <c r="AO50" s="20"/>
      <c r="AP50" s="19"/>
      <c r="AQ50" s="20"/>
      <c r="AR50" s="19"/>
    </row>
    <row r="51" spans="1:44" outlineLevel="1" x14ac:dyDescent="0.25">
      <c r="A51" s="5" t="s">
        <v>14</v>
      </c>
      <c r="B51" s="8" t="s">
        <v>53</v>
      </c>
      <c r="C51" s="14">
        <v>0.37370929379788997</v>
      </c>
      <c r="D51" s="8">
        <v>3274</v>
      </c>
      <c r="E51" s="14">
        <v>0.28371973925223698</v>
      </c>
      <c r="F51" s="8">
        <v>1381</v>
      </c>
      <c r="G51" s="14">
        <v>6.09514572790932E-2</v>
      </c>
      <c r="H51" s="8">
        <v>1381</v>
      </c>
      <c r="I51" s="14">
        <v>0.16704912976634501</v>
      </c>
      <c r="J51" s="8">
        <v>1381</v>
      </c>
      <c r="K51" s="14">
        <v>0.11348244539769101</v>
      </c>
      <c r="L51" s="8">
        <v>1381</v>
      </c>
      <c r="M51" s="14">
        <v>0.20293999449311101</v>
      </c>
      <c r="N51" s="8">
        <v>1381</v>
      </c>
      <c r="O51" s="14">
        <v>0.17185723381152301</v>
      </c>
      <c r="P51" s="8">
        <v>1381</v>
      </c>
      <c r="Q51" s="14">
        <v>0.34136647461838898</v>
      </c>
      <c r="R51" s="8">
        <v>1623</v>
      </c>
      <c r="S51" s="14">
        <v>0.29467630009134299</v>
      </c>
      <c r="T51" s="8">
        <v>666</v>
      </c>
      <c r="U51" s="14">
        <v>2.8601359043629402E-3</v>
      </c>
      <c r="V51" s="8">
        <v>666</v>
      </c>
      <c r="W51" s="14">
        <v>0.19604191428735901</v>
      </c>
      <c r="X51" s="8">
        <v>666</v>
      </c>
      <c r="Y51" s="14">
        <v>0.123218328478398</v>
      </c>
      <c r="Z51" s="8">
        <v>666</v>
      </c>
      <c r="AA51" s="14">
        <v>0.21241573134592501</v>
      </c>
      <c r="AB51" s="8">
        <v>666</v>
      </c>
      <c r="AC51" s="14">
        <v>0.170787589892612</v>
      </c>
      <c r="AD51" s="8">
        <v>666</v>
      </c>
      <c r="AE51" s="14">
        <v>0.40540397362821001</v>
      </c>
      <c r="AF51" s="8">
        <v>1651</v>
      </c>
      <c r="AG51" s="14">
        <v>0.27467383498745901</v>
      </c>
      <c r="AH51" s="8">
        <v>715</v>
      </c>
      <c r="AI51" s="14">
        <v>0.10891254100662701</v>
      </c>
      <c r="AJ51" s="8">
        <v>715</v>
      </c>
      <c r="AK51" s="14">
        <v>0.14311224327452701</v>
      </c>
      <c r="AL51" s="8">
        <v>715</v>
      </c>
      <c r="AM51" s="14">
        <v>0.105444351366689</v>
      </c>
      <c r="AN51" s="8">
        <v>715</v>
      </c>
      <c r="AO51" s="14">
        <v>0.19511668116810901</v>
      </c>
      <c r="AP51" s="8">
        <v>715</v>
      </c>
      <c r="AQ51" s="14">
        <v>0.17274034819659001</v>
      </c>
      <c r="AR51" s="10">
        <v>715</v>
      </c>
    </row>
    <row r="52" spans="1:44" outlineLevel="1" x14ac:dyDescent="0.25">
      <c r="A52" s="7" t="s">
        <v>14</v>
      </c>
      <c r="B52" s="9" t="s">
        <v>54</v>
      </c>
      <c r="C52" s="15">
        <v>0.32220020438277702</v>
      </c>
      <c r="D52" s="9">
        <v>9288</v>
      </c>
      <c r="E52" s="15">
        <v>0.32598391866188198</v>
      </c>
      <c r="F52" s="9">
        <v>3216</v>
      </c>
      <c r="G52" s="15">
        <v>7.3852547546936598E-2</v>
      </c>
      <c r="H52" s="9">
        <v>3216</v>
      </c>
      <c r="I52" s="15">
        <v>0.17976403479872499</v>
      </c>
      <c r="J52" s="9">
        <v>3216</v>
      </c>
      <c r="K52" s="15">
        <v>8.1755798608191908E-3</v>
      </c>
      <c r="L52" s="9">
        <v>3216</v>
      </c>
      <c r="M52" s="15">
        <v>0.26346217243436498</v>
      </c>
      <c r="N52" s="9">
        <v>3216</v>
      </c>
      <c r="O52" s="15">
        <v>0.14876174669727199</v>
      </c>
      <c r="P52" s="9">
        <v>3216</v>
      </c>
      <c r="Q52" s="15">
        <v>0.33662479659961603</v>
      </c>
      <c r="R52" s="9">
        <v>4513</v>
      </c>
      <c r="S52" s="15">
        <v>0.32825559033137602</v>
      </c>
      <c r="T52" s="9">
        <v>1600</v>
      </c>
      <c r="U52" s="15">
        <v>2.5245754127939099E-2</v>
      </c>
      <c r="V52" s="9">
        <v>1600</v>
      </c>
      <c r="W52" s="15">
        <v>0.197481506316004</v>
      </c>
      <c r="X52" s="9">
        <v>1600</v>
      </c>
      <c r="Y52" s="15">
        <v>5.3163374478368899E-3</v>
      </c>
      <c r="Z52" s="9">
        <v>1600</v>
      </c>
      <c r="AA52" s="15">
        <v>0.27745694673905602</v>
      </c>
      <c r="AB52" s="9">
        <v>1600</v>
      </c>
      <c r="AC52" s="15">
        <v>0.16624386503778801</v>
      </c>
      <c r="AD52" s="9">
        <v>1600</v>
      </c>
      <c r="AE52" s="15">
        <v>0.30915713343589901</v>
      </c>
      <c r="AF52" s="9">
        <v>4775</v>
      </c>
      <c r="AG52" s="15">
        <v>0.32374283633420098</v>
      </c>
      <c r="AH52" s="9">
        <v>1616</v>
      </c>
      <c r="AI52" s="15">
        <v>0.121804823044926</v>
      </c>
      <c r="AJ52" s="9">
        <v>1616</v>
      </c>
      <c r="AK52" s="15">
        <v>0.16228513904025099</v>
      </c>
      <c r="AL52" s="9">
        <v>1616</v>
      </c>
      <c r="AM52" s="15">
        <v>1.09963209601339E-2</v>
      </c>
      <c r="AN52" s="9">
        <v>1616</v>
      </c>
      <c r="AO52" s="15">
        <v>0.249655845668352</v>
      </c>
      <c r="AP52" s="9">
        <v>1616</v>
      </c>
      <c r="AQ52" s="15">
        <v>0.13151503495213601</v>
      </c>
      <c r="AR52" s="12">
        <v>1616</v>
      </c>
    </row>
    <row r="53" spans="1:44" x14ac:dyDescent="0.25">
      <c r="C53" s="16"/>
      <c r="E53" s="16"/>
      <c r="G53" s="16"/>
      <c r="I53" s="16"/>
      <c r="K53" s="16"/>
      <c r="M53" s="16"/>
      <c r="O53" s="16"/>
      <c r="Q53" s="16"/>
      <c r="S53" s="16"/>
      <c r="U53" s="16"/>
      <c r="W53" s="16"/>
      <c r="Y53" s="16"/>
      <c r="AA53" s="16"/>
      <c r="AC53" s="16"/>
      <c r="AE53" s="16"/>
      <c r="AG53" s="16"/>
      <c r="AI53" s="16"/>
      <c r="AK53" s="16"/>
      <c r="AM53" s="16"/>
      <c r="AO53" s="16"/>
      <c r="AQ53" s="16"/>
    </row>
    <row r="54" spans="1:44" x14ac:dyDescent="0.25">
      <c r="A54" s="19" t="s">
        <v>55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  <c r="U54" s="20"/>
      <c r="V54" s="19"/>
      <c r="W54" s="20"/>
      <c r="X54" s="19"/>
      <c r="Y54" s="20"/>
      <c r="Z54" s="19"/>
      <c r="AA54" s="20"/>
      <c r="AB54" s="19"/>
      <c r="AC54" s="20"/>
      <c r="AD54" s="19"/>
      <c r="AE54" s="20"/>
      <c r="AF54" s="19"/>
      <c r="AG54" s="20"/>
      <c r="AH54" s="19"/>
      <c r="AI54" s="20"/>
      <c r="AJ54" s="19"/>
      <c r="AK54" s="20"/>
      <c r="AL54" s="19"/>
      <c r="AM54" s="20"/>
      <c r="AN54" s="19"/>
      <c r="AO54" s="20"/>
      <c r="AP54" s="19"/>
      <c r="AQ54" s="20"/>
      <c r="AR54" s="19"/>
    </row>
    <row r="55" spans="1:44" outlineLevel="1" x14ac:dyDescent="0.25">
      <c r="A55" s="5" t="s">
        <v>14</v>
      </c>
      <c r="B55" s="8" t="s">
        <v>56</v>
      </c>
      <c r="C55" s="14">
        <v>0.35519806208683102</v>
      </c>
      <c r="D55" s="8">
        <v>2000</v>
      </c>
      <c r="E55" s="14">
        <v>0.35497270398422198</v>
      </c>
      <c r="F55" s="8">
        <v>910</v>
      </c>
      <c r="G55" s="14">
        <v>4.1027006976152199E-2</v>
      </c>
      <c r="H55" s="8">
        <v>910</v>
      </c>
      <c r="I55" s="14">
        <v>0.241538113274674</v>
      </c>
      <c r="J55" s="8">
        <v>910</v>
      </c>
      <c r="K55" s="14">
        <v>2.8987002880175101E-2</v>
      </c>
      <c r="L55" s="8">
        <v>910</v>
      </c>
      <c r="M55" s="14">
        <v>0.17377984080771</v>
      </c>
      <c r="N55" s="8">
        <v>910</v>
      </c>
      <c r="O55" s="14">
        <v>0.15969533207706699</v>
      </c>
      <c r="P55" s="8">
        <v>910</v>
      </c>
      <c r="Q55" s="14">
        <v>0.37818241412659798</v>
      </c>
      <c r="R55" s="8">
        <v>994</v>
      </c>
      <c r="S55" s="14">
        <v>0.336958351459345</v>
      </c>
      <c r="T55" s="8">
        <v>479</v>
      </c>
      <c r="U55" s="14">
        <v>2.28086876632679E-2</v>
      </c>
      <c r="V55" s="8">
        <v>479</v>
      </c>
      <c r="W55" s="14">
        <v>0.25696621373047002</v>
      </c>
      <c r="X55" s="8">
        <v>479</v>
      </c>
      <c r="Y55" s="14">
        <v>3.7613796783872298E-2</v>
      </c>
      <c r="Z55" s="8">
        <v>479</v>
      </c>
      <c r="AA55" s="14">
        <v>0.198406844549503</v>
      </c>
      <c r="AB55" s="8">
        <v>479</v>
      </c>
      <c r="AC55" s="14">
        <v>0.147246105813542</v>
      </c>
      <c r="AD55" s="8">
        <v>479</v>
      </c>
      <c r="AE55" s="14">
        <v>0.33287745376176497</v>
      </c>
      <c r="AF55" s="8">
        <v>1006</v>
      </c>
      <c r="AG55" s="14">
        <v>0.37490788872890501</v>
      </c>
      <c r="AH55" s="8">
        <v>431</v>
      </c>
      <c r="AI55" s="14">
        <v>6.1187907055042602E-2</v>
      </c>
      <c r="AJ55" s="8">
        <v>431</v>
      </c>
      <c r="AK55" s="14">
        <v>0.22446494717441801</v>
      </c>
      <c r="AL55" s="8">
        <v>431</v>
      </c>
      <c r="AM55" s="14">
        <v>1.9440352231088101E-2</v>
      </c>
      <c r="AN55" s="8">
        <v>431</v>
      </c>
      <c r="AO55" s="14">
        <v>0.146526911865487</v>
      </c>
      <c r="AP55" s="8">
        <v>431</v>
      </c>
      <c r="AQ55" s="14">
        <v>0.17347199294505999</v>
      </c>
      <c r="AR55" s="10">
        <v>431</v>
      </c>
    </row>
    <row r="56" spans="1:44" outlineLevel="1" x14ac:dyDescent="0.25">
      <c r="A56" s="6" t="s">
        <v>14</v>
      </c>
      <c r="B56" t="s">
        <v>57</v>
      </c>
      <c r="C56" s="16">
        <v>0.35308161308782898</v>
      </c>
      <c r="D56">
        <v>7512</v>
      </c>
      <c r="E56" s="16">
        <v>0.27914373719597302</v>
      </c>
      <c r="F56">
        <v>2806</v>
      </c>
      <c r="G56" s="16">
        <v>6.1973243728660601E-2</v>
      </c>
      <c r="H56">
        <v>2806</v>
      </c>
      <c r="I56" s="16">
        <v>0.19570391813430699</v>
      </c>
      <c r="J56">
        <v>2806</v>
      </c>
      <c r="K56" s="16">
        <v>3.8537436247153403E-2</v>
      </c>
      <c r="L56">
        <v>2806</v>
      </c>
      <c r="M56" s="16">
        <v>0.261496597083622</v>
      </c>
      <c r="N56">
        <v>2806</v>
      </c>
      <c r="O56" s="16">
        <v>0.16314506761028499</v>
      </c>
      <c r="P56">
        <v>2806</v>
      </c>
      <c r="Q56" s="16">
        <v>0.368949949242243</v>
      </c>
      <c r="R56">
        <v>3670</v>
      </c>
      <c r="S56" s="16">
        <v>0.29605190481570598</v>
      </c>
      <c r="T56">
        <v>1404</v>
      </c>
      <c r="U56" s="16">
        <v>2.1663717060571401E-2</v>
      </c>
      <c r="V56">
        <v>1404</v>
      </c>
      <c r="W56" s="16">
        <v>0.20767697475918201</v>
      </c>
      <c r="X56">
        <v>1404</v>
      </c>
      <c r="Y56" s="16">
        <v>3.1738281845863602E-2</v>
      </c>
      <c r="Z56">
        <v>1404</v>
      </c>
      <c r="AA56" s="16">
        <v>0.26529326008090698</v>
      </c>
      <c r="AB56">
        <v>1404</v>
      </c>
      <c r="AC56" s="16">
        <v>0.17757586143777099</v>
      </c>
      <c r="AD56">
        <v>1404</v>
      </c>
      <c r="AE56" s="16">
        <v>0.33835248031297499</v>
      </c>
      <c r="AF56">
        <v>3842</v>
      </c>
      <c r="AG56" s="16">
        <v>0.26201948131607999</v>
      </c>
      <c r="AH56">
        <v>1402</v>
      </c>
      <c r="AI56" s="16">
        <v>0.10279793062472201</v>
      </c>
      <c r="AJ56">
        <v>1402</v>
      </c>
      <c r="AK56" s="16">
        <v>0.18357784451592599</v>
      </c>
      <c r="AL56">
        <v>1402</v>
      </c>
      <c r="AM56" s="16">
        <v>4.5423484596869498E-2</v>
      </c>
      <c r="AN56">
        <v>1402</v>
      </c>
      <c r="AO56" s="16">
        <v>0.25765141231153799</v>
      </c>
      <c r="AP56">
        <v>1402</v>
      </c>
      <c r="AQ56" s="16">
        <v>0.14852984663486399</v>
      </c>
      <c r="AR56" s="11">
        <v>1402</v>
      </c>
    </row>
    <row r="57" spans="1:44" outlineLevel="1" x14ac:dyDescent="0.25">
      <c r="A57" s="7" t="s">
        <v>14</v>
      </c>
      <c r="B57" s="9" t="s">
        <v>58</v>
      </c>
      <c r="C57" s="15">
        <v>0.29604514686207201</v>
      </c>
      <c r="D57" s="9">
        <v>3050</v>
      </c>
      <c r="E57" s="15">
        <v>0.318217991788664</v>
      </c>
      <c r="F57" s="9">
        <v>881</v>
      </c>
      <c r="G57" s="15">
        <v>0.11372589751560699</v>
      </c>
      <c r="H57" s="9">
        <v>881</v>
      </c>
      <c r="I57" s="15">
        <v>7.7194659919000097E-2</v>
      </c>
      <c r="J57" s="9">
        <v>881</v>
      </c>
      <c r="K57" s="15">
        <v>4.6784258872672298E-2</v>
      </c>
      <c r="L57" s="9">
        <v>881</v>
      </c>
      <c r="M57" s="15">
        <v>0.30466061504351499</v>
      </c>
      <c r="N57" s="9">
        <v>881</v>
      </c>
      <c r="O57" s="15">
        <v>0.13941657686054201</v>
      </c>
      <c r="P57" s="9">
        <v>881</v>
      </c>
      <c r="Q57" s="15">
        <v>0.26124498379329802</v>
      </c>
      <c r="R57" s="9">
        <v>1472</v>
      </c>
      <c r="S57" s="15">
        <v>0.33488266035577202</v>
      </c>
      <c r="T57" s="9">
        <v>383</v>
      </c>
      <c r="U57" s="15">
        <v>1.05254695567823E-2</v>
      </c>
      <c r="V57" s="9">
        <v>383</v>
      </c>
      <c r="W57" s="15">
        <v>9.5433046775834002E-2</v>
      </c>
      <c r="X57" s="9">
        <v>383</v>
      </c>
      <c r="Y57" s="15">
        <v>4.2740377714910398E-2</v>
      </c>
      <c r="Z57" s="9">
        <v>383</v>
      </c>
      <c r="AA57" s="15">
        <v>0.33814534098534899</v>
      </c>
      <c r="AB57" s="9">
        <v>383</v>
      </c>
      <c r="AC57" s="15">
        <v>0.17827310461135301</v>
      </c>
      <c r="AD57" s="9">
        <v>383</v>
      </c>
      <c r="AE57" s="15">
        <v>0.32649095853842403</v>
      </c>
      <c r="AF57" s="9">
        <v>1578</v>
      </c>
      <c r="AG57" s="15">
        <v>0.30653387482314998</v>
      </c>
      <c r="AH57" s="9">
        <v>498</v>
      </c>
      <c r="AI57" s="15">
        <v>0.18608292437794</v>
      </c>
      <c r="AJ57" s="9">
        <v>498</v>
      </c>
      <c r="AK57" s="15">
        <v>6.4407160159288906E-2</v>
      </c>
      <c r="AL57" s="9">
        <v>498</v>
      </c>
      <c r="AM57" s="15">
        <v>4.96195496107786E-2</v>
      </c>
      <c r="AN57" s="9">
        <v>498</v>
      </c>
      <c r="AO57" s="15">
        <v>0.28118343319095601</v>
      </c>
      <c r="AP57" s="9">
        <v>498</v>
      </c>
      <c r="AQ57" s="15">
        <v>0.112173057837886</v>
      </c>
      <c r="AR57" s="12">
        <v>498</v>
      </c>
    </row>
    <row r="58" spans="1:44" x14ac:dyDescent="0.25">
      <c r="C58" s="16"/>
      <c r="E58" s="16"/>
      <c r="G58" s="16"/>
      <c r="I58" s="16"/>
      <c r="K58" s="16"/>
      <c r="M58" s="16"/>
      <c r="O58" s="16"/>
      <c r="Q58" s="16"/>
      <c r="S58" s="16"/>
      <c r="U58" s="16"/>
      <c r="W58" s="16"/>
      <c r="Y58" s="16"/>
      <c r="AA58" s="16"/>
      <c r="AC58" s="16"/>
      <c r="AE58" s="16"/>
      <c r="AG58" s="16"/>
      <c r="AI58" s="16"/>
      <c r="AK58" s="16"/>
      <c r="AM58" s="16"/>
      <c r="AO58" s="16"/>
      <c r="AQ58" s="16"/>
    </row>
    <row r="59" spans="1:44" x14ac:dyDescent="0.25">
      <c r="A59" s="19" t="s">
        <v>59</v>
      </c>
      <c r="B59" s="19"/>
      <c r="C59" s="20"/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19"/>
      <c r="Q59" s="20"/>
      <c r="R59" s="19"/>
      <c r="S59" s="20"/>
      <c r="T59" s="19"/>
      <c r="U59" s="20"/>
      <c r="V59" s="19"/>
      <c r="W59" s="20"/>
      <c r="X59" s="19"/>
      <c r="Y59" s="20"/>
      <c r="Z59" s="19"/>
      <c r="AA59" s="20"/>
      <c r="AB59" s="19"/>
      <c r="AC59" s="20"/>
      <c r="AD59" s="19"/>
      <c r="AE59" s="20"/>
      <c r="AF59" s="19"/>
      <c r="AG59" s="20"/>
      <c r="AH59" s="19"/>
      <c r="AI59" s="20"/>
      <c r="AJ59" s="19"/>
      <c r="AK59" s="20"/>
      <c r="AL59" s="19"/>
      <c r="AM59" s="20"/>
      <c r="AN59" s="19"/>
      <c r="AO59" s="20"/>
      <c r="AP59" s="19"/>
      <c r="AQ59" s="20"/>
      <c r="AR59" s="19"/>
    </row>
    <row r="60" spans="1:44" outlineLevel="1" x14ac:dyDescent="0.25">
      <c r="A60" s="5" t="s">
        <v>14</v>
      </c>
      <c r="B60" s="8" t="s">
        <v>60</v>
      </c>
      <c r="C60" s="14">
        <v>0.33502740716947799</v>
      </c>
      <c r="D60" s="8">
        <v>4707</v>
      </c>
      <c r="E60" s="14">
        <v>0.356220809655663</v>
      </c>
      <c r="F60" s="8">
        <v>1782</v>
      </c>
      <c r="G60" s="14">
        <v>5.5633321575383199E-2</v>
      </c>
      <c r="H60" s="8">
        <v>1782</v>
      </c>
      <c r="I60" s="14">
        <v>0.19016023196503201</v>
      </c>
      <c r="J60" s="8">
        <v>1782</v>
      </c>
      <c r="K60" s="14">
        <v>3.6669193776725298E-2</v>
      </c>
      <c r="L60" s="8">
        <v>1782</v>
      </c>
      <c r="M60" s="14">
        <v>0.19727585260726899</v>
      </c>
      <c r="N60" s="8">
        <v>1782</v>
      </c>
      <c r="O60" s="14">
        <v>0.164040590419927</v>
      </c>
      <c r="P60" s="8">
        <v>1782</v>
      </c>
      <c r="Q60" s="14">
        <v>0.34730160046592901</v>
      </c>
      <c r="R60" s="8">
        <v>2275</v>
      </c>
      <c r="S60" s="14">
        <v>0.34949489481344398</v>
      </c>
      <c r="T60" s="8">
        <v>895</v>
      </c>
      <c r="U60" s="14">
        <v>2.0227542281241701E-2</v>
      </c>
      <c r="V60" s="8">
        <v>895</v>
      </c>
      <c r="W60" s="14">
        <v>0.21119317145152</v>
      </c>
      <c r="X60" s="8">
        <v>895</v>
      </c>
      <c r="Y60" s="14">
        <v>4.7237409138343303E-2</v>
      </c>
      <c r="Z60" s="8">
        <v>895</v>
      </c>
      <c r="AA60" s="14">
        <v>0.20712881531135999</v>
      </c>
      <c r="AB60" s="8">
        <v>895</v>
      </c>
      <c r="AC60" s="14">
        <v>0.164718167004092</v>
      </c>
      <c r="AD60" s="8">
        <v>895</v>
      </c>
      <c r="AE60" s="14">
        <v>0.32341011419138399</v>
      </c>
      <c r="AF60" s="8">
        <v>2432</v>
      </c>
      <c r="AG60" s="14">
        <v>0.36308009492658999</v>
      </c>
      <c r="AH60" s="8">
        <v>887</v>
      </c>
      <c r="AI60" s="14">
        <v>9.1741173981350704E-2</v>
      </c>
      <c r="AJ60" s="8">
        <v>887</v>
      </c>
      <c r="AK60" s="14">
        <v>0.16871022324378901</v>
      </c>
      <c r="AL60" s="8">
        <v>887</v>
      </c>
      <c r="AM60" s="14">
        <v>2.5891417716450201E-2</v>
      </c>
      <c r="AN60" s="8">
        <v>887</v>
      </c>
      <c r="AO60" s="14">
        <v>0.18722751219015199</v>
      </c>
      <c r="AP60" s="8">
        <v>887</v>
      </c>
      <c r="AQ60" s="14">
        <v>0.16334957794166799</v>
      </c>
      <c r="AR60" s="10">
        <v>887</v>
      </c>
    </row>
    <row r="61" spans="1:44" outlineLevel="1" x14ac:dyDescent="0.25">
      <c r="A61" s="6" t="s">
        <v>14</v>
      </c>
      <c r="B61" t="s">
        <v>61</v>
      </c>
      <c r="C61" s="16">
        <v>0.317407840249125</v>
      </c>
      <c r="D61">
        <v>31</v>
      </c>
      <c r="E61" s="16">
        <v>0.70572649174564095</v>
      </c>
      <c r="F61">
        <v>15</v>
      </c>
      <c r="G61" s="16"/>
      <c r="I61" s="16">
        <v>8.0693552913934694E-2</v>
      </c>
      <c r="J61">
        <v>15</v>
      </c>
      <c r="K61" s="16"/>
      <c r="M61" s="16">
        <v>0.13090130313190099</v>
      </c>
      <c r="N61">
        <v>15</v>
      </c>
      <c r="O61" s="16">
        <v>8.2678652208522899E-2</v>
      </c>
      <c r="P61">
        <v>15</v>
      </c>
      <c r="Q61" s="16">
        <v>0.307060893642154</v>
      </c>
      <c r="R61">
        <v>15</v>
      </c>
      <c r="S61" s="16">
        <v>0.63976892538706198</v>
      </c>
      <c r="T61">
        <v>6</v>
      </c>
      <c r="U61" s="16"/>
      <c r="W61" s="16">
        <v>2.5592468886311E-2</v>
      </c>
      <c r="X61">
        <v>6</v>
      </c>
      <c r="Y61" s="16"/>
      <c r="AA61" s="16">
        <v>0.33463860572662701</v>
      </c>
      <c r="AB61">
        <v>6</v>
      </c>
      <c r="AC61" s="16"/>
      <c r="AE61" s="16">
        <v>0.32443184163135402</v>
      </c>
      <c r="AF61">
        <v>16</v>
      </c>
      <c r="AG61" s="16">
        <v>0.74810425604205799</v>
      </c>
      <c r="AH61">
        <v>9</v>
      </c>
      <c r="AI61" s="16"/>
      <c r="AK61" s="16">
        <v>0.116096022718613</v>
      </c>
      <c r="AL61">
        <v>9</v>
      </c>
      <c r="AM61" s="16"/>
      <c r="AO61" s="16"/>
      <c r="AQ61" s="16">
        <v>0.13579972123933001</v>
      </c>
      <c r="AR61" s="11">
        <v>9</v>
      </c>
    </row>
    <row r="62" spans="1:44" outlineLevel="1" x14ac:dyDescent="0.25">
      <c r="A62" s="6" t="s">
        <v>14</v>
      </c>
      <c r="B62" t="s">
        <v>62</v>
      </c>
      <c r="C62" s="16">
        <v>0.29153625829885299</v>
      </c>
      <c r="D62">
        <v>42</v>
      </c>
      <c r="E62" s="16">
        <v>0.19490919862186001</v>
      </c>
      <c r="F62">
        <v>11</v>
      </c>
      <c r="G62" s="16">
        <v>2.3511210055422799E-2</v>
      </c>
      <c r="H62">
        <v>11</v>
      </c>
      <c r="I62" s="16">
        <v>8.2821036373804904E-2</v>
      </c>
      <c r="J62">
        <v>11</v>
      </c>
      <c r="K62" s="16"/>
      <c r="M62" s="16">
        <v>0.57394168980174098</v>
      </c>
      <c r="N62">
        <v>11</v>
      </c>
      <c r="O62" s="16">
        <v>0.124816865147171</v>
      </c>
      <c r="P62">
        <v>11</v>
      </c>
      <c r="Q62" s="16">
        <v>0.19317654558361499</v>
      </c>
      <c r="R62">
        <v>15</v>
      </c>
      <c r="S62" s="16"/>
      <c r="U62" s="16"/>
      <c r="W62" s="16">
        <v>0.26126943410392101</v>
      </c>
      <c r="X62">
        <v>2</v>
      </c>
      <c r="Y62" s="16"/>
      <c r="AA62" s="16">
        <v>0.73873056589607899</v>
      </c>
      <c r="AB62">
        <v>2</v>
      </c>
      <c r="AC62" s="16"/>
      <c r="AE62" s="16">
        <v>0.32389178449635297</v>
      </c>
      <c r="AF62">
        <v>27</v>
      </c>
      <c r="AG62" s="16">
        <v>0.21945346349376199</v>
      </c>
      <c r="AH62">
        <v>9</v>
      </c>
      <c r="AI62" s="16">
        <v>2.6471898268906099E-2</v>
      </c>
      <c r="AJ62">
        <v>9</v>
      </c>
      <c r="AK62" s="16">
        <v>6.0349625220184798E-2</v>
      </c>
      <c r="AL62">
        <v>9</v>
      </c>
      <c r="AM62" s="16"/>
      <c r="AO62" s="16">
        <v>0.55319037661898396</v>
      </c>
      <c r="AP62">
        <v>9</v>
      </c>
      <c r="AQ62" s="16">
        <v>0.14053463639816299</v>
      </c>
      <c r="AR62" s="11">
        <v>9</v>
      </c>
    </row>
    <row r="63" spans="1:44" outlineLevel="1" x14ac:dyDescent="0.25">
      <c r="A63" s="6" t="s">
        <v>14</v>
      </c>
      <c r="B63" t="s">
        <v>63</v>
      </c>
      <c r="C63" s="16">
        <v>0.25839508555094498</v>
      </c>
      <c r="D63">
        <v>29</v>
      </c>
      <c r="E63" s="16">
        <v>0.23875974575508099</v>
      </c>
      <c r="F63">
        <v>6</v>
      </c>
      <c r="G63" s="16"/>
      <c r="I63" s="16"/>
      <c r="K63" s="16"/>
      <c r="M63" s="16"/>
      <c r="O63" s="16">
        <v>0.76124025424491903</v>
      </c>
      <c r="P63">
        <v>6</v>
      </c>
      <c r="Q63" s="16">
        <v>0.30023447271350101</v>
      </c>
      <c r="R63">
        <v>13</v>
      </c>
      <c r="S63" s="16"/>
      <c r="U63" s="16"/>
      <c r="W63" s="16"/>
      <c r="Y63" s="16"/>
      <c r="AA63" s="16"/>
      <c r="AC63" s="16">
        <v>1</v>
      </c>
      <c r="AD63">
        <v>2</v>
      </c>
      <c r="AE63" s="16">
        <v>0.219121908206244</v>
      </c>
      <c r="AF63">
        <v>16</v>
      </c>
      <c r="AG63" s="16">
        <v>0.54583624912526096</v>
      </c>
      <c r="AH63">
        <v>4</v>
      </c>
      <c r="AI63" s="16"/>
      <c r="AK63" s="16"/>
      <c r="AM63" s="16"/>
      <c r="AO63" s="16"/>
      <c r="AQ63" s="16">
        <v>0.45416375087473898</v>
      </c>
      <c r="AR63" s="11">
        <v>4</v>
      </c>
    </row>
    <row r="64" spans="1:44" outlineLevel="1" x14ac:dyDescent="0.25">
      <c r="A64" s="7" t="s">
        <v>14</v>
      </c>
      <c r="B64" s="9" t="s">
        <v>64</v>
      </c>
      <c r="C64" s="15">
        <v>0.33617177193272402</v>
      </c>
      <c r="D64" s="9">
        <v>7753</v>
      </c>
      <c r="E64" s="15">
        <v>0.26807475541210901</v>
      </c>
      <c r="F64" s="9">
        <v>2783</v>
      </c>
      <c r="G64" s="15">
        <v>8.6743704458118395E-2</v>
      </c>
      <c r="H64" s="9">
        <v>2783</v>
      </c>
      <c r="I64" s="15">
        <v>0.16234860100377099</v>
      </c>
      <c r="J64" s="9">
        <v>2783</v>
      </c>
      <c r="K64" s="15">
        <v>3.9702788950825102E-2</v>
      </c>
      <c r="L64" s="9">
        <v>2783</v>
      </c>
      <c r="M64" s="15">
        <v>0.29873765528951801</v>
      </c>
      <c r="N64" s="9">
        <v>2783</v>
      </c>
      <c r="O64" s="15">
        <v>0.144392494885658</v>
      </c>
      <c r="P64" s="9">
        <v>2783</v>
      </c>
      <c r="Q64" s="15">
        <v>0.32814634219205102</v>
      </c>
      <c r="R64" s="9">
        <v>3818</v>
      </c>
      <c r="S64" s="15">
        <v>0.28464056571931701</v>
      </c>
      <c r="T64" s="9">
        <v>1361</v>
      </c>
      <c r="U64" s="15">
        <v>1.84384338465391E-2</v>
      </c>
      <c r="V64" s="9">
        <v>1361</v>
      </c>
      <c r="W64" s="15">
        <v>0.181454333186506</v>
      </c>
      <c r="X64" s="9">
        <v>1361</v>
      </c>
      <c r="Y64" s="15">
        <v>2.3880868416349899E-2</v>
      </c>
      <c r="Z64" s="9">
        <v>1361</v>
      </c>
      <c r="AA64" s="15">
        <v>0.32321798668648299</v>
      </c>
      <c r="AB64" s="9">
        <v>1361</v>
      </c>
      <c r="AC64" s="15">
        <v>0.16836781214480501</v>
      </c>
      <c r="AD64" s="9">
        <v>1361</v>
      </c>
      <c r="AE64" s="15">
        <v>0.34343424581165799</v>
      </c>
      <c r="AF64" s="9">
        <v>3935</v>
      </c>
      <c r="AG64" s="15">
        <v>0.25374529450079603</v>
      </c>
      <c r="AH64" s="9">
        <v>1422</v>
      </c>
      <c r="AI64" s="15">
        <v>0.14582790783327801</v>
      </c>
      <c r="AJ64" s="9">
        <v>1422</v>
      </c>
      <c r="AK64" s="15">
        <v>0.14582210230449399</v>
      </c>
      <c r="AL64" s="9">
        <v>1422</v>
      </c>
      <c r="AM64" s="15">
        <v>5.3388783637244697E-2</v>
      </c>
      <c r="AN64" s="9">
        <v>1422</v>
      </c>
      <c r="AO64" s="15">
        <v>0.27756211691599197</v>
      </c>
      <c r="AP64" s="9">
        <v>1422</v>
      </c>
      <c r="AQ64" s="15">
        <v>0.12365379480819599</v>
      </c>
      <c r="AR64" s="12">
        <v>1422</v>
      </c>
    </row>
    <row r="65" spans="1:44" x14ac:dyDescent="0.25">
      <c r="C65" s="16"/>
      <c r="E65" s="16"/>
      <c r="G65" s="16"/>
      <c r="I65" s="16"/>
      <c r="K65" s="16"/>
      <c r="M65" s="16"/>
      <c r="O65" s="16"/>
      <c r="Q65" s="16"/>
      <c r="S65" s="16"/>
      <c r="U65" s="16"/>
      <c r="W65" s="16"/>
      <c r="Y65" s="16"/>
      <c r="AA65" s="16"/>
      <c r="AC65" s="16"/>
      <c r="AE65" s="16"/>
      <c r="AG65" s="16"/>
      <c r="AI65" s="16"/>
      <c r="AK65" s="16"/>
      <c r="AM65" s="16"/>
      <c r="AO65" s="16"/>
      <c r="AQ65" s="16"/>
    </row>
    <row r="66" spans="1:44" x14ac:dyDescent="0.25">
      <c r="A66" s="19" t="s">
        <v>65</v>
      </c>
      <c r="B66" s="19"/>
      <c r="C66" s="20"/>
      <c r="D66" s="19"/>
      <c r="E66" s="20"/>
      <c r="F66" s="19"/>
      <c r="G66" s="20"/>
      <c r="H66" s="19"/>
      <c r="I66" s="20"/>
      <c r="J66" s="19"/>
      <c r="K66" s="20"/>
      <c r="L66" s="19"/>
      <c r="M66" s="20"/>
      <c r="N66" s="19"/>
      <c r="O66" s="20"/>
      <c r="P66" s="19"/>
      <c r="Q66" s="20"/>
      <c r="R66" s="19"/>
      <c r="S66" s="20"/>
      <c r="T66" s="19"/>
      <c r="U66" s="20"/>
      <c r="V66" s="19"/>
      <c r="W66" s="20"/>
      <c r="X66" s="19"/>
      <c r="Y66" s="20"/>
      <c r="Z66" s="19"/>
      <c r="AA66" s="20"/>
      <c r="AB66" s="19"/>
      <c r="AC66" s="20"/>
      <c r="AD66" s="19"/>
      <c r="AE66" s="20"/>
      <c r="AF66" s="19"/>
      <c r="AG66" s="20"/>
      <c r="AH66" s="19"/>
      <c r="AI66" s="20"/>
      <c r="AJ66" s="19"/>
      <c r="AK66" s="20"/>
      <c r="AL66" s="19"/>
      <c r="AM66" s="20"/>
      <c r="AN66" s="19"/>
      <c r="AO66" s="20"/>
      <c r="AP66" s="19"/>
      <c r="AQ66" s="20"/>
      <c r="AR66" s="19"/>
    </row>
    <row r="67" spans="1:44" outlineLevel="1" x14ac:dyDescent="0.25">
      <c r="A67" s="5" t="s">
        <v>14</v>
      </c>
      <c r="B67" s="8" t="s">
        <v>66</v>
      </c>
      <c r="C67" s="14">
        <v>0.32902438983212701</v>
      </c>
      <c r="D67" s="8">
        <v>12200</v>
      </c>
      <c r="E67" s="14">
        <v>0.32398897140838601</v>
      </c>
      <c r="F67" s="8">
        <v>4384</v>
      </c>
      <c r="G67" s="14">
        <v>7.2705113192416695E-2</v>
      </c>
      <c r="H67" s="8">
        <v>4384</v>
      </c>
      <c r="I67" s="14">
        <v>0.18076360570858299</v>
      </c>
      <c r="J67" s="8">
        <v>4384</v>
      </c>
      <c r="K67" s="14">
        <v>7.0812934913519398E-3</v>
      </c>
      <c r="L67" s="8">
        <v>4384</v>
      </c>
      <c r="M67" s="14">
        <v>0.25588271815013602</v>
      </c>
      <c r="N67" s="8">
        <v>4384</v>
      </c>
      <c r="O67" s="14">
        <v>0.15957829804912599</v>
      </c>
      <c r="P67" s="8">
        <v>4384</v>
      </c>
      <c r="Q67" s="14">
        <v>0.33314891298378502</v>
      </c>
      <c r="R67" s="8">
        <v>5973</v>
      </c>
      <c r="S67" s="14">
        <v>0.33076524515191102</v>
      </c>
      <c r="T67" s="8">
        <v>2182</v>
      </c>
      <c r="U67" s="14">
        <v>2.0261615700722602E-2</v>
      </c>
      <c r="V67" s="8">
        <v>2182</v>
      </c>
      <c r="W67" s="14">
        <v>0.20176297690508099</v>
      </c>
      <c r="X67" s="8">
        <v>2182</v>
      </c>
      <c r="Y67" s="14">
        <v>5.3549172355394402E-3</v>
      </c>
      <c r="Z67" s="8">
        <v>2182</v>
      </c>
      <c r="AA67" s="14">
        <v>0.27045825924353301</v>
      </c>
      <c r="AB67" s="8">
        <v>2182</v>
      </c>
      <c r="AC67" s="14">
        <v>0.17139698576321299</v>
      </c>
      <c r="AD67" s="8">
        <v>2182</v>
      </c>
      <c r="AE67" s="14">
        <v>0.32524084570855399</v>
      </c>
      <c r="AF67" s="8">
        <v>6227</v>
      </c>
      <c r="AG67" s="14">
        <v>0.31760748809093797</v>
      </c>
      <c r="AH67" s="8">
        <v>2202</v>
      </c>
      <c r="AI67" s="14">
        <v>0.122093216008024</v>
      </c>
      <c r="AJ67" s="8">
        <v>2202</v>
      </c>
      <c r="AK67" s="14">
        <v>0.160987672498179</v>
      </c>
      <c r="AL67" s="8">
        <v>2202</v>
      </c>
      <c r="AM67" s="14">
        <v>8.7070898645628201E-3</v>
      </c>
      <c r="AN67" s="8">
        <v>2202</v>
      </c>
      <c r="AO67" s="14">
        <v>0.24215635822862699</v>
      </c>
      <c r="AP67" s="8">
        <v>2202</v>
      </c>
      <c r="AQ67" s="14">
        <v>0.14844817530967</v>
      </c>
      <c r="AR67" s="10">
        <v>2202</v>
      </c>
    </row>
    <row r="68" spans="1:44" outlineLevel="1" x14ac:dyDescent="0.25">
      <c r="A68" s="7" t="s">
        <v>14</v>
      </c>
      <c r="B68" s="9" t="s">
        <v>67</v>
      </c>
      <c r="C68" s="15">
        <v>0.54173517950274397</v>
      </c>
      <c r="D68" s="9">
        <v>362</v>
      </c>
      <c r="E68" s="15">
        <v>0.1134593785718</v>
      </c>
      <c r="F68" s="9">
        <v>213</v>
      </c>
      <c r="G68" s="15">
        <v>1.9849873577455601E-2</v>
      </c>
      <c r="H68" s="9">
        <v>213</v>
      </c>
      <c r="I68" s="15">
        <v>8.3533758239870096E-2</v>
      </c>
      <c r="J68" s="9">
        <v>213</v>
      </c>
      <c r="K68" s="15">
        <v>0.66014138162331004</v>
      </c>
      <c r="L68" s="9">
        <v>213</v>
      </c>
      <c r="M68" s="15">
        <v>5.4463945775128302E-2</v>
      </c>
      <c r="N68" s="9">
        <v>213</v>
      </c>
      <c r="O68" s="15">
        <v>6.8551662212435902E-2</v>
      </c>
      <c r="P68" s="9">
        <v>213</v>
      </c>
      <c r="Q68" s="15">
        <v>0.479075064320647</v>
      </c>
      <c r="R68" s="9">
        <v>163</v>
      </c>
      <c r="S68" s="15">
        <v>8.0418897513760093E-2</v>
      </c>
      <c r="T68" s="9">
        <v>84</v>
      </c>
      <c r="U68" s="15"/>
      <c r="V68" s="9"/>
      <c r="W68" s="15">
        <v>9.9096305568817794E-2</v>
      </c>
      <c r="X68" s="9">
        <v>84</v>
      </c>
      <c r="Y68" s="15">
        <v>0.68942070562667901</v>
      </c>
      <c r="Z68" s="9">
        <v>84</v>
      </c>
      <c r="AA68" s="15">
        <v>4.6774520365775202E-2</v>
      </c>
      <c r="AB68" s="9">
        <v>84</v>
      </c>
      <c r="AC68" s="15">
        <v>8.4289570924968096E-2</v>
      </c>
      <c r="AD68" s="9">
        <v>84</v>
      </c>
      <c r="AE68" s="15">
        <v>0.61230877324676902</v>
      </c>
      <c r="AF68" s="9">
        <v>199</v>
      </c>
      <c r="AG68" s="15">
        <v>0.142250824634675</v>
      </c>
      <c r="AH68" s="9">
        <v>129</v>
      </c>
      <c r="AI68" s="15">
        <v>3.7147035911632001E-2</v>
      </c>
      <c r="AJ68" s="9">
        <v>129</v>
      </c>
      <c r="AK68" s="15">
        <v>6.9972568218597597E-2</v>
      </c>
      <c r="AL68" s="9">
        <v>129</v>
      </c>
      <c r="AM68" s="15">
        <v>0.63462740450174204</v>
      </c>
      <c r="AN68" s="9">
        <v>129</v>
      </c>
      <c r="AO68" s="15">
        <v>6.1164504297232997E-2</v>
      </c>
      <c r="AP68" s="9">
        <v>129</v>
      </c>
      <c r="AQ68" s="15">
        <v>5.4837662436120302E-2</v>
      </c>
      <c r="AR68" s="12">
        <v>129</v>
      </c>
    </row>
    <row r="69" spans="1:44" x14ac:dyDescent="0.25">
      <c r="C69" s="16"/>
      <c r="E69" s="16"/>
      <c r="G69" s="16"/>
      <c r="I69" s="16"/>
      <c r="K69" s="16"/>
      <c r="M69" s="16"/>
      <c r="O69" s="16"/>
      <c r="Q69" s="16"/>
      <c r="S69" s="16"/>
      <c r="U69" s="16"/>
      <c r="W69" s="16"/>
      <c r="Y69" s="16"/>
      <c r="AA69" s="16"/>
      <c r="AC69" s="16"/>
      <c r="AE69" s="16"/>
      <c r="AG69" s="16"/>
      <c r="AI69" s="16"/>
      <c r="AK69" s="16"/>
      <c r="AM69" s="16"/>
      <c r="AO69" s="16"/>
      <c r="AQ69" s="16"/>
    </row>
    <row r="70" spans="1:44" x14ac:dyDescent="0.25">
      <c r="A70" s="19" t="s">
        <v>68</v>
      </c>
      <c r="B70" s="19"/>
      <c r="C70" s="20"/>
      <c r="D70" s="19"/>
      <c r="E70" s="20"/>
      <c r="F70" s="19"/>
      <c r="G70" s="20"/>
      <c r="H70" s="19"/>
      <c r="I70" s="20"/>
      <c r="J70" s="19"/>
      <c r="K70" s="20"/>
      <c r="L70" s="19"/>
      <c r="M70" s="20"/>
      <c r="N70" s="19"/>
      <c r="O70" s="20"/>
      <c r="P70" s="19"/>
      <c r="Q70" s="20"/>
      <c r="R70" s="19"/>
      <c r="S70" s="20"/>
      <c r="T70" s="19"/>
      <c r="U70" s="20"/>
      <c r="V70" s="19"/>
      <c r="W70" s="20"/>
      <c r="X70" s="19"/>
      <c r="Y70" s="20"/>
      <c r="Z70" s="19"/>
      <c r="AA70" s="20"/>
      <c r="AB70" s="19"/>
      <c r="AC70" s="20"/>
      <c r="AD70" s="19"/>
      <c r="AE70" s="20"/>
      <c r="AF70" s="19"/>
      <c r="AG70" s="20"/>
      <c r="AH70" s="19"/>
      <c r="AI70" s="20"/>
      <c r="AJ70" s="19"/>
      <c r="AK70" s="20"/>
      <c r="AL70" s="19"/>
      <c r="AM70" s="20"/>
      <c r="AN70" s="19"/>
      <c r="AO70" s="20"/>
      <c r="AP70" s="19"/>
      <c r="AQ70" s="20"/>
      <c r="AR70" s="19"/>
    </row>
    <row r="71" spans="1:44" outlineLevel="1" x14ac:dyDescent="0.25">
      <c r="A71" s="5" t="s">
        <v>14</v>
      </c>
      <c r="B71" s="8" t="s">
        <v>66</v>
      </c>
      <c r="C71" s="14">
        <v>0.32959672360326497</v>
      </c>
      <c r="D71" s="8">
        <v>12064</v>
      </c>
      <c r="E71" s="14">
        <v>0.32478596134056598</v>
      </c>
      <c r="F71" s="8">
        <v>4343</v>
      </c>
      <c r="G71" s="14">
        <v>7.2386690326610201E-2</v>
      </c>
      <c r="H71" s="8">
        <v>4343</v>
      </c>
      <c r="I71" s="14">
        <v>0.18000865659156701</v>
      </c>
      <c r="J71" s="8">
        <v>4343</v>
      </c>
      <c r="K71" s="14">
        <v>6.2215456472469897E-3</v>
      </c>
      <c r="L71" s="8">
        <v>4343</v>
      </c>
      <c r="M71" s="14">
        <v>0.25721893299339399</v>
      </c>
      <c r="N71" s="8">
        <v>4343</v>
      </c>
      <c r="O71" s="14">
        <v>0.15937821310061601</v>
      </c>
      <c r="P71" s="8">
        <v>4343</v>
      </c>
      <c r="Q71" s="14">
        <v>0.33235249360921199</v>
      </c>
      <c r="R71" s="8">
        <v>5917</v>
      </c>
      <c r="S71" s="14">
        <v>0.331106066712689</v>
      </c>
      <c r="T71" s="8">
        <v>2163</v>
      </c>
      <c r="U71" s="14">
        <v>2.0479897969879701E-2</v>
      </c>
      <c r="V71" s="8">
        <v>2163</v>
      </c>
      <c r="W71" s="14">
        <v>0.20030015143452001</v>
      </c>
      <c r="X71" s="8">
        <v>2163</v>
      </c>
      <c r="Y71" s="14">
        <v>4.9714847059599398E-3</v>
      </c>
      <c r="Z71" s="8">
        <v>2163</v>
      </c>
      <c r="AA71" s="14">
        <v>0.27274838335929802</v>
      </c>
      <c r="AB71" s="8">
        <v>2163</v>
      </c>
      <c r="AC71" s="14">
        <v>0.17039401581765401</v>
      </c>
      <c r="AD71" s="8">
        <v>2163</v>
      </c>
      <c r="AE71" s="14">
        <v>0.32705410684132802</v>
      </c>
      <c r="AF71" s="8">
        <v>6147</v>
      </c>
      <c r="AG71" s="14">
        <v>0.31884686140180901</v>
      </c>
      <c r="AH71" s="8">
        <v>2180</v>
      </c>
      <c r="AI71" s="14">
        <v>0.121164299109322</v>
      </c>
      <c r="AJ71" s="8">
        <v>2180</v>
      </c>
      <c r="AK71" s="14">
        <v>0.16094042771192901</v>
      </c>
      <c r="AL71" s="8">
        <v>2180</v>
      </c>
      <c r="AM71" s="14">
        <v>7.3962470838065302E-3</v>
      </c>
      <c r="AN71" s="8">
        <v>2180</v>
      </c>
      <c r="AO71" s="14">
        <v>0.24262567033611501</v>
      </c>
      <c r="AP71" s="8">
        <v>2180</v>
      </c>
      <c r="AQ71" s="14">
        <v>0.14902649435701901</v>
      </c>
      <c r="AR71" s="10">
        <v>2180</v>
      </c>
    </row>
    <row r="72" spans="1:44" outlineLevel="1" x14ac:dyDescent="0.25">
      <c r="A72" s="7" t="s">
        <v>14</v>
      </c>
      <c r="B72" s="9" t="s">
        <v>67</v>
      </c>
      <c r="C72" s="15">
        <v>0.47026601628307801</v>
      </c>
      <c r="D72" s="9">
        <v>498</v>
      </c>
      <c r="E72" s="15">
        <v>0.13416216632164901</v>
      </c>
      <c r="F72" s="9">
        <v>254</v>
      </c>
      <c r="G72" s="15">
        <v>3.3737365559726902E-2</v>
      </c>
      <c r="H72" s="9">
        <v>254</v>
      </c>
      <c r="I72" s="15">
        <v>0.111916055269494</v>
      </c>
      <c r="J72" s="9">
        <v>254</v>
      </c>
      <c r="K72" s="15">
        <v>0.56889730399234695</v>
      </c>
      <c r="L72" s="9">
        <v>254</v>
      </c>
      <c r="M72" s="15">
        <v>6.4655794278775797E-2</v>
      </c>
      <c r="N72" s="9">
        <v>254</v>
      </c>
      <c r="O72" s="15">
        <v>8.6631314578007199E-2</v>
      </c>
      <c r="P72" s="9">
        <v>254</v>
      </c>
      <c r="Q72" s="15">
        <v>0.46906803619395998</v>
      </c>
      <c r="R72" s="9">
        <v>219</v>
      </c>
      <c r="S72" s="15">
        <v>0.120459362897522</v>
      </c>
      <c r="T72" s="9">
        <v>103</v>
      </c>
      <c r="U72" s="15"/>
      <c r="V72" s="9"/>
      <c r="W72" s="15">
        <v>0.142750726073305</v>
      </c>
      <c r="X72" s="9">
        <v>103</v>
      </c>
      <c r="Y72" s="15">
        <v>0.57070100254079603</v>
      </c>
      <c r="Z72" s="9">
        <v>103</v>
      </c>
      <c r="AA72" s="15">
        <v>4.8808037747929703E-2</v>
      </c>
      <c r="AB72" s="9">
        <v>103</v>
      </c>
      <c r="AC72" s="15">
        <v>0.117280870740447</v>
      </c>
      <c r="AD72" s="9">
        <v>103</v>
      </c>
      <c r="AE72" s="15">
        <v>0.47137757845234701</v>
      </c>
      <c r="AF72" s="9">
        <v>279</v>
      </c>
      <c r="AG72" s="15">
        <v>0.146698786045006</v>
      </c>
      <c r="AH72" s="9">
        <v>151</v>
      </c>
      <c r="AI72" s="15">
        <v>6.4603496335965294E-2</v>
      </c>
      <c r="AJ72" s="9">
        <v>151</v>
      </c>
      <c r="AK72" s="15">
        <v>8.3705584010623807E-2</v>
      </c>
      <c r="AL72" s="9">
        <v>151</v>
      </c>
      <c r="AM72" s="15">
        <v>0.56724711007964301</v>
      </c>
      <c r="AN72" s="9">
        <v>151</v>
      </c>
      <c r="AO72" s="15">
        <v>7.9154819839177007E-2</v>
      </c>
      <c r="AP72" s="9">
        <v>151</v>
      </c>
      <c r="AQ72" s="15">
        <v>5.8590203689584897E-2</v>
      </c>
      <c r="AR72" s="12">
        <v>151</v>
      </c>
    </row>
    <row r="73" spans="1:44" x14ac:dyDescent="0.25">
      <c r="C73" s="16"/>
      <c r="E73" s="16"/>
      <c r="G73" s="16"/>
      <c r="I73" s="16"/>
      <c r="K73" s="16"/>
      <c r="M73" s="16"/>
      <c r="O73" s="16"/>
      <c r="Q73" s="16"/>
      <c r="S73" s="16"/>
      <c r="U73" s="16"/>
      <c r="W73" s="16"/>
      <c r="Y73" s="16"/>
      <c r="AA73" s="16"/>
      <c r="AC73" s="16"/>
      <c r="AE73" s="16"/>
      <c r="AG73" s="16"/>
      <c r="AI73" s="16"/>
      <c r="AK73" s="16"/>
      <c r="AM73" s="16"/>
      <c r="AO73" s="16"/>
      <c r="AQ73" s="16"/>
    </row>
    <row r="74" spans="1:44" x14ac:dyDescent="0.25">
      <c r="C74" s="16"/>
      <c r="E74" s="16"/>
      <c r="G74" s="16"/>
      <c r="I74" s="16"/>
      <c r="K74" s="16"/>
      <c r="M74" s="16"/>
      <c r="O74" s="16"/>
      <c r="Q74" s="16"/>
      <c r="S74" s="16"/>
      <c r="U74" s="16"/>
      <c r="W74" s="16"/>
      <c r="Y74" s="16"/>
      <c r="AA74" s="16"/>
      <c r="AC74" s="16"/>
      <c r="AE74" s="16"/>
      <c r="AG74" s="16"/>
      <c r="AI74" s="16"/>
      <c r="AK74" s="16"/>
      <c r="AM74" s="16"/>
      <c r="AO74" s="16"/>
      <c r="AQ74" s="16"/>
    </row>
  </sheetData>
  <mergeCells count="38">
    <mergeCell ref="A50:AR50"/>
    <mergeCell ref="A54:AR54"/>
    <mergeCell ref="A59:AR59"/>
    <mergeCell ref="A66:AR66"/>
    <mergeCell ref="A70:AR70"/>
    <mergeCell ref="A6:AR6"/>
    <mergeCell ref="A9:AR9"/>
    <mergeCell ref="A15:AR15"/>
    <mergeCell ref="A22:AR22"/>
    <mergeCell ref="A45:AR45"/>
    <mergeCell ref="AI4:AJ4"/>
    <mergeCell ref="AK4:AL4"/>
    <mergeCell ref="AM4:AN4"/>
    <mergeCell ref="AO4:AP4"/>
    <mergeCell ref="AQ4:AR4"/>
    <mergeCell ref="Y4:Z4"/>
    <mergeCell ref="AA4:AB4"/>
    <mergeCell ref="AC4:AD4"/>
    <mergeCell ref="Q4:R4"/>
    <mergeCell ref="AG4:AH4"/>
    <mergeCell ref="AE4:AF4"/>
    <mergeCell ref="O4:P4"/>
    <mergeCell ref="C4:D4"/>
    <mergeCell ref="S4:T4"/>
    <mergeCell ref="U4:V4"/>
    <mergeCell ref="W4:X4"/>
    <mergeCell ref="E4:F4"/>
    <mergeCell ref="G4:H4"/>
    <mergeCell ref="I4:J4"/>
    <mergeCell ref="K4:L4"/>
    <mergeCell ref="M4:N4"/>
    <mergeCell ref="A1:AR1"/>
    <mergeCell ref="C2:P2"/>
    <mergeCell ref="Q2:AD2"/>
    <mergeCell ref="AE2:AR2"/>
    <mergeCell ref="E3:P3"/>
    <mergeCell ref="S3:AD3"/>
    <mergeCell ref="AG3:AR3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69"/>
  <sheetViews>
    <sheetView showGridLines="0" workbookViewId="0">
      <selection sqref="A1:T1"/>
    </sheetView>
  </sheetViews>
  <sheetFormatPr defaultColWidth="11.42578125" defaultRowHeight="15" outlineLevelRow="1" x14ac:dyDescent="0.25"/>
  <sheetData>
    <row r="1" spans="1:20" x14ac:dyDescent="0.25">
      <c r="A1" s="18" t="s">
        <v>82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spans="1:20" x14ac:dyDescent="0.25">
      <c r="C2" s="19" t="s">
        <v>2</v>
      </c>
      <c r="D2" s="19"/>
      <c r="E2" s="19"/>
      <c r="F2" s="19"/>
      <c r="G2" s="19"/>
      <c r="H2" s="19"/>
      <c r="I2" s="19" t="s">
        <v>3</v>
      </c>
      <c r="J2" s="19"/>
      <c r="K2" s="19"/>
      <c r="L2" s="19"/>
      <c r="M2" s="19"/>
      <c r="N2" s="19"/>
      <c r="O2" s="19" t="s">
        <v>4</v>
      </c>
      <c r="P2" s="19"/>
      <c r="Q2" s="19"/>
      <c r="R2" s="19"/>
      <c r="S2" s="19"/>
      <c r="T2" s="19"/>
    </row>
    <row r="3" spans="1:20" x14ac:dyDescent="0.25">
      <c r="E3" s="19" t="s">
        <v>83</v>
      </c>
      <c r="F3" s="19"/>
      <c r="G3" s="19"/>
      <c r="H3" s="19"/>
      <c r="K3" s="19" t="s">
        <v>83</v>
      </c>
      <c r="L3" s="19"/>
      <c r="M3" s="19"/>
      <c r="N3" s="19"/>
      <c r="Q3" s="19" t="s">
        <v>83</v>
      </c>
      <c r="R3" s="19"/>
      <c r="S3" s="19"/>
      <c r="T3" s="19"/>
    </row>
    <row r="4" spans="1:20" x14ac:dyDescent="0.25">
      <c r="C4" s="19" t="s">
        <v>9</v>
      </c>
      <c r="D4" s="19"/>
      <c r="E4" s="19" t="s">
        <v>84</v>
      </c>
      <c r="F4" s="19"/>
      <c r="G4" s="19" t="s">
        <v>85</v>
      </c>
      <c r="H4" s="19"/>
      <c r="I4" s="19" t="s">
        <v>9</v>
      </c>
      <c r="J4" s="19"/>
      <c r="K4" s="19" t="s">
        <v>84</v>
      </c>
      <c r="L4" s="19"/>
      <c r="M4" s="19" t="s">
        <v>85</v>
      </c>
      <c r="N4" s="19"/>
      <c r="O4" s="19" t="s">
        <v>9</v>
      </c>
      <c r="P4" s="19"/>
      <c r="Q4" s="19" t="s">
        <v>84</v>
      </c>
      <c r="R4" s="19"/>
      <c r="S4" s="19" t="s">
        <v>85</v>
      </c>
      <c r="T4" s="19"/>
    </row>
    <row r="5" spans="1:20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  <c r="O5" s="1" t="s">
        <v>12</v>
      </c>
      <c r="P5" s="1" t="s">
        <v>13</v>
      </c>
      <c r="Q5" s="1" t="s">
        <v>12</v>
      </c>
      <c r="R5" s="1" t="s">
        <v>13</v>
      </c>
      <c r="S5" s="1" t="s">
        <v>12</v>
      </c>
      <c r="T5" s="1" t="s">
        <v>13</v>
      </c>
    </row>
    <row r="6" spans="1:20" x14ac:dyDescent="0.25">
      <c r="A6" s="19" t="s">
        <v>15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</row>
    <row r="7" spans="1:20" outlineLevel="1" x14ac:dyDescent="0.25">
      <c r="A7" s="2" t="s">
        <v>14</v>
      </c>
      <c r="B7" s="3" t="s">
        <v>16</v>
      </c>
      <c r="C7" s="13">
        <v>0.48104251082280303</v>
      </c>
      <c r="D7" s="3">
        <v>1065</v>
      </c>
      <c r="E7" s="13">
        <v>0.48104251082280303</v>
      </c>
      <c r="F7" s="3">
        <v>1065</v>
      </c>
      <c r="G7" s="13">
        <v>0.34443843007643998</v>
      </c>
      <c r="H7" s="3">
        <v>1065</v>
      </c>
      <c r="I7" s="13">
        <v>0.41931118902598002</v>
      </c>
      <c r="J7" s="3">
        <v>509</v>
      </c>
      <c r="K7" s="13">
        <v>0.41931118902598002</v>
      </c>
      <c r="L7" s="3">
        <v>509</v>
      </c>
      <c r="M7" s="13">
        <v>0.31659385534388101</v>
      </c>
      <c r="N7" s="3">
        <v>509</v>
      </c>
      <c r="O7" s="13">
        <v>0.53664389844355398</v>
      </c>
      <c r="P7" s="3">
        <v>556</v>
      </c>
      <c r="Q7" s="13">
        <v>0.53664389844355398</v>
      </c>
      <c r="R7" s="3">
        <v>556</v>
      </c>
      <c r="S7" s="13">
        <v>0.36951803225854901</v>
      </c>
      <c r="T7" s="4">
        <v>556</v>
      </c>
    </row>
    <row r="8" spans="1:20" x14ac:dyDescent="0.25">
      <c r="C8" s="16"/>
      <c r="E8" s="16"/>
      <c r="G8" s="16"/>
      <c r="I8" s="16"/>
      <c r="K8" s="16"/>
      <c r="M8" s="16"/>
      <c r="O8" s="16"/>
      <c r="Q8" s="16"/>
      <c r="S8" s="16"/>
    </row>
    <row r="9" spans="1:20" x14ac:dyDescent="0.25">
      <c r="A9" s="19" t="s">
        <v>20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</row>
    <row r="10" spans="1:20" outlineLevel="1" x14ac:dyDescent="0.25">
      <c r="A10" s="5" t="s">
        <v>14</v>
      </c>
      <c r="B10" s="8" t="s">
        <v>21</v>
      </c>
      <c r="C10" s="14">
        <v>0.64894144155712497</v>
      </c>
      <c r="D10" s="8">
        <v>255</v>
      </c>
      <c r="E10" s="14">
        <v>0.64894144155712497</v>
      </c>
      <c r="F10" s="8">
        <v>255</v>
      </c>
      <c r="G10" s="14">
        <v>0.47637689976393599</v>
      </c>
      <c r="H10" s="8">
        <v>255</v>
      </c>
      <c r="I10" s="14">
        <v>0.60167811663549198</v>
      </c>
      <c r="J10" s="8">
        <v>129</v>
      </c>
      <c r="K10" s="14">
        <v>0.60167811663549198</v>
      </c>
      <c r="L10" s="8">
        <v>129</v>
      </c>
      <c r="M10" s="14">
        <v>0.45333389088870901</v>
      </c>
      <c r="N10" s="8">
        <v>129</v>
      </c>
      <c r="O10" s="14">
        <v>0.69555116590465005</v>
      </c>
      <c r="P10" s="8">
        <v>126</v>
      </c>
      <c r="Q10" s="14">
        <v>0.69555116590465005</v>
      </c>
      <c r="R10" s="8">
        <v>126</v>
      </c>
      <c r="S10" s="14">
        <v>0.49910124879339501</v>
      </c>
      <c r="T10" s="10">
        <v>126</v>
      </c>
    </row>
    <row r="11" spans="1:20" outlineLevel="1" x14ac:dyDescent="0.25">
      <c r="A11" s="6" t="s">
        <v>14</v>
      </c>
      <c r="B11" t="s">
        <v>22</v>
      </c>
      <c r="C11" s="16">
        <v>0.41786301970659501</v>
      </c>
      <c r="D11">
        <v>239</v>
      </c>
      <c r="E11" s="16">
        <v>0.41786301970659501</v>
      </c>
      <c r="F11">
        <v>239</v>
      </c>
      <c r="G11" s="16">
        <v>0.23846609443132399</v>
      </c>
      <c r="H11">
        <v>239</v>
      </c>
      <c r="I11" s="16">
        <v>0.32713570181534801</v>
      </c>
      <c r="J11">
        <v>104</v>
      </c>
      <c r="K11" s="16">
        <v>0.32713570181534801</v>
      </c>
      <c r="L11">
        <v>104</v>
      </c>
      <c r="M11" s="16">
        <v>0.21862882372161699</v>
      </c>
      <c r="N11">
        <v>104</v>
      </c>
      <c r="O11" s="16">
        <v>0.49430505456742801</v>
      </c>
      <c r="P11">
        <v>135</v>
      </c>
      <c r="Q11" s="16">
        <v>0.49430505456742801</v>
      </c>
      <c r="R11">
        <v>135</v>
      </c>
      <c r="S11" s="16">
        <v>0.25517992852650601</v>
      </c>
      <c r="T11" s="11">
        <v>135</v>
      </c>
    </row>
    <row r="12" spans="1:20" outlineLevel="1" x14ac:dyDescent="0.25">
      <c r="A12" s="6" t="s">
        <v>14</v>
      </c>
      <c r="B12" t="s">
        <v>23</v>
      </c>
      <c r="C12" s="16">
        <v>0.37169620464413899</v>
      </c>
      <c r="D12">
        <v>237</v>
      </c>
      <c r="E12" s="16">
        <v>0.37169620464413899</v>
      </c>
      <c r="F12">
        <v>237</v>
      </c>
      <c r="G12" s="16">
        <v>0.25165064170143497</v>
      </c>
      <c r="H12">
        <v>237</v>
      </c>
      <c r="I12" s="16">
        <v>0.30413872473380199</v>
      </c>
      <c r="J12">
        <v>115</v>
      </c>
      <c r="K12" s="16">
        <v>0.30413872473380199</v>
      </c>
      <c r="L12">
        <v>115</v>
      </c>
      <c r="M12" s="16">
        <v>0.20035742133793</v>
      </c>
      <c r="N12">
        <v>115</v>
      </c>
      <c r="O12" s="16">
        <v>0.43692257013925001</v>
      </c>
      <c r="P12">
        <v>122</v>
      </c>
      <c r="Q12" s="16">
        <v>0.43692257013925001</v>
      </c>
      <c r="R12">
        <v>122</v>
      </c>
      <c r="S12" s="16">
        <v>0.30117395641494599</v>
      </c>
      <c r="T12" s="11">
        <v>122</v>
      </c>
    </row>
    <row r="13" spans="1:20" outlineLevel="1" x14ac:dyDescent="0.25">
      <c r="A13" s="6" t="s">
        <v>14</v>
      </c>
      <c r="B13" t="s">
        <v>24</v>
      </c>
      <c r="C13" s="16">
        <v>0.53096996118387896</v>
      </c>
      <c r="D13">
        <v>161</v>
      </c>
      <c r="E13" s="16">
        <v>0.53096996118387896</v>
      </c>
      <c r="F13">
        <v>161</v>
      </c>
      <c r="G13" s="16">
        <v>0.52323286739130503</v>
      </c>
      <c r="H13">
        <v>161</v>
      </c>
      <c r="I13" s="16">
        <v>0.557087003935819</v>
      </c>
      <c r="J13">
        <v>77</v>
      </c>
      <c r="K13" s="16">
        <v>0.557087003935819</v>
      </c>
      <c r="L13">
        <v>77</v>
      </c>
      <c r="M13" s="16">
        <v>0.54895135616272495</v>
      </c>
      <c r="N13">
        <v>77</v>
      </c>
      <c r="O13" s="16">
        <v>0.50866808334680302</v>
      </c>
      <c r="P13">
        <v>84</v>
      </c>
      <c r="Q13" s="16">
        <v>0.50866808334680302</v>
      </c>
      <c r="R13">
        <v>84</v>
      </c>
      <c r="S13" s="16">
        <v>0.50127132296293297</v>
      </c>
      <c r="T13" s="11">
        <v>84</v>
      </c>
    </row>
    <row r="14" spans="1:20" outlineLevel="1" x14ac:dyDescent="0.25">
      <c r="A14" s="7" t="s">
        <v>14</v>
      </c>
      <c r="B14" s="9" t="s">
        <v>25</v>
      </c>
      <c r="C14" s="15">
        <v>0.48260700640231902</v>
      </c>
      <c r="D14" s="9">
        <v>173</v>
      </c>
      <c r="E14" s="15">
        <v>0.48260700640231902</v>
      </c>
      <c r="F14" s="9">
        <v>173</v>
      </c>
      <c r="G14" s="15">
        <v>0.44387262365279501</v>
      </c>
      <c r="H14" s="9">
        <v>173</v>
      </c>
      <c r="I14" s="15">
        <v>0.40972298703827298</v>
      </c>
      <c r="J14" s="9">
        <v>84</v>
      </c>
      <c r="K14" s="15">
        <v>0.40972298703827298</v>
      </c>
      <c r="L14" s="9">
        <v>84</v>
      </c>
      <c r="M14" s="15">
        <v>0.36432645416205001</v>
      </c>
      <c r="N14" s="9">
        <v>84</v>
      </c>
      <c r="O14" s="15">
        <v>0.54476828198970195</v>
      </c>
      <c r="P14" s="9">
        <v>89</v>
      </c>
      <c r="Q14" s="15">
        <v>0.54476828198970195</v>
      </c>
      <c r="R14" s="9">
        <v>89</v>
      </c>
      <c r="S14" s="15">
        <v>0.51171590955799295</v>
      </c>
      <c r="T14" s="12">
        <v>89</v>
      </c>
    </row>
    <row r="15" spans="1:20" x14ac:dyDescent="0.25">
      <c r="C15" s="16"/>
      <c r="E15" s="16"/>
      <c r="G15" s="16"/>
      <c r="I15" s="16"/>
      <c r="K15" s="16"/>
      <c r="M15" s="16"/>
      <c r="O15" s="16"/>
      <c r="Q15" s="16"/>
      <c r="S15" s="16"/>
    </row>
    <row r="16" spans="1:20" x14ac:dyDescent="0.25">
      <c r="A16" s="19" t="s">
        <v>26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20"/>
      <c r="R16" s="19"/>
      <c r="S16" s="20"/>
      <c r="T16" s="19"/>
    </row>
    <row r="17" spans="1:20" outlineLevel="1" x14ac:dyDescent="0.25">
      <c r="A17" s="5" t="s">
        <v>14</v>
      </c>
      <c r="B17" s="8" t="s">
        <v>27</v>
      </c>
      <c r="C17" s="14">
        <v>0.82686599382451498</v>
      </c>
      <c r="D17" s="8">
        <v>19</v>
      </c>
      <c r="E17" s="14">
        <v>0.82686599382451498</v>
      </c>
      <c r="F17" s="8">
        <v>19</v>
      </c>
      <c r="G17" s="14">
        <v>0.22979179624937399</v>
      </c>
      <c r="H17" s="8">
        <v>19</v>
      </c>
      <c r="I17" s="14">
        <v>0.67174144996976803</v>
      </c>
      <c r="J17" s="8">
        <v>11</v>
      </c>
      <c r="K17" s="14">
        <v>0.67174144996976803</v>
      </c>
      <c r="L17" s="8">
        <v>11</v>
      </c>
      <c r="M17" s="14">
        <v>0.280798285215135</v>
      </c>
      <c r="N17" s="8">
        <v>11</v>
      </c>
      <c r="O17" s="14">
        <v>0.97234046881329805</v>
      </c>
      <c r="P17" s="8">
        <v>8</v>
      </c>
      <c r="Q17" s="14">
        <v>0.97234046881329805</v>
      </c>
      <c r="R17" s="8">
        <v>8</v>
      </c>
      <c r="S17" s="14">
        <v>0.181958345662321</v>
      </c>
      <c r="T17" s="10">
        <v>8</v>
      </c>
    </row>
    <row r="18" spans="1:20" outlineLevel="1" x14ac:dyDescent="0.25">
      <c r="A18" s="6" t="s">
        <v>14</v>
      </c>
      <c r="B18" t="s">
        <v>28</v>
      </c>
      <c r="C18" s="16">
        <v>0.662513017114294</v>
      </c>
      <c r="D18">
        <v>39</v>
      </c>
      <c r="E18" s="16">
        <v>0.662513017114294</v>
      </c>
      <c r="F18">
        <v>39</v>
      </c>
      <c r="G18" s="16">
        <v>0.399611653618695</v>
      </c>
      <c r="H18">
        <v>39</v>
      </c>
      <c r="I18" s="16">
        <v>0.44506583673930999</v>
      </c>
      <c r="J18">
        <v>21</v>
      </c>
      <c r="K18" s="16">
        <v>0.44506583673930999</v>
      </c>
      <c r="L18">
        <v>21</v>
      </c>
      <c r="M18" s="16">
        <v>0.39337653801705202</v>
      </c>
      <c r="N18">
        <v>21</v>
      </c>
      <c r="O18" s="16">
        <v>0.79868821833252102</v>
      </c>
      <c r="P18">
        <v>18</v>
      </c>
      <c r="Q18" s="16">
        <v>0.79868821833252102</v>
      </c>
      <c r="R18">
        <v>18</v>
      </c>
      <c r="S18" s="16">
        <v>0.40351636335192098</v>
      </c>
      <c r="T18" s="11">
        <v>18</v>
      </c>
    </row>
    <row r="19" spans="1:20" outlineLevel="1" x14ac:dyDescent="0.25">
      <c r="A19" s="6" t="s">
        <v>14</v>
      </c>
      <c r="B19" t="s">
        <v>29</v>
      </c>
      <c r="C19" s="16">
        <v>0.89833894527551394</v>
      </c>
      <c r="D19">
        <v>52</v>
      </c>
      <c r="E19" s="16">
        <v>0.89833894527551394</v>
      </c>
      <c r="F19">
        <v>52</v>
      </c>
      <c r="G19" s="16">
        <v>0.76534998371994001</v>
      </c>
      <c r="H19">
        <v>52</v>
      </c>
      <c r="I19" s="16">
        <v>0.86405086817030197</v>
      </c>
      <c r="J19">
        <v>23</v>
      </c>
      <c r="K19" s="16">
        <v>0.86405086817030197</v>
      </c>
      <c r="L19">
        <v>23</v>
      </c>
      <c r="M19" s="16">
        <v>0.61558146594054997</v>
      </c>
      <c r="N19">
        <v>23</v>
      </c>
      <c r="O19" s="16">
        <v>0.932267288938603</v>
      </c>
      <c r="P19">
        <v>29</v>
      </c>
      <c r="Q19" s="16">
        <v>0.932267288938603</v>
      </c>
      <c r="R19">
        <v>29</v>
      </c>
      <c r="S19" s="16">
        <v>0.91354720474048801</v>
      </c>
      <c r="T19" s="11">
        <v>29</v>
      </c>
    </row>
    <row r="20" spans="1:20" outlineLevel="1" x14ac:dyDescent="0.25">
      <c r="A20" s="6" t="s">
        <v>14</v>
      </c>
      <c r="B20" t="s">
        <v>30</v>
      </c>
      <c r="C20" s="16">
        <v>0.97759695298347005</v>
      </c>
      <c r="D20">
        <v>33</v>
      </c>
      <c r="E20" s="16">
        <v>0.97759695298347005</v>
      </c>
      <c r="F20">
        <v>33</v>
      </c>
      <c r="G20" s="16">
        <v>0.80122129127623998</v>
      </c>
      <c r="H20">
        <v>33</v>
      </c>
      <c r="I20" s="16">
        <v>1</v>
      </c>
      <c r="J20">
        <v>13</v>
      </c>
      <c r="K20" s="16">
        <v>1</v>
      </c>
      <c r="L20">
        <v>13</v>
      </c>
      <c r="M20" s="16">
        <v>0.81397111063075001</v>
      </c>
      <c r="N20">
        <v>13</v>
      </c>
      <c r="O20" s="16">
        <v>0.95738145965756705</v>
      </c>
      <c r="P20">
        <v>20</v>
      </c>
      <c r="Q20" s="16">
        <v>0.95738145965756705</v>
      </c>
      <c r="R20">
        <v>20</v>
      </c>
      <c r="S20" s="16">
        <v>0.78971643267922098</v>
      </c>
      <c r="T20" s="11">
        <v>20</v>
      </c>
    </row>
    <row r="21" spans="1:20" outlineLevel="1" x14ac:dyDescent="0.25">
      <c r="A21" s="6" t="s">
        <v>14</v>
      </c>
      <c r="B21" t="s">
        <v>31</v>
      </c>
      <c r="C21" s="16">
        <v>0.51184586256313802</v>
      </c>
      <c r="D21">
        <v>38</v>
      </c>
      <c r="E21" s="16">
        <v>0.51184586256313802</v>
      </c>
      <c r="F21">
        <v>38</v>
      </c>
      <c r="G21" s="16">
        <v>0.44189301961246402</v>
      </c>
      <c r="H21">
        <v>38</v>
      </c>
      <c r="I21" s="16">
        <v>0.49964220086857902</v>
      </c>
      <c r="J21">
        <v>23</v>
      </c>
      <c r="K21" s="16">
        <v>0.49964220086857902</v>
      </c>
      <c r="L21">
        <v>23</v>
      </c>
      <c r="M21" s="16">
        <v>0.39209684939052097</v>
      </c>
      <c r="N21">
        <v>23</v>
      </c>
      <c r="O21" s="16">
        <v>0.52864059584117096</v>
      </c>
      <c r="P21">
        <v>15</v>
      </c>
      <c r="Q21" s="16">
        <v>0.52864059584117096</v>
      </c>
      <c r="R21">
        <v>15</v>
      </c>
      <c r="S21" s="16">
        <v>0.51042272963531399</v>
      </c>
      <c r="T21" s="11">
        <v>15</v>
      </c>
    </row>
    <row r="22" spans="1:20" outlineLevel="1" x14ac:dyDescent="0.25">
      <c r="A22" s="6" t="s">
        <v>14</v>
      </c>
      <c r="B22" t="s">
        <v>32</v>
      </c>
      <c r="C22" s="16">
        <v>0.19345961333021</v>
      </c>
      <c r="D22">
        <v>49</v>
      </c>
      <c r="E22" s="16">
        <v>0.19345961333021</v>
      </c>
      <c r="F22">
        <v>49</v>
      </c>
      <c r="G22" s="16">
        <v>0.18083514491750399</v>
      </c>
      <c r="H22">
        <v>49</v>
      </c>
      <c r="I22" s="16">
        <v>0.22190829893014599</v>
      </c>
      <c r="J22">
        <v>23</v>
      </c>
      <c r="K22" s="16">
        <v>0.22190829893014599</v>
      </c>
      <c r="L22">
        <v>23</v>
      </c>
      <c r="M22" s="16">
        <v>0.20941738113331601</v>
      </c>
      <c r="N22">
        <v>23</v>
      </c>
      <c r="O22" s="16">
        <v>0.16439601689577599</v>
      </c>
      <c r="P22">
        <v>26</v>
      </c>
      <c r="Q22" s="16">
        <v>0.16439601689577599</v>
      </c>
      <c r="R22">
        <v>26</v>
      </c>
      <c r="S22" s="16">
        <v>0.15163511120586401</v>
      </c>
      <c r="T22" s="11">
        <v>26</v>
      </c>
    </row>
    <row r="23" spans="1:20" outlineLevel="1" x14ac:dyDescent="0.25">
      <c r="A23" s="6" t="s">
        <v>14</v>
      </c>
      <c r="B23" t="s">
        <v>33</v>
      </c>
      <c r="C23" s="16">
        <v>0.43500953795373198</v>
      </c>
      <c r="D23">
        <v>25</v>
      </c>
      <c r="E23" s="16">
        <v>0.43500953795373198</v>
      </c>
      <c r="F23">
        <v>25</v>
      </c>
      <c r="G23" s="16">
        <v>0.391029690231599</v>
      </c>
      <c r="H23">
        <v>25</v>
      </c>
      <c r="I23" s="16">
        <v>0.471482628535005</v>
      </c>
      <c r="J23">
        <v>15</v>
      </c>
      <c r="K23" s="16">
        <v>0.471482628535005</v>
      </c>
      <c r="L23">
        <v>15</v>
      </c>
      <c r="M23" s="16">
        <v>0.39645305064335501</v>
      </c>
      <c r="N23">
        <v>15</v>
      </c>
      <c r="O23" s="16">
        <v>0.383347866146525</v>
      </c>
      <c r="P23">
        <v>10</v>
      </c>
      <c r="Q23" s="16">
        <v>0.383347866146525</v>
      </c>
      <c r="R23">
        <v>10</v>
      </c>
      <c r="S23" s="16">
        <v>0.383347866146525</v>
      </c>
      <c r="T23" s="11">
        <v>10</v>
      </c>
    </row>
    <row r="24" spans="1:20" outlineLevel="1" x14ac:dyDescent="0.25">
      <c r="A24" s="6" t="s">
        <v>14</v>
      </c>
      <c r="B24" t="s">
        <v>34</v>
      </c>
      <c r="C24" s="16">
        <v>0.60772751887550802</v>
      </c>
      <c r="D24">
        <v>68</v>
      </c>
      <c r="E24" s="16">
        <v>0.60772751887550802</v>
      </c>
      <c r="F24">
        <v>68</v>
      </c>
      <c r="G24" s="16">
        <v>0.243665954929527</v>
      </c>
      <c r="H24">
        <v>68</v>
      </c>
      <c r="I24" s="16">
        <v>0.49652623924626499</v>
      </c>
      <c r="J24">
        <v>30</v>
      </c>
      <c r="K24" s="16">
        <v>0.49652623924626499</v>
      </c>
      <c r="L24">
        <v>30</v>
      </c>
      <c r="M24" s="16">
        <v>0.27204741651767</v>
      </c>
      <c r="N24">
        <v>30</v>
      </c>
      <c r="O24" s="16">
        <v>0.70386583062228802</v>
      </c>
      <c r="P24">
        <v>38</v>
      </c>
      <c r="Q24" s="16">
        <v>0.70386583062228802</v>
      </c>
      <c r="R24">
        <v>38</v>
      </c>
      <c r="S24" s="16">
        <v>0.219128954896008</v>
      </c>
      <c r="T24" s="11">
        <v>38</v>
      </c>
    </row>
    <row r="25" spans="1:20" outlineLevel="1" x14ac:dyDescent="0.25">
      <c r="A25" s="6" t="s">
        <v>14</v>
      </c>
      <c r="B25" t="s">
        <v>35</v>
      </c>
      <c r="C25" s="16">
        <v>0.26697513729832101</v>
      </c>
      <c r="D25">
        <v>79</v>
      </c>
      <c r="E25" s="16">
        <v>0.26697513729832101</v>
      </c>
      <c r="F25">
        <v>79</v>
      </c>
      <c r="G25" s="16">
        <v>0.19075059262285601</v>
      </c>
      <c r="H25">
        <v>79</v>
      </c>
      <c r="I25" s="16">
        <v>0.155167097665901</v>
      </c>
      <c r="J25">
        <v>36</v>
      </c>
      <c r="K25" s="16">
        <v>0.155167097665901</v>
      </c>
      <c r="L25">
        <v>36</v>
      </c>
      <c r="M25" s="16">
        <v>0.12190493219342401</v>
      </c>
      <c r="N25">
        <v>36</v>
      </c>
      <c r="O25" s="16">
        <v>0.36429957483271602</v>
      </c>
      <c r="P25">
        <v>43</v>
      </c>
      <c r="Q25" s="16">
        <v>0.36429957483271602</v>
      </c>
      <c r="R25">
        <v>43</v>
      </c>
      <c r="S25" s="16">
        <v>0.25067799319267797</v>
      </c>
      <c r="T25" s="11">
        <v>43</v>
      </c>
    </row>
    <row r="26" spans="1:20" outlineLevel="1" x14ac:dyDescent="0.25">
      <c r="A26" s="6" t="s">
        <v>14</v>
      </c>
      <c r="B26" t="s">
        <v>36</v>
      </c>
      <c r="C26" s="16">
        <v>0.57389720119012799</v>
      </c>
      <c r="D26">
        <v>49</v>
      </c>
      <c r="E26" s="16">
        <v>0.57389720119012799</v>
      </c>
      <c r="F26">
        <v>49</v>
      </c>
      <c r="G26" s="16">
        <v>0.42413289009572602</v>
      </c>
      <c r="H26">
        <v>49</v>
      </c>
      <c r="I26" s="16">
        <v>0.62918228435992696</v>
      </c>
      <c r="J26">
        <v>19</v>
      </c>
      <c r="K26" s="16">
        <v>0.62918228435992696</v>
      </c>
      <c r="L26">
        <v>19</v>
      </c>
      <c r="M26" s="16">
        <v>0.51805142545404204</v>
      </c>
      <c r="N26">
        <v>19</v>
      </c>
      <c r="O26" s="16">
        <v>0.53697986780541496</v>
      </c>
      <c r="P26">
        <v>30</v>
      </c>
      <c r="Q26" s="16">
        <v>0.53697986780541496</v>
      </c>
      <c r="R26">
        <v>30</v>
      </c>
      <c r="S26" s="16">
        <v>0.36141756650332102</v>
      </c>
      <c r="T26" s="11">
        <v>30</v>
      </c>
    </row>
    <row r="27" spans="1:20" outlineLevel="1" x14ac:dyDescent="0.25">
      <c r="A27" s="6" t="s">
        <v>14</v>
      </c>
      <c r="B27" t="s">
        <v>37</v>
      </c>
      <c r="C27" s="16">
        <v>0.65381958325602696</v>
      </c>
      <c r="D27">
        <v>43</v>
      </c>
      <c r="E27" s="16">
        <v>0.65381958325602696</v>
      </c>
      <c r="F27">
        <v>43</v>
      </c>
      <c r="G27" s="16">
        <v>0.35224809497216097</v>
      </c>
      <c r="H27">
        <v>43</v>
      </c>
      <c r="I27" s="16">
        <v>0.71959082460199497</v>
      </c>
      <c r="J27">
        <v>19</v>
      </c>
      <c r="K27" s="16">
        <v>0.71959082460199497</v>
      </c>
      <c r="L27">
        <v>19</v>
      </c>
      <c r="M27" s="16">
        <v>0.453710248229865</v>
      </c>
      <c r="N27">
        <v>19</v>
      </c>
      <c r="O27" s="16">
        <v>0.60051554064907697</v>
      </c>
      <c r="P27">
        <v>24</v>
      </c>
      <c r="Q27" s="16">
        <v>0.60051554064907697</v>
      </c>
      <c r="R27">
        <v>24</v>
      </c>
      <c r="S27" s="16">
        <v>0.27001849386439403</v>
      </c>
      <c r="T27" s="11">
        <v>24</v>
      </c>
    </row>
    <row r="28" spans="1:20" outlineLevel="1" x14ac:dyDescent="0.25">
      <c r="A28" s="6" t="s">
        <v>14</v>
      </c>
      <c r="B28" t="s">
        <v>38</v>
      </c>
      <c r="C28" s="16">
        <v>0.29256930620662303</v>
      </c>
      <c r="D28">
        <v>135</v>
      </c>
      <c r="E28" s="16">
        <v>0.29256930620662303</v>
      </c>
      <c r="F28">
        <v>135</v>
      </c>
      <c r="G28" s="16">
        <v>0.25373612329370698</v>
      </c>
      <c r="H28">
        <v>135</v>
      </c>
      <c r="I28" s="16">
        <v>0.211305841916444</v>
      </c>
      <c r="J28">
        <v>73</v>
      </c>
      <c r="K28" s="16">
        <v>0.211305841916444</v>
      </c>
      <c r="L28">
        <v>73</v>
      </c>
      <c r="M28" s="16">
        <v>0.17076103021470301</v>
      </c>
      <c r="N28">
        <v>73</v>
      </c>
      <c r="O28" s="16">
        <v>0.409282931203856</v>
      </c>
      <c r="P28">
        <v>62</v>
      </c>
      <c r="Q28" s="16">
        <v>0.409282931203856</v>
      </c>
      <c r="R28">
        <v>62</v>
      </c>
      <c r="S28" s="16">
        <v>0.37290805353719603</v>
      </c>
      <c r="T28" s="11">
        <v>62</v>
      </c>
    </row>
    <row r="29" spans="1:20" outlineLevel="1" x14ac:dyDescent="0.25">
      <c r="A29" s="6" t="s">
        <v>14</v>
      </c>
      <c r="B29" t="s">
        <v>39</v>
      </c>
      <c r="C29" s="16">
        <v>0.45731127330823801</v>
      </c>
      <c r="D29">
        <v>43</v>
      </c>
      <c r="E29" s="16">
        <v>0.45731127330823801</v>
      </c>
      <c r="F29">
        <v>43</v>
      </c>
      <c r="G29" s="16">
        <v>0.25258182957497899</v>
      </c>
      <c r="H29">
        <v>43</v>
      </c>
      <c r="I29" s="16">
        <v>0.47177360434357601</v>
      </c>
      <c r="J29">
        <v>19</v>
      </c>
      <c r="K29" s="16">
        <v>0.47177360434357601</v>
      </c>
      <c r="L29">
        <v>19</v>
      </c>
      <c r="M29" s="16">
        <v>0.34758593662134302</v>
      </c>
      <c r="N29">
        <v>19</v>
      </c>
      <c r="O29" s="16">
        <v>0.45156117431253201</v>
      </c>
      <c r="P29">
        <v>24</v>
      </c>
      <c r="Q29" s="16">
        <v>0.45156117431253201</v>
      </c>
      <c r="R29">
        <v>24</v>
      </c>
      <c r="S29" s="16">
        <v>0.21480901002186001</v>
      </c>
      <c r="T29" s="11">
        <v>24</v>
      </c>
    </row>
    <row r="30" spans="1:20" outlineLevel="1" x14ac:dyDescent="0.25">
      <c r="A30" s="6" t="s">
        <v>14</v>
      </c>
      <c r="B30" t="s">
        <v>40</v>
      </c>
      <c r="C30" s="16">
        <v>0.49020473817302002</v>
      </c>
      <c r="D30">
        <v>39</v>
      </c>
      <c r="E30" s="16">
        <v>0.49020473817302002</v>
      </c>
      <c r="F30">
        <v>39</v>
      </c>
      <c r="G30" s="16">
        <v>0.13949615511852601</v>
      </c>
      <c r="H30">
        <v>39</v>
      </c>
      <c r="I30" s="16">
        <v>0.62314109181124899</v>
      </c>
      <c r="J30">
        <v>17</v>
      </c>
      <c r="K30" s="16">
        <v>0.62314109181124899</v>
      </c>
      <c r="L30">
        <v>17</v>
      </c>
      <c r="M30" s="16">
        <v>0.19544626266911</v>
      </c>
      <c r="N30">
        <v>17</v>
      </c>
      <c r="O30" s="16">
        <v>0.384238773302161</v>
      </c>
      <c r="P30">
        <v>22</v>
      </c>
      <c r="Q30" s="16">
        <v>0.384238773302161</v>
      </c>
      <c r="R30">
        <v>22</v>
      </c>
      <c r="S30" s="16">
        <v>9.48973153808228E-2</v>
      </c>
      <c r="T30" s="11">
        <v>22</v>
      </c>
    </row>
    <row r="31" spans="1:20" outlineLevel="1" x14ac:dyDescent="0.25">
      <c r="A31" s="6" t="s">
        <v>14</v>
      </c>
      <c r="B31" t="s">
        <v>41</v>
      </c>
      <c r="C31" s="16">
        <v>0.707090198168838</v>
      </c>
      <c r="D31">
        <v>20</v>
      </c>
      <c r="E31" s="16">
        <v>0.707090198168838</v>
      </c>
      <c r="F31">
        <v>20</v>
      </c>
      <c r="G31" s="16">
        <v>0.55449226824319497</v>
      </c>
      <c r="H31">
        <v>20</v>
      </c>
      <c r="I31" s="16">
        <v>0.68882750064682696</v>
      </c>
      <c r="J31">
        <v>6</v>
      </c>
      <c r="K31" s="16">
        <v>0.68882750064682696</v>
      </c>
      <c r="L31">
        <v>6</v>
      </c>
      <c r="M31" s="16">
        <v>0.33996872735103301</v>
      </c>
      <c r="N31">
        <v>6</v>
      </c>
      <c r="O31" s="16">
        <v>0.71460820002332803</v>
      </c>
      <c r="P31">
        <v>14</v>
      </c>
      <c r="Q31" s="16">
        <v>0.71460820002332803</v>
      </c>
      <c r="R31">
        <v>14</v>
      </c>
      <c r="S31" s="16">
        <v>0.64280279171954602</v>
      </c>
      <c r="T31" s="11">
        <v>14</v>
      </c>
    </row>
    <row r="32" spans="1:20" outlineLevel="1" x14ac:dyDescent="0.25">
      <c r="A32" s="6" t="s">
        <v>14</v>
      </c>
      <c r="B32" t="s">
        <v>42</v>
      </c>
      <c r="C32" s="16">
        <v>0.49309362346365299</v>
      </c>
      <c r="D32">
        <v>84</v>
      </c>
      <c r="E32" s="16">
        <v>0.49309362346365299</v>
      </c>
      <c r="F32">
        <v>84</v>
      </c>
      <c r="G32" s="16">
        <v>0.48629641731191198</v>
      </c>
      <c r="H32">
        <v>84</v>
      </c>
      <c r="I32" s="16">
        <v>0.51136897227661304</v>
      </c>
      <c r="J32">
        <v>42</v>
      </c>
      <c r="K32" s="16">
        <v>0.51136897227661304</v>
      </c>
      <c r="L32">
        <v>42</v>
      </c>
      <c r="M32" s="16">
        <v>0.51136897227661304</v>
      </c>
      <c r="N32">
        <v>42</v>
      </c>
      <c r="O32" s="16">
        <v>0.47598031779303901</v>
      </c>
      <c r="P32">
        <v>42</v>
      </c>
      <c r="Q32" s="16">
        <v>0.47598031779303901</v>
      </c>
      <c r="R32">
        <v>42</v>
      </c>
      <c r="S32" s="16">
        <v>0.46281810773513798</v>
      </c>
      <c r="T32" s="11">
        <v>42</v>
      </c>
    </row>
    <row r="33" spans="1:20" outlineLevel="1" x14ac:dyDescent="0.25">
      <c r="A33" s="6" t="s">
        <v>14</v>
      </c>
      <c r="B33" t="s">
        <v>43</v>
      </c>
      <c r="C33" s="16">
        <v>0.56069285615498898</v>
      </c>
      <c r="D33">
        <v>46</v>
      </c>
      <c r="E33" s="16">
        <v>0.56069285615498898</v>
      </c>
      <c r="F33">
        <v>46</v>
      </c>
      <c r="G33" s="16">
        <v>0.56069285615498898</v>
      </c>
      <c r="H33">
        <v>46</v>
      </c>
      <c r="I33" s="16">
        <v>0.58164295836248803</v>
      </c>
      <c r="J33">
        <v>20</v>
      </c>
      <c r="K33" s="16">
        <v>0.58164295836248803</v>
      </c>
      <c r="L33">
        <v>20</v>
      </c>
      <c r="M33" s="16">
        <v>0.58164295836248803</v>
      </c>
      <c r="N33">
        <v>20</v>
      </c>
      <c r="O33" s="16">
        <v>0.54637975380146897</v>
      </c>
      <c r="P33">
        <v>26</v>
      </c>
      <c r="Q33" s="16">
        <v>0.54637975380146897</v>
      </c>
      <c r="R33">
        <v>26</v>
      </c>
      <c r="S33" s="16">
        <v>0.54637975380146897</v>
      </c>
      <c r="T33" s="11">
        <v>26</v>
      </c>
    </row>
    <row r="34" spans="1:20" outlineLevel="1" x14ac:dyDescent="0.25">
      <c r="A34" s="6" t="s">
        <v>14</v>
      </c>
      <c r="B34" t="s">
        <v>44</v>
      </c>
      <c r="C34" s="16">
        <v>0.646011886045882</v>
      </c>
      <c r="D34">
        <v>31</v>
      </c>
      <c r="E34" s="16">
        <v>0.646011886045882</v>
      </c>
      <c r="F34">
        <v>31</v>
      </c>
      <c r="G34" s="16">
        <v>0.61389963793946101</v>
      </c>
      <c r="H34">
        <v>31</v>
      </c>
      <c r="I34" s="16">
        <v>0.73457874185434602</v>
      </c>
      <c r="J34">
        <v>15</v>
      </c>
      <c r="K34" s="16">
        <v>0.73457874185434602</v>
      </c>
      <c r="L34">
        <v>15</v>
      </c>
      <c r="M34" s="16">
        <v>0.66822342731793305</v>
      </c>
      <c r="N34">
        <v>15</v>
      </c>
      <c r="O34" s="16">
        <v>0.56295621538795604</v>
      </c>
      <c r="P34">
        <v>16</v>
      </c>
      <c r="Q34" s="16">
        <v>0.56295621538795604</v>
      </c>
      <c r="R34">
        <v>16</v>
      </c>
      <c r="S34" s="16">
        <v>0.56295621538795604</v>
      </c>
      <c r="T34" s="11">
        <v>16</v>
      </c>
    </row>
    <row r="35" spans="1:20" outlineLevel="1" x14ac:dyDescent="0.25">
      <c r="A35" s="6" t="s">
        <v>14</v>
      </c>
      <c r="B35" t="s">
        <v>45</v>
      </c>
      <c r="C35" s="16">
        <v>0.405544337555864</v>
      </c>
      <c r="D35">
        <v>72</v>
      </c>
      <c r="E35" s="16">
        <v>0.405544337555864</v>
      </c>
      <c r="F35">
        <v>72</v>
      </c>
      <c r="G35" s="16">
        <v>0.405544337555864</v>
      </c>
      <c r="H35">
        <v>72</v>
      </c>
      <c r="I35" s="16">
        <v>0.26397429651308701</v>
      </c>
      <c r="J35">
        <v>35</v>
      </c>
      <c r="K35" s="16">
        <v>0.26397429651308701</v>
      </c>
      <c r="L35">
        <v>35</v>
      </c>
      <c r="M35" s="16">
        <v>0.26397429651308701</v>
      </c>
      <c r="N35">
        <v>35</v>
      </c>
      <c r="O35" s="16">
        <v>0.524179286052041</v>
      </c>
      <c r="P35">
        <v>37</v>
      </c>
      <c r="Q35" s="16">
        <v>0.524179286052041</v>
      </c>
      <c r="R35">
        <v>37</v>
      </c>
      <c r="S35" s="16">
        <v>0.524179286052041</v>
      </c>
      <c r="T35" s="11">
        <v>37</v>
      </c>
    </row>
    <row r="36" spans="1:20" outlineLevel="1" x14ac:dyDescent="0.25">
      <c r="A36" s="6" t="s">
        <v>14</v>
      </c>
      <c r="B36" t="s">
        <v>46</v>
      </c>
      <c r="C36" s="16">
        <v>0.57886476959449196</v>
      </c>
      <c r="D36">
        <v>49</v>
      </c>
      <c r="E36" s="16">
        <v>0.57886476959449196</v>
      </c>
      <c r="F36">
        <v>49</v>
      </c>
      <c r="G36" s="16">
        <v>0.38685903062626298</v>
      </c>
      <c r="H36">
        <v>49</v>
      </c>
      <c r="I36" s="16">
        <v>0.61944058969439497</v>
      </c>
      <c r="J36">
        <v>25</v>
      </c>
      <c r="K36" s="16">
        <v>0.61944058969439497</v>
      </c>
      <c r="L36">
        <v>25</v>
      </c>
      <c r="M36" s="16">
        <v>0.35130380510057702</v>
      </c>
      <c r="N36">
        <v>25</v>
      </c>
      <c r="O36" s="16">
        <v>0.541800967714125</v>
      </c>
      <c r="P36">
        <v>24</v>
      </c>
      <c r="Q36" s="16">
        <v>0.541800967714125</v>
      </c>
      <c r="R36">
        <v>24</v>
      </c>
      <c r="S36" s="16">
        <v>0.41933679278734998</v>
      </c>
      <c r="T36" s="11">
        <v>24</v>
      </c>
    </row>
    <row r="37" spans="1:20" outlineLevel="1" x14ac:dyDescent="0.25">
      <c r="A37" s="7" t="s">
        <v>14</v>
      </c>
      <c r="B37" s="9" t="s">
        <v>47</v>
      </c>
      <c r="C37" s="15">
        <v>0.62597328743490399</v>
      </c>
      <c r="D37" s="9">
        <v>52</v>
      </c>
      <c r="E37" s="15">
        <v>0.62597328743490399</v>
      </c>
      <c r="F37" s="9">
        <v>52</v>
      </c>
      <c r="G37" s="15">
        <v>0.568171213994485</v>
      </c>
      <c r="H37" s="9">
        <v>52</v>
      </c>
      <c r="I37" s="15">
        <v>0.658294492476166</v>
      </c>
      <c r="J37" s="9">
        <v>24</v>
      </c>
      <c r="K37" s="15">
        <v>0.658294492476166</v>
      </c>
      <c r="L37" s="9">
        <v>24</v>
      </c>
      <c r="M37" s="15">
        <v>0.61755729581269403</v>
      </c>
      <c r="N37" s="9">
        <v>24</v>
      </c>
      <c r="O37" s="15">
        <v>0.59815554582750396</v>
      </c>
      <c r="P37" s="9">
        <v>28</v>
      </c>
      <c r="Q37" s="15">
        <v>0.59815554582750396</v>
      </c>
      <c r="R37" s="9">
        <v>28</v>
      </c>
      <c r="S37" s="15">
        <v>0.525666324054057</v>
      </c>
      <c r="T37" s="12">
        <v>28</v>
      </c>
    </row>
    <row r="38" spans="1:20" x14ac:dyDescent="0.25">
      <c r="C38" s="16"/>
      <c r="E38" s="16"/>
      <c r="G38" s="16"/>
      <c r="I38" s="16"/>
      <c r="K38" s="16"/>
      <c r="M38" s="16"/>
      <c r="O38" s="16"/>
      <c r="Q38" s="16"/>
      <c r="S38" s="16"/>
    </row>
    <row r="39" spans="1:20" x14ac:dyDescent="0.25">
      <c r="A39" s="19" t="s">
        <v>48</v>
      </c>
      <c r="B39" s="19"/>
      <c r="C39" s="20"/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  <c r="O39" s="20"/>
      <c r="P39" s="19"/>
      <c r="Q39" s="20"/>
      <c r="R39" s="19"/>
      <c r="S39" s="20"/>
      <c r="T39" s="19"/>
    </row>
    <row r="40" spans="1:20" outlineLevel="1" x14ac:dyDescent="0.25">
      <c r="A40" s="5" t="s">
        <v>14</v>
      </c>
      <c r="B40" s="8" t="s">
        <v>49</v>
      </c>
      <c r="C40" s="14">
        <v>0.35269437329757303</v>
      </c>
      <c r="D40" s="8">
        <v>150</v>
      </c>
      <c r="E40" s="14">
        <v>0.35269437329757303</v>
      </c>
      <c r="F40" s="8">
        <v>150</v>
      </c>
      <c r="G40" s="14">
        <v>0.29999263428786099</v>
      </c>
      <c r="H40" s="8">
        <v>150</v>
      </c>
      <c r="I40" s="14">
        <v>0.27872144156866202</v>
      </c>
      <c r="J40" s="8">
        <v>80</v>
      </c>
      <c r="K40" s="14">
        <v>0.27872144156866202</v>
      </c>
      <c r="L40" s="8">
        <v>80</v>
      </c>
      <c r="M40" s="14">
        <v>0.24162665611832401</v>
      </c>
      <c r="N40" s="8">
        <v>80</v>
      </c>
      <c r="O40" s="14">
        <v>0.453993855899122</v>
      </c>
      <c r="P40" s="8">
        <v>70</v>
      </c>
      <c r="Q40" s="14">
        <v>0.453993855899122</v>
      </c>
      <c r="R40" s="8">
        <v>70</v>
      </c>
      <c r="S40" s="14">
        <v>0.37991975427513902</v>
      </c>
      <c r="T40" s="10">
        <v>70</v>
      </c>
    </row>
    <row r="41" spans="1:20" outlineLevel="1" x14ac:dyDescent="0.25">
      <c r="A41" s="6" t="s">
        <v>14</v>
      </c>
      <c r="B41" t="s">
        <v>50</v>
      </c>
      <c r="C41" s="16">
        <v>0.57348800843764103</v>
      </c>
      <c r="D41">
        <v>265</v>
      </c>
      <c r="E41" s="16">
        <v>0.57348800843764103</v>
      </c>
      <c r="F41">
        <v>265</v>
      </c>
      <c r="G41" s="16">
        <v>0.38543034052639702</v>
      </c>
      <c r="H41">
        <v>265</v>
      </c>
      <c r="I41" s="16">
        <v>0.56640258763602302</v>
      </c>
      <c r="J41">
        <v>117</v>
      </c>
      <c r="K41" s="16">
        <v>0.56640258763602302</v>
      </c>
      <c r="L41">
        <v>117</v>
      </c>
      <c r="M41" s="16">
        <v>0.40387389521029099</v>
      </c>
      <c r="N41">
        <v>117</v>
      </c>
      <c r="O41" s="16">
        <v>0.57879891245844695</v>
      </c>
      <c r="P41">
        <v>148</v>
      </c>
      <c r="Q41" s="16">
        <v>0.57879891245844695</v>
      </c>
      <c r="R41">
        <v>148</v>
      </c>
      <c r="S41" s="16">
        <v>0.37160590419845402</v>
      </c>
      <c r="T41" s="11">
        <v>148</v>
      </c>
    </row>
    <row r="42" spans="1:20" outlineLevel="1" x14ac:dyDescent="0.25">
      <c r="A42" s="7" t="s">
        <v>14</v>
      </c>
      <c r="B42" s="9" t="s">
        <v>51</v>
      </c>
      <c r="C42" s="15">
        <v>0.495006646660823</v>
      </c>
      <c r="D42" s="9">
        <v>650</v>
      </c>
      <c r="E42" s="15">
        <v>0.495006646660823</v>
      </c>
      <c r="F42" s="9">
        <v>650</v>
      </c>
      <c r="G42" s="15">
        <v>0.34447992104889202</v>
      </c>
      <c r="H42" s="9">
        <v>650</v>
      </c>
      <c r="I42" s="15">
        <v>0.43372869489508997</v>
      </c>
      <c r="J42" s="9">
        <v>312</v>
      </c>
      <c r="K42" s="15">
        <v>0.43372869489508997</v>
      </c>
      <c r="L42" s="9">
        <v>312</v>
      </c>
      <c r="M42" s="15">
        <v>0.31975278320580403</v>
      </c>
      <c r="N42" s="9">
        <v>312</v>
      </c>
      <c r="O42" s="15">
        <v>0.54449817053488803</v>
      </c>
      <c r="P42" s="9">
        <v>338</v>
      </c>
      <c r="Q42" s="15">
        <v>0.54449817053488803</v>
      </c>
      <c r="R42" s="9">
        <v>338</v>
      </c>
      <c r="S42" s="15">
        <v>0.36445094974086101</v>
      </c>
      <c r="T42" s="12">
        <v>338</v>
      </c>
    </row>
    <row r="43" spans="1:20" x14ac:dyDescent="0.25">
      <c r="C43" s="16"/>
      <c r="E43" s="16"/>
      <c r="G43" s="16"/>
      <c r="I43" s="16"/>
      <c r="K43" s="16"/>
      <c r="M43" s="16"/>
      <c r="O43" s="16"/>
      <c r="Q43" s="16"/>
      <c r="S43" s="16"/>
    </row>
    <row r="44" spans="1:20" x14ac:dyDescent="0.25">
      <c r="A44" s="19" t="s">
        <v>52</v>
      </c>
      <c r="B44" s="19"/>
      <c r="C44" s="20"/>
      <c r="D44" s="19"/>
      <c r="E44" s="20"/>
      <c r="F44" s="19"/>
      <c r="G44" s="20"/>
      <c r="H44" s="19"/>
      <c r="I44" s="20"/>
      <c r="J44" s="19"/>
      <c r="K44" s="20"/>
      <c r="L44" s="19"/>
      <c r="M44" s="20"/>
      <c r="N44" s="19"/>
      <c r="O44" s="20"/>
      <c r="P44" s="19"/>
      <c r="Q44" s="20"/>
      <c r="R44" s="19"/>
      <c r="S44" s="20"/>
      <c r="T44" s="19"/>
    </row>
    <row r="45" spans="1:20" outlineLevel="1" x14ac:dyDescent="0.25">
      <c r="A45" s="5" t="s">
        <v>14</v>
      </c>
      <c r="B45" s="8" t="s">
        <v>53</v>
      </c>
      <c r="C45" s="14">
        <v>0.42161638601205897</v>
      </c>
      <c r="D45" s="8">
        <v>254</v>
      </c>
      <c r="E45" s="14">
        <v>0.42161638601205897</v>
      </c>
      <c r="F45" s="8">
        <v>254</v>
      </c>
      <c r="G45" s="14">
        <v>0.28312456741434</v>
      </c>
      <c r="H45" s="8">
        <v>254</v>
      </c>
      <c r="I45" s="14">
        <v>0.483845736741843</v>
      </c>
      <c r="J45" s="8">
        <v>123</v>
      </c>
      <c r="K45" s="14">
        <v>0.483845736741843</v>
      </c>
      <c r="L45" s="8">
        <v>123</v>
      </c>
      <c r="M45" s="14">
        <v>0.38026123092139202</v>
      </c>
      <c r="N45" s="8">
        <v>123</v>
      </c>
      <c r="O45" s="14">
        <v>0.36772232521056603</v>
      </c>
      <c r="P45" s="8">
        <v>131</v>
      </c>
      <c r="Q45" s="14">
        <v>0.36772232521056603</v>
      </c>
      <c r="R45" s="8">
        <v>131</v>
      </c>
      <c r="S45" s="14">
        <v>0.19899884237125801</v>
      </c>
      <c r="T45" s="10">
        <v>131</v>
      </c>
    </row>
    <row r="46" spans="1:20" outlineLevel="1" x14ac:dyDescent="0.25">
      <c r="A46" s="7" t="s">
        <v>14</v>
      </c>
      <c r="B46" s="9" t="s">
        <v>54</v>
      </c>
      <c r="C46" s="15">
        <v>0.49772513711608501</v>
      </c>
      <c r="D46" s="9">
        <v>811</v>
      </c>
      <c r="E46" s="15">
        <v>0.49772513711608501</v>
      </c>
      <c r="F46" s="9">
        <v>811</v>
      </c>
      <c r="G46" s="15">
        <v>0.36165099880184598</v>
      </c>
      <c r="H46" s="9">
        <v>811</v>
      </c>
      <c r="I46" s="15">
        <v>0.401669991225932</v>
      </c>
      <c r="J46" s="9">
        <v>386</v>
      </c>
      <c r="K46" s="15">
        <v>0.401669991225932</v>
      </c>
      <c r="L46" s="9">
        <v>386</v>
      </c>
      <c r="M46" s="15">
        <v>0.29918970817424401</v>
      </c>
      <c r="N46" s="9">
        <v>386</v>
      </c>
      <c r="O46" s="15">
        <v>0.58519851776765797</v>
      </c>
      <c r="P46" s="9">
        <v>425</v>
      </c>
      <c r="Q46" s="15">
        <v>0.58519851776765797</v>
      </c>
      <c r="R46" s="9">
        <v>425</v>
      </c>
      <c r="S46" s="15">
        <v>0.41853186864410202</v>
      </c>
      <c r="T46" s="12">
        <v>425</v>
      </c>
    </row>
    <row r="47" spans="1:20" x14ac:dyDescent="0.25">
      <c r="C47" s="16"/>
      <c r="E47" s="16"/>
      <c r="G47" s="16"/>
      <c r="I47" s="16"/>
      <c r="K47" s="16"/>
      <c r="M47" s="16"/>
      <c r="O47" s="16"/>
      <c r="Q47" s="16"/>
      <c r="S47" s="16"/>
    </row>
    <row r="48" spans="1:20" x14ac:dyDescent="0.25">
      <c r="A48" s="19" t="s">
        <v>55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  <c r="O48" s="20"/>
      <c r="P48" s="19"/>
      <c r="Q48" s="20"/>
      <c r="R48" s="19"/>
      <c r="S48" s="20"/>
      <c r="T48" s="19"/>
    </row>
    <row r="49" spans="1:20" outlineLevel="1" x14ac:dyDescent="0.25">
      <c r="A49" s="5" t="s">
        <v>14</v>
      </c>
      <c r="B49" s="8" t="s">
        <v>56</v>
      </c>
      <c r="C49" s="14">
        <v>0.35269437329757303</v>
      </c>
      <c r="D49" s="8">
        <v>150</v>
      </c>
      <c r="E49" s="14">
        <v>0.35269437329757303</v>
      </c>
      <c r="F49" s="8">
        <v>150</v>
      </c>
      <c r="G49" s="14">
        <v>0.29999263428786099</v>
      </c>
      <c r="H49" s="8">
        <v>150</v>
      </c>
      <c r="I49" s="14">
        <v>0.27872144156866202</v>
      </c>
      <c r="J49" s="8">
        <v>80</v>
      </c>
      <c r="K49" s="14">
        <v>0.27872144156866202</v>
      </c>
      <c r="L49" s="8">
        <v>80</v>
      </c>
      <c r="M49" s="14">
        <v>0.24162665611832401</v>
      </c>
      <c r="N49" s="8">
        <v>80</v>
      </c>
      <c r="O49" s="14">
        <v>0.453993855899122</v>
      </c>
      <c r="P49" s="8">
        <v>70</v>
      </c>
      <c r="Q49" s="14">
        <v>0.453993855899122</v>
      </c>
      <c r="R49" s="8">
        <v>70</v>
      </c>
      <c r="S49" s="14">
        <v>0.37991975427513902</v>
      </c>
      <c r="T49" s="10">
        <v>70</v>
      </c>
    </row>
    <row r="50" spans="1:20" outlineLevel="1" x14ac:dyDescent="0.25">
      <c r="A50" s="6" t="s">
        <v>14</v>
      </c>
      <c r="B50" t="s">
        <v>57</v>
      </c>
      <c r="C50" s="16">
        <v>0.53843980615491704</v>
      </c>
      <c r="D50">
        <v>668</v>
      </c>
      <c r="E50" s="16">
        <v>0.53843980615491704</v>
      </c>
      <c r="F50">
        <v>668</v>
      </c>
      <c r="G50" s="16">
        <v>0.38708173345076202</v>
      </c>
      <c r="H50">
        <v>668</v>
      </c>
      <c r="I50" s="16">
        <v>0.52571741910693603</v>
      </c>
      <c r="J50">
        <v>322</v>
      </c>
      <c r="K50" s="16">
        <v>0.52571741910693603</v>
      </c>
      <c r="L50">
        <v>322</v>
      </c>
      <c r="M50" s="16">
        <v>0.38994537002262802</v>
      </c>
      <c r="N50">
        <v>322</v>
      </c>
      <c r="O50" s="16">
        <v>0.54900953206137804</v>
      </c>
      <c r="P50">
        <v>346</v>
      </c>
      <c r="Q50" s="16">
        <v>0.54900953206137804</v>
      </c>
      <c r="R50">
        <v>346</v>
      </c>
      <c r="S50" s="16">
        <v>0.38470263167165603</v>
      </c>
      <c r="T50" s="11">
        <v>346</v>
      </c>
    </row>
    <row r="51" spans="1:20" outlineLevel="1" x14ac:dyDescent="0.25">
      <c r="A51" s="7" t="s">
        <v>14</v>
      </c>
      <c r="B51" s="9" t="s">
        <v>58</v>
      </c>
      <c r="C51" s="15">
        <v>0.50444643249723498</v>
      </c>
      <c r="D51" s="9">
        <v>247</v>
      </c>
      <c r="E51" s="15">
        <v>0.50444643249723498</v>
      </c>
      <c r="F51" s="9">
        <v>247</v>
      </c>
      <c r="G51" s="15">
        <v>0.32728491694352402</v>
      </c>
      <c r="H51" s="9">
        <v>247</v>
      </c>
      <c r="I51" s="15">
        <v>0.42297731100082397</v>
      </c>
      <c r="J51" s="9">
        <v>107</v>
      </c>
      <c r="K51" s="15">
        <v>0.42297731100082397</v>
      </c>
      <c r="L51" s="9">
        <v>107</v>
      </c>
      <c r="M51" s="15">
        <v>0.29889612887013001</v>
      </c>
      <c r="N51" s="9">
        <v>107</v>
      </c>
      <c r="O51" s="15">
        <v>0.564798527787988</v>
      </c>
      <c r="P51" s="9">
        <v>140</v>
      </c>
      <c r="Q51" s="15">
        <v>0.564798527787988</v>
      </c>
      <c r="R51" s="9">
        <v>140</v>
      </c>
      <c r="S51" s="15">
        <v>0.34831525103237199</v>
      </c>
      <c r="T51" s="12">
        <v>140</v>
      </c>
    </row>
    <row r="52" spans="1:20" x14ac:dyDescent="0.25">
      <c r="C52" s="16"/>
      <c r="E52" s="16"/>
      <c r="G52" s="16"/>
      <c r="I52" s="16"/>
      <c r="K52" s="16"/>
      <c r="M52" s="16"/>
      <c r="O52" s="16"/>
      <c r="Q52" s="16"/>
      <c r="S52" s="16"/>
    </row>
    <row r="53" spans="1:20" x14ac:dyDescent="0.25">
      <c r="A53" s="19" t="s">
        <v>59</v>
      </c>
      <c r="B53" s="19"/>
      <c r="C53" s="20"/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  <c r="O53" s="20"/>
      <c r="P53" s="19"/>
      <c r="Q53" s="20"/>
      <c r="R53" s="19"/>
      <c r="S53" s="20"/>
      <c r="T53" s="19"/>
    </row>
    <row r="54" spans="1:20" outlineLevel="1" x14ac:dyDescent="0.25">
      <c r="A54" s="5" t="s">
        <v>14</v>
      </c>
      <c r="B54" s="8" t="s">
        <v>60</v>
      </c>
      <c r="C54" s="14">
        <v>0.46609070507654099</v>
      </c>
      <c r="D54" s="8">
        <v>403</v>
      </c>
      <c r="E54" s="14">
        <v>0.46609070507654099</v>
      </c>
      <c r="F54" s="8">
        <v>403</v>
      </c>
      <c r="G54" s="14">
        <v>0.341474747881159</v>
      </c>
      <c r="H54" s="8">
        <v>403</v>
      </c>
      <c r="I54" s="14">
        <v>0.40902077069410397</v>
      </c>
      <c r="J54" s="8">
        <v>193</v>
      </c>
      <c r="K54" s="14">
        <v>0.40902077069410397</v>
      </c>
      <c r="L54" s="8">
        <v>193</v>
      </c>
      <c r="M54" s="14">
        <v>0.31448563828435</v>
      </c>
      <c r="N54" s="8">
        <v>193</v>
      </c>
      <c r="O54" s="14">
        <v>0.52383815506273801</v>
      </c>
      <c r="P54" s="8">
        <v>210</v>
      </c>
      <c r="Q54" s="14">
        <v>0.52383815506273801</v>
      </c>
      <c r="R54" s="8">
        <v>210</v>
      </c>
      <c r="S54" s="14">
        <v>0.368784263363857</v>
      </c>
      <c r="T54" s="10">
        <v>210</v>
      </c>
    </row>
    <row r="55" spans="1:20" outlineLevel="1" x14ac:dyDescent="0.25">
      <c r="A55" s="6" t="s">
        <v>14</v>
      </c>
      <c r="B55" t="s">
        <v>61</v>
      </c>
      <c r="C55" s="16">
        <v>0.73724449936922198</v>
      </c>
      <c r="D55">
        <v>5</v>
      </c>
      <c r="E55" s="16">
        <v>0.73724449936922198</v>
      </c>
      <c r="F55">
        <v>5</v>
      </c>
      <c r="G55" s="16">
        <v>0.65433607391635196</v>
      </c>
      <c r="H55">
        <v>5</v>
      </c>
      <c r="I55" s="16"/>
      <c r="K55" s="16"/>
      <c r="M55" s="16"/>
      <c r="O55" s="16">
        <v>0.73724449936922198</v>
      </c>
      <c r="P55">
        <v>5</v>
      </c>
      <c r="Q55" s="16">
        <v>0.73724449936922198</v>
      </c>
      <c r="R55">
        <v>5</v>
      </c>
      <c r="S55" s="16">
        <v>0.65433607391635196</v>
      </c>
      <c r="T55" s="11">
        <v>5</v>
      </c>
    </row>
    <row r="56" spans="1:20" outlineLevel="1" x14ac:dyDescent="0.25">
      <c r="A56" s="6" t="s">
        <v>14</v>
      </c>
      <c r="B56" t="s">
        <v>62</v>
      </c>
      <c r="C56" s="16">
        <v>0.41427081272795901</v>
      </c>
      <c r="D56">
        <v>5</v>
      </c>
      <c r="E56" s="16">
        <v>0.41427081272795901</v>
      </c>
      <c r="F56">
        <v>5</v>
      </c>
      <c r="G56" s="16">
        <v>0.41427081272795901</v>
      </c>
      <c r="H56">
        <v>5</v>
      </c>
      <c r="I56" s="16">
        <v>0.45554413793495202</v>
      </c>
      <c r="J56">
        <v>3</v>
      </c>
      <c r="K56" s="16">
        <v>0.45554413793495202</v>
      </c>
      <c r="L56">
        <v>3</v>
      </c>
      <c r="M56" s="16">
        <v>0.45554413793495202</v>
      </c>
      <c r="N56">
        <v>3</v>
      </c>
      <c r="O56" s="16">
        <v>0.30421139554087501</v>
      </c>
      <c r="P56">
        <v>2</v>
      </c>
      <c r="Q56" s="16">
        <v>0.30421139554087501</v>
      </c>
      <c r="R56">
        <v>2</v>
      </c>
      <c r="S56" s="16">
        <v>0.30421139554087501</v>
      </c>
      <c r="T56" s="11">
        <v>2</v>
      </c>
    </row>
    <row r="57" spans="1:20" outlineLevel="1" x14ac:dyDescent="0.25">
      <c r="A57" s="6" t="s">
        <v>14</v>
      </c>
      <c r="B57" t="s">
        <v>63</v>
      </c>
      <c r="C57" s="16">
        <v>7.0191870937425904E-2</v>
      </c>
      <c r="D57">
        <v>2</v>
      </c>
      <c r="E57" s="16">
        <v>7.0191870937425904E-2</v>
      </c>
      <c r="F57">
        <v>2</v>
      </c>
      <c r="G57" s="16"/>
      <c r="I57" s="16"/>
      <c r="K57" s="16"/>
      <c r="M57" s="16"/>
      <c r="O57" s="16">
        <v>1</v>
      </c>
      <c r="P57">
        <v>1</v>
      </c>
      <c r="Q57" s="16">
        <v>1</v>
      </c>
      <c r="R57">
        <v>1</v>
      </c>
      <c r="S57" s="16"/>
      <c r="T57" s="11"/>
    </row>
    <row r="58" spans="1:20" outlineLevel="1" x14ac:dyDescent="0.25">
      <c r="A58" s="6" t="s">
        <v>14</v>
      </c>
      <c r="B58" t="s">
        <v>64</v>
      </c>
      <c r="C58" s="16"/>
      <c r="E58" s="16"/>
      <c r="G58" s="16"/>
      <c r="I58" s="16">
        <v>0.43372869489508997</v>
      </c>
      <c r="J58">
        <v>312</v>
      </c>
      <c r="K58" s="16">
        <v>0.43372869489508997</v>
      </c>
      <c r="L58">
        <v>312</v>
      </c>
      <c r="M58" s="16">
        <v>0.31975278320580403</v>
      </c>
      <c r="N58">
        <v>312</v>
      </c>
      <c r="O58" s="16">
        <v>0.54449817053488803</v>
      </c>
      <c r="P58">
        <v>338</v>
      </c>
      <c r="Q58" s="16">
        <v>0.54449817053488803</v>
      </c>
      <c r="R58">
        <v>338</v>
      </c>
      <c r="S58" s="16">
        <v>0.36445094974086101</v>
      </c>
      <c r="T58" s="11">
        <v>338</v>
      </c>
    </row>
    <row r="59" spans="1:20" outlineLevel="1" x14ac:dyDescent="0.25">
      <c r="A59" s="7" t="s">
        <v>14</v>
      </c>
      <c r="B59" s="9" t="s">
        <v>14</v>
      </c>
      <c r="C59" s="15">
        <v>0.495006646660823</v>
      </c>
      <c r="D59" s="9">
        <v>650</v>
      </c>
      <c r="E59" s="15">
        <v>0.495006646660823</v>
      </c>
      <c r="F59" s="9">
        <v>650</v>
      </c>
      <c r="G59" s="15">
        <v>0.34447992104889202</v>
      </c>
      <c r="H59" s="9">
        <v>650</v>
      </c>
      <c r="I59" s="15"/>
      <c r="J59" s="9"/>
      <c r="K59" s="15"/>
      <c r="L59" s="9"/>
      <c r="M59" s="15"/>
      <c r="N59" s="9"/>
      <c r="O59" s="15"/>
      <c r="P59" s="9"/>
      <c r="Q59" s="15"/>
      <c r="R59" s="9"/>
      <c r="S59" s="15"/>
      <c r="T59" s="12"/>
    </row>
    <row r="60" spans="1:20" x14ac:dyDescent="0.25">
      <c r="C60" s="16"/>
      <c r="E60" s="16"/>
      <c r="G60" s="16"/>
      <c r="I60" s="16"/>
      <c r="K60" s="16"/>
      <c r="M60" s="16"/>
      <c r="O60" s="16"/>
      <c r="Q60" s="16"/>
      <c r="S60" s="16"/>
    </row>
    <row r="61" spans="1:20" x14ac:dyDescent="0.25">
      <c r="A61" s="19" t="s">
        <v>65</v>
      </c>
      <c r="B61" s="19"/>
      <c r="C61" s="20"/>
      <c r="D61" s="19"/>
      <c r="E61" s="20"/>
      <c r="F61" s="19"/>
      <c r="G61" s="20"/>
      <c r="H61" s="19"/>
      <c r="I61" s="20"/>
      <c r="J61" s="19"/>
      <c r="K61" s="20"/>
      <c r="L61" s="19"/>
      <c r="M61" s="20"/>
      <c r="N61" s="19"/>
      <c r="O61" s="20"/>
      <c r="P61" s="19"/>
      <c r="Q61" s="20"/>
      <c r="R61" s="19"/>
      <c r="S61" s="20"/>
      <c r="T61" s="19"/>
    </row>
    <row r="62" spans="1:20" outlineLevel="1" x14ac:dyDescent="0.25">
      <c r="A62" s="5" t="s">
        <v>14</v>
      </c>
      <c r="B62" s="8" t="s">
        <v>66</v>
      </c>
      <c r="C62" s="14">
        <v>0.48893091613901601</v>
      </c>
      <c r="D62" s="8">
        <v>1047</v>
      </c>
      <c r="E62" s="14">
        <v>0.48893091613901601</v>
      </c>
      <c r="F62" s="8">
        <v>1047</v>
      </c>
      <c r="G62" s="14">
        <v>0.351102642007942</v>
      </c>
      <c r="H62" s="8">
        <v>1047</v>
      </c>
      <c r="I62" s="14">
        <v>0.43163868184624199</v>
      </c>
      <c r="J62" s="8">
        <v>499</v>
      </c>
      <c r="K62" s="14">
        <v>0.43163868184624199</v>
      </c>
      <c r="L62" s="8">
        <v>499</v>
      </c>
      <c r="M62" s="14">
        <v>0.32906484422567001</v>
      </c>
      <c r="N62" s="8">
        <v>499</v>
      </c>
      <c r="O62" s="14">
        <v>0.53871609425261502</v>
      </c>
      <c r="P62" s="8">
        <v>548</v>
      </c>
      <c r="Q62" s="14">
        <v>0.53871609425261502</v>
      </c>
      <c r="R62" s="8">
        <v>548</v>
      </c>
      <c r="S62" s="14">
        <v>0.37025280609851002</v>
      </c>
      <c r="T62" s="10">
        <v>548</v>
      </c>
    </row>
    <row r="63" spans="1:20" outlineLevel="1" x14ac:dyDescent="0.25">
      <c r="A63" s="7" t="s">
        <v>14</v>
      </c>
      <c r="B63" s="9" t="s">
        <v>67</v>
      </c>
      <c r="C63" s="15">
        <v>0.16696376761449799</v>
      </c>
      <c r="D63" s="9">
        <v>18</v>
      </c>
      <c r="E63" s="15">
        <v>0.16696376761449799</v>
      </c>
      <c r="F63" s="9">
        <v>18</v>
      </c>
      <c r="G63" s="15">
        <v>7.9101239095920803E-2</v>
      </c>
      <c r="H63" s="9">
        <v>18</v>
      </c>
      <c r="I63" s="15">
        <v>0.144205781814566</v>
      </c>
      <c r="J63" s="9">
        <v>10</v>
      </c>
      <c r="K63" s="15">
        <v>0.144205781814566</v>
      </c>
      <c r="L63" s="9">
        <v>10</v>
      </c>
      <c r="M63" s="15">
        <v>3.8286130920435597E-2</v>
      </c>
      <c r="N63" s="9">
        <v>10</v>
      </c>
      <c r="O63" s="15">
        <v>0.27769980488470097</v>
      </c>
      <c r="P63" s="9">
        <v>8</v>
      </c>
      <c r="Q63" s="15">
        <v>0.27769980488470097</v>
      </c>
      <c r="R63" s="9">
        <v>8</v>
      </c>
      <c r="S63" s="15">
        <v>0.27769980488470097</v>
      </c>
      <c r="T63" s="12">
        <v>8</v>
      </c>
    </row>
    <row r="64" spans="1:20" x14ac:dyDescent="0.25">
      <c r="C64" s="16"/>
      <c r="E64" s="16"/>
      <c r="G64" s="16"/>
      <c r="I64" s="16"/>
      <c r="K64" s="16"/>
      <c r="M64" s="16"/>
      <c r="O64" s="16"/>
      <c r="Q64" s="16"/>
      <c r="S64" s="16"/>
    </row>
    <row r="65" spans="1:20" x14ac:dyDescent="0.25">
      <c r="A65" s="19" t="s">
        <v>68</v>
      </c>
      <c r="B65" s="19"/>
      <c r="C65" s="20"/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  <c r="O65" s="20"/>
      <c r="P65" s="19"/>
      <c r="Q65" s="20"/>
      <c r="R65" s="19"/>
      <c r="S65" s="20"/>
      <c r="T65" s="19"/>
    </row>
    <row r="66" spans="1:20" outlineLevel="1" x14ac:dyDescent="0.25">
      <c r="A66" s="5" t="s">
        <v>14</v>
      </c>
      <c r="B66" s="8" t="s">
        <v>66</v>
      </c>
      <c r="C66" s="14">
        <v>0.487596992682651</v>
      </c>
      <c r="D66" s="8">
        <v>1026</v>
      </c>
      <c r="E66" s="14">
        <v>0.487596992682651</v>
      </c>
      <c r="F66" s="8">
        <v>1026</v>
      </c>
      <c r="G66" s="14">
        <v>0.35344964794598499</v>
      </c>
      <c r="H66" s="8">
        <v>1026</v>
      </c>
      <c r="I66" s="14">
        <v>0.42856398702350701</v>
      </c>
      <c r="J66" s="8">
        <v>490</v>
      </c>
      <c r="K66" s="14">
        <v>0.42856398702350701</v>
      </c>
      <c r="L66" s="8">
        <v>490</v>
      </c>
      <c r="M66" s="14">
        <v>0.331509566830542</v>
      </c>
      <c r="N66" s="8">
        <v>490</v>
      </c>
      <c r="O66" s="14">
        <v>0.53881771657234101</v>
      </c>
      <c r="P66" s="8">
        <v>536</v>
      </c>
      <c r="Q66" s="14">
        <v>0.53881771657234101</v>
      </c>
      <c r="R66" s="8">
        <v>536</v>
      </c>
      <c r="S66" s="14">
        <v>0.37248623306279599</v>
      </c>
      <c r="T66" s="10">
        <v>536</v>
      </c>
    </row>
    <row r="67" spans="1:20" outlineLevel="1" x14ac:dyDescent="0.25">
      <c r="A67" s="7" t="s">
        <v>14</v>
      </c>
      <c r="B67" s="9" t="s">
        <v>67</v>
      </c>
      <c r="C67" s="15">
        <v>0.31622998039718597</v>
      </c>
      <c r="D67" s="9">
        <v>39</v>
      </c>
      <c r="E67" s="15">
        <v>0.31622998039718597</v>
      </c>
      <c r="F67" s="9">
        <v>39</v>
      </c>
      <c r="G67" s="15">
        <v>0.11785124117993</v>
      </c>
      <c r="H67" s="9">
        <v>39</v>
      </c>
      <c r="I67" s="15">
        <v>0.26662157264009601</v>
      </c>
      <c r="J67" s="9">
        <v>19</v>
      </c>
      <c r="K67" s="15">
        <v>0.26662157264009601</v>
      </c>
      <c r="L67" s="9">
        <v>19</v>
      </c>
      <c r="M67" s="15">
        <v>7.04548749371431E-2</v>
      </c>
      <c r="N67" s="9">
        <v>19</v>
      </c>
      <c r="O67" s="15">
        <v>0.43645137853803201</v>
      </c>
      <c r="P67" s="9">
        <v>20</v>
      </c>
      <c r="Q67" s="15">
        <v>0.43645137853803201</v>
      </c>
      <c r="R67" s="9">
        <v>20</v>
      </c>
      <c r="S67" s="15">
        <v>0.23271196084672799</v>
      </c>
      <c r="T67" s="12">
        <v>20</v>
      </c>
    </row>
    <row r="68" spans="1:20" x14ac:dyDescent="0.25">
      <c r="C68" s="16"/>
      <c r="E68" s="16"/>
      <c r="G68" s="16"/>
      <c r="I68" s="16"/>
      <c r="K68" s="16"/>
      <c r="M68" s="16"/>
      <c r="O68" s="16"/>
      <c r="Q68" s="16"/>
      <c r="S68" s="16"/>
    </row>
    <row r="69" spans="1:20" x14ac:dyDescent="0.25">
      <c r="C69" s="16"/>
      <c r="E69" s="16"/>
      <c r="G69" s="16"/>
      <c r="I69" s="16"/>
      <c r="K69" s="16"/>
      <c r="M69" s="16"/>
      <c r="O69" s="16"/>
      <c r="Q69" s="16"/>
      <c r="S69" s="16"/>
    </row>
  </sheetData>
  <mergeCells count="25">
    <mergeCell ref="A61:T61"/>
    <mergeCell ref="A65:T65"/>
    <mergeCell ref="A16:T16"/>
    <mergeCell ref="A39:T39"/>
    <mergeCell ref="A44:T44"/>
    <mergeCell ref="A48:T48"/>
    <mergeCell ref="A53:T53"/>
    <mergeCell ref="Q4:R4"/>
    <mergeCell ref="S4:T4"/>
    <mergeCell ref="O4:P4"/>
    <mergeCell ref="A6:T6"/>
    <mergeCell ref="A9:T9"/>
    <mergeCell ref="E4:F4"/>
    <mergeCell ref="G4:H4"/>
    <mergeCell ref="C4:D4"/>
    <mergeCell ref="K4:L4"/>
    <mergeCell ref="M4:N4"/>
    <mergeCell ref="I4:J4"/>
    <mergeCell ref="A1:T1"/>
    <mergeCell ref="C2:H2"/>
    <mergeCell ref="I2:N2"/>
    <mergeCell ref="O2:T2"/>
    <mergeCell ref="E3:H3"/>
    <mergeCell ref="K3:N3"/>
    <mergeCell ref="Q3:T3"/>
  </mergeCell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69"/>
  <sheetViews>
    <sheetView showGridLines="0" workbookViewId="0">
      <selection sqref="A1:N1"/>
    </sheetView>
  </sheetViews>
  <sheetFormatPr defaultColWidth="11.42578125" defaultRowHeight="15" outlineLevelRow="1" x14ac:dyDescent="0.25"/>
  <sheetData>
    <row r="1" spans="1:14" x14ac:dyDescent="0.25">
      <c r="A1" s="18" t="s">
        <v>86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x14ac:dyDescent="0.25">
      <c r="C2" s="19" t="s">
        <v>2</v>
      </c>
      <c r="D2" s="19"/>
      <c r="E2" s="19"/>
      <c r="F2" s="19"/>
      <c r="G2" s="19" t="s">
        <v>3</v>
      </c>
      <c r="H2" s="19"/>
      <c r="I2" s="19"/>
      <c r="J2" s="19"/>
      <c r="K2" s="19" t="s">
        <v>4</v>
      </c>
      <c r="L2" s="19"/>
      <c r="M2" s="19"/>
      <c r="N2" s="19"/>
    </row>
    <row r="3" spans="1:14" x14ac:dyDescent="0.25">
      <c r="E3" s="19" t="s">
        <v>83</v>
      </c>
      <c r="F3" s="19"/>
      <c r="I3" s="19" t="s">
        <v>83</v>
      </c>
      <c r="J3" s="19"/>
      <c r="M3" s="19" t="s">
        <v>83</v>
      </c>
      <c r="N3" s="19"/>
    </row>
    <row r="4" spans="1:14" x14ac:dyDescent="0.25">
      <c r="C4" s="19" t="s">
        <v>9</v>
      </c>
      <c r="D4" s="19"/>
      <c r="E4" s="19" t="s">
        <v>87</v>
      </c>
      <c r="F4" s="19"/>
      <c r="G4" s="19" t="s">
        <v>9</v>
      </c>
      <c r="H4" s="19"/>
      <c r="I4" s="19" t="s">
        <v>87</v>
      </c>
      <c r="J4" s="19"/>
      <c r="K4" s="19" t="s">
        <v>9</v>
      </c>
      <c r="L4" s="19"/>
      <c r="M4" s="19" t="s">
        <v>87</v>
      </c>
      <c r="N4" s="19"/>
    </row>
    <row r="5" spans="1:14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</row>
    <row r="6" spans="1:14" x14ac:dyDescent="0.25">
      <c r="A6" s="19" t="s">
        <v>15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</row>
    <row r="7" spans="1:14" outlineLevel="1" x14ac:dyDescent="0.25">
      <c r="A7" s="2" t="s">
        <v>14</v>
      </c>
      <c r="B7" s="3" t="s">
        <v>17</v>
      </c>
      <c r="C7" s="13">
        <v>0.83121360151980594</v>
      </c>
      <c r="D7" s="3">
        <v>6423</v>
      </c>
      <c r="E7" s="13">
        <v>0.82564872489906804</v>
      </c>
      <c r="F7" s="3">
        <v>6423</v>
      </c>
      <c r="G7" s="13">
        <v>0.82471948741175805</v>
      </c>
      <c r="H7" s="3">
        <v>3144</v>
      </c>
      <c r="I7" s="13">
        <v>0.82060627558621702</v>
      </c>
      <c r="J7" s="3">
        <v>3144</v>
      </c>
      <c r="K7" s="13">
        <v>0.83686938812332501</v>
      </c>
      <c r="L7" s="3">
        <v>3279</v>
      </c>
      <c r="M7" s="13">
        <v>0.83004024263313503</v>
      </c>
      <c r="N7" s="4">
        <v>3279</v>
      </c>
    </row>
    <row r="8" spans="1:14" x14ac:dyDescent="0.25">
      <c r="C8" s="16"/>
      <c r="E8" s="16"/>
      <c r="G8" s="16"/>
      <c r="I8" s="16"/>
      <c r="K8" s="16"/>
      <c r="M8" s="16"/>
    </row>
    <row r="9" spans="1:14" x14ac:dyDescent="0.25">
      <c r="A9" s="19" t="s">
        <v>20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</row>
    <row r="10" spans="1:14" outlineLevel="1" x14ac:dyDescent="0.25">
      <c r="A10" s="5" t="s">
        <v>14</v>
      </c>
      <c r="B10" s="8" t="s">
        <v>21</v>
      </c>
      <c r="C10" s="14">
        <v>0.85832275710037298</v>
      </c>
      <c r="D10" s="8">
        <v>1669</v>
      </c>
      <c r="E10" s="14">
        <v>0.85768121493995197</v>
      </c>
      <c r="F10" s="8">
        <v>1669</v>
      </c>
      <c r="G10" s="14">
        <v>0.84483381152574899</v>
      </c>
      <c r="H10" s="8">
        <v>796</v>
      </c>
      <c r="I10" s="14">
        <v>0.84483381152574899</v>
      </c>
      <c r="J10" s="8">
        <v>796</v>
      </c>
      <c r="K10" s="14">
        <v>0.87030063945417901</v>
      </c>
      <c r="L10" s="8">
        <v>873</v>
      </c>
      <c r="M10" s="14">
        <v>0.86908942218609198</v>
      </c>
      <c r="N10" s="10">
        <v>873</v>
      </c>
    </row>
    <row r="11" spans="1:14" outlineLevel="1" x14ac:dyDescent="0.25">
      <c r="A11" s="6" t="s">
        <v>14</v>
      </c>
      <c r="B11" t="s">
        <v>22</v>
      </c>
      <c r="C11" s="16">
        <v>0.89349449513440005</v>
      </c>
      <c r="D11">
        <v>1456</v>
      </c>
      <c r="E11" s="16">
        <v>0.88456724185086599</v>
      </c>
      <c r="F11">
        <v>1456</v>
      </c>
      <c r="G11" s="16">
        <v>0.89616964494502904</v>
      </c>
      <c r="H11">
        <v>714</v>
      </c>
      <c r="I11" s="16">
        <v>0.890688117586103</v>
      </c>
      <c r="J11">
        <v>714</v>
      </c>
      <c r="K11" s="16">
        <v>0.89136007378775495</v>
      </c>
      <c r="L11">
        <v>742</v>
      </c>
      <c r="M11" s="16">
        <v>0.87968357971817401</v>
      </c>
      <c r="N11" s="11">
        <v>742</v>
      </c>
    </row>
    <row r="12" spans="1:14" outlineLevel="1" x14ac:dyDescent="0.25">
      <c r="A12" s="6" t="s">
        <v>14</v>
      </c>
      <c r="B12" t="s">
        <v>23</v>
      </c>
      <c r="C12" s="16">
        <v>0.75603278329335599</v>
      </c>
      <c r="D12">
        <v>1370</v>
      </c>
      <c r="E12" s="16">
        <v>0.74643187125570098</v>
      </c>
      <c r="F12">
        <v>1370</v>
      </c>
      <c r="G12" s="16">
        <v>0.75970654411423</v>
      </c>
      <c r="H12">
        <v>676</v>
      </c>
      <c r="I12" s="16">
        <v>0.74978671141490605</v>
      </c>
      <c r="J12">
        <v>676</v>
      </c>
      <c r="K12" s="16">
        <v>0.75254931879739695</v>
      </c>
      <c r="L12">
        <v>694</v>
      </c>
      <c r="M12" s="16">
        <v>0.74325080772053298</v>
      </c>
      <c r="N12" s="11">
        <v>694</v>
      </c>
    </row>
    <row r="13" spans="1:14" outlineLevel="1" x14ac:dyDescent="0.25">
      <c r="A13" s="6" t="s">
        <v>14</v>
      </c>
      <c r="B13" t="s">
        <v>24</v>
      </c>
      <c r="C13" s="16">
        <v>0.64164039449907195</v>
      </c>
      <c r="D13">
        <v>874</v>
      </c>
      <c r="E13" s="16">
        <v>0.64164039449907195</v>
      </c>
      <c r="F13">
        <v>874</v>
      </c>
      <c r="G13" s="16">
        <v>0.62521575441385602</v>
      </c>
      <c r="H13">
        <v>452</v>
      </c>
      <c r="I13" s="16">
        <v>0.62521575441385602</v>
      </c>
      <c r="J13">
        <v>452</v>
      </c>
      <c r="K13" s="16">
        <v>0.65892848900133905</v>
      </c>
      <c r="L13">
        <v>422</v>
      </c>
      <c r="M13" s="16">
        <v>0.65892848900133905</v>
      </c>
      <c r="N13" s="11">
        <v>422</v>
      </c>
    </row>
    <row r="14" spans="1:14" outlineLevel="1" x14ac:dyDescent="0.25">
      <c r="A14" s="7" t="s">
        <v>14</v>
      </c>
      <c r="B14" s="9" t="s">
        <v>25</v>
      </c>
      <c r="C14" s="15">
        <v>0.770880283241687</v>
      </c>
      <c r="D14" s="9">
        <v>1054</v>
      </c>
      <c r="E14" s="15">
        <v>0.76886323921099897</v>
      </c>
      <c r="F14" s="9">
        <v>1054</v>
      </c>
      <c r="G14" s="15">
        <v>0.76713440322028403</v>
      </c>
      <c r="H14" s="9">
        <v>506</v>
      </c>
      <c r="I14" s="15">
        <v>0.76446858324395695</v>
      </c>
      <c r="J14" s="9">
        <v>506</v>
      </c>
      <c r="K14" s="15">
        <v>0.77425032635911095</v>
      </c>
      <c r="L14" s="9">
        <v>548</v>
      </c>
      <c r="M14" s="15">
        <v>0.77281696437319403</v>
      </c>
      <c r="N14" s="12">
        <v>548</v>
      </c>
    </row>
    <row r="15" spans="1:14" x14ac:dyDescent="0.25">
      <c r="C15" s="16"/>
      <c r="E15" s="16"/>
      <c r="G15" s="16"/>
      <c r="I15" s="16"/>
      <c r="K15" s="16"/>
      <c r="M15" s="16"/>
    </row>
    <row r="16" spans="1:14" x14ac:dyDescent="0.25">
      <c r="A16" s="19" t="s">
        <v>26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</row>
    <row r="17" spans="1:14" outlineLevel="1" x14ac:dyDescent="0.25">
      <c r="A17" s="5" t="s">
        <v>14</v>
      </c>
      <c r="B17" s="8" t="s">
        <v>27</v>
      </c>
      <c r="C17" s="14">
        <v>0.78150614316558598</v>
      </c>
      <c r="D17" s="8">
        <v>169</v>
      </c>
      <c r="E17" s="14">
        <v>0.78150614316558598</v>
      </c>
      <c r="F17" s="8">
        <v>169</v>
      </c>
      <c r="G17" s="14">
        <v>0.73050979211455402</v>
      </c>
      <c r="H17" s="8">
        <v>79</v>
      </c>
      <c r="I17" s="14">
        <v>0.73050979211455402</v>
      </c>
      <c r="J17" s="8">
        <v>79</v>
      </c>
      <c r="K17" s="14">
        <v>0.82912454963438598</v>
      </c>
      <c r="L17" s="8">
        <v>90</v>
      </c>
      <c r="M17" s="14">
        <v>0.82912454963438598</v>
      </c>
      <c r="N17" s="10">
        <v>90</v>
      </c>
    </row>
    <row r="18" spans="1:14" outlineLevel="1" x14ac:dyDescent="0.25">
      <c r="A18" s="6" t="s">
        <v>14</v>
      </c>
      <c r="B18" t="s">
        <v>28</v>
      </c>
      <c r="C18" s="16">
        <v>0.89175728363500795</v>
      </c>
      <c r="D18">
        <v>242</v>
      </c>
      <c r="E18" s="16">
        <v>0.89175728363500795</v>
      </c>
      <c r="F18">
        <v>242</v>
      </c>
      <c r="G18" s="16">
        <v>0.92738534061404598</v>
      </c>
      <c r="H18">
        <v>106</v>
      </c>
      <c r="I18" s="16">
        <v>0.92738534061404598</v>
      </c>
      <c r="J18">
        <v>106</v>
      </c>
      <c r="K18" s="16">
        <v>0.86143961493793597</v>
      </c>
      <c r="L18">
        <v>136</v>
      </c>
      <c r="M18" s="16">
        <v>0.86143961493793597</v>
      </c>
      <c r="N18" s="11">
        <v>136</v>
      </c>
    </row>
    <row r="19" spans="1:14" outlineLevel="1" x14ac:dyDescent="0.25">
      <c r="A19" s="6" t="s">
        <v>14</v>
      </c>
      <c r="B19" t="s">
        <v>29</v>
      </c>
      <c r="C19" s="16">
        <v>0.92945342645338702</v>
      </c>
      <c r="D19">
        <v>366</v>
      </c>
      <c r="E19" s="16">
        <v>0.92945342645338702</v>
      </c>
      <c r="F19">
        <v>366</v>
      </c>
      <c r="G19" s="16">
        <v>0.89546013148807002</v>
      </c>
      <c r="H19">
        <v>178</v>
      </c>
      <c r="I19" s="16">
        <v>0.89546013148807002</v>
      </c>
      <c r="J19">
        <v>178</v>
      </c>
      <c r="K19" s="16">
        <v>0.95590473334044501</v>
      </c>
      <c r="L19">
        <v>188</v>
      </c>
      <c r="M19" s="16">
        <v>0.95590473334044501</v>
      </c>
      <c r="N19" s="11">
        <v>188</v>
      </c>
    </row>
    <row r="20" spans="1:14" outlineLevel="1" x14ac:dyDescent="0.25">
      <c r="A20" s="6" t="s">
        <v>14</v>
      </c>
      <c r="B20" t="s">
        <v>30</v>
      </c>
      <c r="C20" s="16">
        <v>0.92451494150963398</v>
      </c>
      <c r="D20">
        <v>211</v>
      </c>
      <c r="E20" s="16">
        <v>0.92451494150963398</v>
      </c>
      <c r="F20">
        <v>211</v>
      </c>
      <c r="G20" s="16">
        <v>0.885877785950131</v>
      </c>
      <c r="H20">
        <v>98</v>
      </c>
      <c r="I20" s="16">
        <v>0.885877785950131</v>
      </c>
      <c r="J20">
        <v>98</v>
      </c>
      <c r="K20" s="16">
        <v>0.95563164400712897</v>
      </c>
      <c r="L20">
        <v>113</v>
      </c>
      <c r="M20" s="16">
        <v>0.95563164400712897</v>
      </c>
      <c r="N20" s="11">
        <v>113</v>
      </c>
    </row>
    <row r="21" spans="1:14" outlineLevel="1" x14ac:dyDescent="0.25">
      <c r="A21" s="6" t="s">
        <v>14</v>
      </c>
      <c r="B21" t="s">
        <v>31</v>
      </c>
      <c r="C21" s="16">
        <v>0.79887517063556701</v>
      </c>
      <c r="D21">
        <v>245</v>
      </c>
      <c r="E21" s="16">
        <v>0.79887517063556701</v>
      </c>
      <c r="F21">
        <v>245</v>
      </c>
      <c r="G21" s="16">
        <v>0.82905453442910804</v>
      </c>
      <c r="H21">
        <v>117</v>
      </c>
      <c r="I21" s="16">
        <v>0.82905453442910804</v>
      </c>
      <c r="J21">
        <v>117</v>
      </c>
      <c r="K21" s="16">
        <v>0.76969746887289503</v>
      </c>
      <c r="L21">
        <v>128</v>
      </c>
      <c r="M21" s="16">
        <v>0.76969746887289503</v>
      </c>
      <c r="N21" s="11">
        <v>128</v>
      </c>
    </row>
    <row r="22" spans="1:14" outlineLevel="1" x14ac:dyDescent="0.25">
      <c r="A22" s="6" t="s">
        <v>14</v>
      </c>
      <c r="B22" t="s">
        <v>32</v>
      </c>
      <c r="C22" s="16">
        <v>0.84565217447930097</v>
      </c>
      <c r="D22">
        <v>267</v>
      </c>
      <c r="E22" s="16">
        <v>0.84565217447930097</v>
      </c>
      <c r="F22">
        <v>267</v>
      </c>
      <c r="G22" s="16">
        <v>0.83183946099514605</v>
      </c>
      <c r="H22">
        <v>132</v>
      </c>
      <c r="I22" s="16">
        <v>0.83183946099514605</v>
      </c>
      <c r="J22">
        <v>132</v>
      </c>
      <c r="K22" s="16">
        <v>0.85864741419426804</v>
      </c>
      <c r="L22">
        <v>135</v>
      </c>
      <c r="M22" s="16">
        <v>0.85864741419426804</v>
      </c>
      <c r="N22" s="11">
        <v>135</v>
      </c>
    </row>
    <row r="23" spans="1:14" outlineLevel="1" x14ac:dyDescent="0.25">
      <c r="A23" s="6" t="s">
        <v>14</v>
      </c>
      <c r="B23" t="s">
        <v>33</v>
      </c>
      <c r="C23" s="16">
        <v>0.80052261364378696</v>
      </c>
      <c r="D23">
        <v>169</v>
      </c>
      <c r="E23" s="16">
        <v>0.791219067183493</v>
      </c>
      <c r="F23">
        <v>169</v>
      </c>
      <c r="G23" s="16">
        <v>0.81738088888023597</v>
      </c>
      <c r="H23">
        <v>86</v>
      </c>
      <c r="I23" s="16">
        <v>0.81738088888023597</v>
      </c>
      <c r="J23">
        <v>86</v>
      </c>
      <c r="K23" s="16">
        <v>0.78221352307354297</v>
      </c>
      <c r="L23">
        <v>83</v>
      </c>
      <c r="M23" s="16">
        <v>0.76280577126739701</v>
      </c>
      <c r="N23" s="11">
        <v>83</v>
      </c>
    </row>
    <row r="24" spans="1:14" outlineLevel="1" x14ac:dyDescent="0.25">
      <c r="A24" s="6" t="s">
        <v>14</v>
      </c>
      <c r="B24" t="s">
        <v>34</v>
      </c>
      <c r="C24" s="16">
        <v>0.87149086943390597</v>
      </c>
      <c r="D24">
        <v>355</v>
      </c>
      <c r="E24" s="16">
        <v>0.86156180918469705</v>
      </c>
      <c r="F24">
        <v>355</v>
      </c>
      <c r="G24" s="16">
        <v>0.87511330800910303</v>
      </c>
      <c r="H24">
        <v>169</v>
      </c>
      <c r="I24" s="16">
        <v>0.86450041700336799</v>
      </c>
      <c r="J24">
        <v>169</v>
      </c>
      <c r="K24" s="16">
        <v>0.86830698904638204</v>
      </c>
      <c r="L24">
        <v>186</v>
      </c>
      <c r="M24" s="16">
        <v>0.858978970136836</v>
      </c>
      <c r="N24" s="11">
        <v>186</v>
      </c>
    </row>
    <row r="25" spans="1:14" outlineLevel="1" x14ac:dyDescent="0.25">
      <c r="A25" s="6" t="s">
        <v>14</v>
      </c>
      <c r="B25" t="s">
        <v>35</v>
      </c>
      <c r="C25" s="16">
        <v>0.89423127232936395</v>
      </c>
      <c r="D25">
        <v>550</v>
      </c>
      <c r="E25" s="16">
        <v>0.88649958513726801</v>
      </c>
      <c r="F25">
        <v>550</v>
      </c>
      <c r="G25" s="16">
        <v>0.89714492791215605</v>
      </c>
      <c r="H25">
        <v>275</v>
      </c>
      <c r="I25" s="16">
        <v>0.89613414785374002</v>
      </c>
      <c r="J25">
        <v>275</v>
      </c>
      <c r="K25" s="16">
        <v>0.89207080297810903</v>
      </c>
      <c r="L25">
        <v>275</v>
      </c>
      <c r="M25" s="16">
        <v>0.879355577594093</v>
      </c>
      <c r="N25" s="11">
        <v>275</v>
      </c>
    </row>
    <row r="26" spans="1:14" outlineLevel="1" x14ac:dyDescent="0.25">
      <c r="A26" s="6" t="s">
        <v>14</v>
      </c>
      <c r="B26" t="s">
        <v>36</v>
      </c>
      <c r="C26" s="16">
        <v>0.94043298304855605</v>
      </c>
      <c r="D26">
        <v>304</v>
      </c>
      <c r="E26" s="16">
        <v>0.92834266821705103</v>
      </c>
      <c r="F26">
        <v>304</v>
      </c>
      <c r="G26" s="16">
        <v>0.93483610384329896</v>
      </c>
      <c r="H26">
        <v>153</v>
      </c>
      <c r="I26" s="16">
        <v>0.92025229803320796</v>
      </c>
      <c r="J26">
        <v>153</v>
      </c>
      <c r="K26" s="16">
        <v>0.945972907095191</v>
      </c>
      <c r="L26">
        <v>151</v>
      </c>
      <c r="M26" s="16">
        <v>0.93635070889185301</v>
      </c>
      <c r="N26" s="11">
        <v>151</v>
      </c>
    </row>
    <row r="27" spans="1:14" outlineLevel="1" x14ac:dyDescent="0.25">
      <c r="A27" s="6" t="s">
        <v>14</v>
      </c>
      <c r="B27" t="s">
        <v>37</v>
      </c>
      <c r="C27" s="16">
        <v>0.91192742073186694</v>
      </c>
      <c r="D27">
        <v>247</v>
      </c>
      <c r="E27" s="16">
        <v>0.89811017373700697</v>
      </c>
      <c r="F27">
        <v>247</v>
      </c>
      <c r="G27" s="16">
        <v>0.91916372948701497</v>
      </c>
      <c r="H27">
        <v>117</v>
      </c>
      <c r="I27" s="16">
        <v>0.90406711954533903</v>
      </c>
      <c r="J27">
        <v>117</v>
      </c>
      <c r="K27" s="16">
        <v>0.90582766749181598</v>
      </c>
      <c r="L27">
        <v>130</v>
      </c>
      <c r="M27" s="16">
        <v>0.89308884301098701</v>
      </c>
      <c r="N27" s="11">
        <v>130</v>
      </c>
    </row>
    <row r="28" spans="1:14" outlineLevel="1" x14ac:dyDescent="0.25">
      <c r="A28" s="6" t="s">
        <v>14</v>
      </c>
      <c r="B28" t="s">
        <v>38</v>
      </c>
      <c r="C28" s="16">
        <v>0.67864339860223599</v>
      </c>
      <c r="D28">
        <v>696</v>
      </c>
      <c r="E28" s="16">
        <v>0.67049278507200805</v>
      </c>
      <c r="F28">
        <v>696</v>
      </c>
      <c r="G28" s="16">
        <v>0.687875832681899</v>
      </c>
      <c r="H28">
        <v>364</v>
      </c>
      <c r="I28" s="16">
        <v>0.68148142029412595</v>
      </c>
      <c r="J28">
        <v>364</v>
      </c>
      <c r="K28" s="16">
        <v>0.66946687524786097</v>
      </c>
      <c r="L28">
        <v>332</v>
      </c>
      <c r="M28" s="16">
        <v>0.65957069595895401</v>
      </c>
      <c r="N28" s="11">
        <v>332</v>
      </c>
    </row>
    <row r="29" spans="1:14" outlineLevel="1" x14ac:dyDescent="0.25">
      <c r="A29" s="6" t="s">
        <v>14</v>
      </c>
      <c r="B29" t="s">
        <v>39</v>
      </c>
      <c r="C29" s="16">
        <v>0.87188101462439105</v>
      </c>
      <c r="D29">
        <v>275</v>
      </c>
      <c r="E29" s="16">
        <v>0.86204858289469499</v>
      </c>
      <c r="F29">
        <v>275</v>
      </c>
      <c r="G29" s="16">
        <v>0.88736277251003604</v>
      </c>
      <c r="H29">
        <v>127</v>
      </c>
      <c r="I29" s="16">
        <v>0.880510443524679</v>
      </c>
      <c r="J29">
        <v>127</v>
      </c>
      <c r="K29" s="16">
        <v>0.85768710874641696</v>
      </c>
      <c r="L29">
        <v>148</v>
      </c>
      <c r="M29" s="16">
        <v>0.84512247449990896</v>
      </c>
      <c r="N29" s="11">
        <v>148</v>
      </c>
    </row>
    <row r="30" spans="1:14" outlineLevel="1" x14ac:dyDescent="0.25">
      <c r="A30" s="6" t="s">
        <v>14</v>
      </c>
      <c r="B30" t="s">
        <v>40</v>
      </c>
      <c r="C30" s="16">
        <v>0.83316575460479103</v>
      </c>
      <c r="D30">
        <v>227</v>
      </c>
      <c r="E30" s="16">
        <v>0.81570685823184197</v>
      </c>
      <c r="F30">
        <v>227</v>
      </c>
      <c r="G30" s="16">
        <v>0.82695051057245805</v>
      </c>
      <c r="H30">
        <v>107</v>
      </c>
      <c r="I30" s="16">
        <v>0.795524173348231</v>
      </c>
      <c r="J30">
        <v>107</v>
      </c>
      <c r="K30" s="16">
        <v>0.83873118489339304</v>
      </c>
      <c r="L30">
        <v>120</v>
      </c>
      <c r="M30" s="16">
        <v>0.83377941100245201</v>
      </c>
      <c r="N30" s="11">
        <v>120</v>
      </c>
    </row>
    <row r="31" spans="1:14" outlineLevel="1" x14ac:dyDescent="0.25">
      <c r="A31" s="6" t="s">
        <v>14</v>
      </c>
      <c r="B31" t="s">
        <v>41</v>
      </c>
      <c r="C31" s="16">
        <v>0.78120687496812002</v>
      </c>
      <c r="D31">
        <v>172</v>
      </c>
      <c r="E31" s="16">
        <v>0.77542865205141498</v>
      </c>
      <c r="F31">
        <v>172</v>
      </c>
      <c r="G31" s="16">
        <v>0.73426835475684304</v>
      </c>
      <c r="H31">
        <v>78</v>
      </c>
      <c r="I31" s="16">
        <v>0.72142582161705004</v>
      </c>
      <c r="J31">
        <v>78</v>
      </c>
      <c r="K31" s="16">
        <v>0.81960004069782399</v>
      </c>
      <c r="L31">
        <v>94</v>
      </c>
      <c r="M31" s="16">
        <v>0.81960004069782399</v>
      </c>
      <c r="N31" s="11">
        <v>94</v>
      </c>
    </row>
    <row r="32" spans="1:14" outlineLevel="1" x14ac:dyDescent="0.25">
      <c r="A32" s="6" t="s">
        <v>14</v>
      </c>
      <c r="B32" t="s">
        <v>42</v>
      </c>
      <c r="C32" s="16">
        <v>0.52820577672947899</v>
      </c>
      <c r="D32">
        <v>469</v>
      </c>
      <c r="E32" s="16">
        <v>0.52820577672947899</v>
      </c>
      <c r="F32">
        <v>469</v>
      </c>
      <c r="G32" s="16">
        <v>0.49880160099239002</v>
      </c>
      <c r="H32">
        <v>224</v>
      </c>
      <c r="I32" s="16">
        <v>0.49880160099239002</v>
      </c>
      <c r="J32">
        <v>224</v>
      </c>
      <c r="K32" s="16">
        <v>0.55475488825900598</v>
      </c>
      <c r="L32">
        <v>245</v>
      </c>
      <c r="M32" s="16">
        <v>0.55475488825900598</v>
      </c>
      <c r="N32" s="11">
        <v>245</v>
      </c>
    </row>
    <row r="33" spans="1:14" outlineLevel="1" x14ac:dyDescent="0.25">
      <c r="A33" s="6" t="s">
        <v>14</v>
      </c>
      <c r="B33" t="s">
        <v>43</v>
      </c>
      <c r="C33" s="16">
        <v>0.78777981780577599</v>
      </c>
      <c r="D33">
        <v>255</v>
      </c>
      <c r="E33" s="16">
        <v>0.78777981780577599</v>
      </c>
      <c r="F33">
        <v>255</v>
      </c>
      <c r="G33" s="16">
        <v>0.76236819756656804</v>
      </c>
      <c r="H33">
        <v>155</v>
      </c>
      <c r="I33" s="16">
        <v>0.76236819756656804</v>
      </c>
      <c r="J33">
        <v>155</v>
      </c>
      <c r="K33" s="16">
        <v>0.82520038129183704</v>
      </c>
      <c r="L33">
        <v>100</v>
      </c>
      <c r="M33" s="16">
        <v>0.82520038129183704</v>
      </c>
      <c r="N33" s="11">
        <v>100</v>
      </c>
    </row>
    <row r="34" spans="1:14" outlineLevel="1" x14ac:dyDescent="0.25">
      <c r="A34" s="6" t="s">
        <v>14</v>
      </c>
      <c r="B34" t="s">
        <v>44</v>
      </c>
      <c r="C34" s="16">
        <v>0.84618532227383103</v>
      </c>
      <c r="D34">
        <v>150</v>
      </c>
      <c r="E34" s="16">
        <v>0.84618532227383103</v>
      </c>
      <c r="F34">
        <v>150</v>
      </c>
      <c r="G34" s="16">
        <v>0.82167621364562105</v>
      </c>
      <c r="H34">
        <v>73</v>
      </c>
      <c r="I34" s="16">
        <v>0.82167621364562105</v>
      </c>
      <c r="J34">
        <v>73</v>
      </c>
      <c r="K34" s="16">
        <v>0.86938866650191504</v>
      </c>
      <c r="L34">
        <v>77</v>
      </c>
      <c r="M34" s="16">
        <v>0.86938866650191504</v>
      </c>
      <c r="N34" s="11">
        <v>77</v>
      </c>
    </row>
    <row r="35" spans="1:14" outlineLevel="1" x14ac:dyDescent="0.25">
      <c r="A35" s="6" t="s">
        <v>14</v>
      </c>
      <c r="B35" t="s">
        <v>45</v>
      </c>
      <c r="C35" s="16">
        <v>0.74955806101929401</v>
      </c>
      <c r="D35">
        <v>423</v>
      </c>
      <c r="E35" s="16">
        <v>0.74770163773393095</v>
      </c>
      <c r="F35">
        <v>423</v>
      </c>
      <c r="G35" s="16">
        <v>0.73802989968613597</v>
      </c>
      <c r="H35">
        <v>190</v>
      </c>
      <c r="I35" s="16">
        <v>0.73402918227448299</v>
      </c>
      <c r="J35">
        <v>190</v>
      </c>
      <c r="K35" s="16">
        <v>0.75953857016396098</v>
      </c>
      <c r="L35">
        <v>233</v>
      </c>
      <c r="M35" s="16">
        <v>0.75953857016396098</v>
      </c>
      <c r="N35" s="11">
        <v>233</v>
      </c>
    </row>
    <row r="36" spans="1:14" outlineLevel="1" x14ac:dyDescent="0.25">
      <c r="A36" s="6" t="s">
        <v>14</v>
      </c>
      <c r="B36" t="s">
        <v>46</v>
      </c>
      <c r="C36" s="16">
        <v>0.88793850530447105</v>
      </c>
      <c r="D36">
        <v>339</v>
      </c>
      <c r="E36" s="16">
        <v>0.88793850530447105</v>
      </c>
      <c r="F36">
        <v>339</v>
      </c>
      <c r="G36" s="16">
        <v>0.88122523458536595</v>
      </c>
      <c r="H36">
        <v>177</v>
      </c>
      <c r="I36" s="16">
        <v>0.88122523458536595</v>
      </c>
      <c r="J36">
        <v>177</v>
      </c>
      <c r="K36" s="16">
        <v>0.89536223851132601</v>
      </c>
      <c r="L36">
        <v>162</v>
      </c>
      <c r="M36" s="16">
        <v>0.89536223851132601</v>
      </c>
      <c r="N36" s="11">
        <v>162</v>
      </c>
    </row>
    <row r="37" spans="1:14" outlineLevel="1" x14ac:dyDescent="0.25">
      <c r="A37" s="7" t="s">
        <v>14</v>
      </c>
      <c r="B37" s="9" t="s">
        <v>47</v>
      </c>
      <c r="C37" s="15">
        <v>0.77081904477204599</v>
      </c>
      <c r="D37" s="9">
        <v>292</v>
      </c>
      <c r="E37" s="15">
        <v>0.76696828808533302</v>
      </c>
      <c r="F37" s="9">
        <v>292</v>
      </c>
      <c r="G37" s="15">
        <v>0.78604052824047799</v>
      </c>
      <c r="H37" s="9">
        <v>139</v>
      </c>
      <c r="I37" s="15">
        <v>0.78604052824047799</v>
      </c>
      <c r="J37" s="9">
        <v>139</v>
      </c>
      <c r="K37" s="15">
        <v>0.75709153999026102</v>
      </c>
      <c r="L37" s="9">
        <v>153</v>
      </c>
      <c r="M37" s="15">
        <v>0.74976797587712596</v>
      </c>
      <c r="N37" s="12">
        <v>153</v>
      </c>
    </row>
    <row r="38" spans="1:14" x14ac:dyDescent="0.25">
      <c r="C38" s="16"/>
      <c r="E38" s="16"/>
      <c r="G38" s="16"/>
      <c r="I38" s="16"/>
      <c r="K38" s="16"/>
      <c r="M38" s="16"/>
    </row>
    <row r="39" spans="1:14" x14ac:dyDescent="0.25">
      <c r="A39" s="19" t="s">
        <v>48</v>
      </c>
      <c r="B39" s="19"/>
      <c r="C39" s="20"/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</row>
    <row r="40" spans="1:14" outlineLevel="1" x14ac:dyDescent="0.25">
      <c r="A40" s="5" t="s">
        <v>14</v>
      </c>
      <c r="B40" s="8" t="s">
        <v>49</v>
      </c>
      <c r="C40" s="14">
        <v>0.82744679209335104</v>
      </c>
      <c r="D40" s="8">
        <v>1049</v>
      </c>
      <c r="E40" s="14">
        <v>0.81782971368374202</v>
      </c>
      <c r="F40" s="8">
        <v>1049</v>
      </c>
      <c r="G40" s="14">
        <v>0.81264231492316297</v>
      </c>
      <c r="H40" s="8">
        <v>513</v>
      </c>
      <c r="I40" s="14">
        <v>0.80985879216044199</v>
      </c>
      <c r="J40" s="8">
        <v>513</v>
      </c>
      <c r="K40" s="14">
        <v>0.83939504977232005</v>
      </c>
      <c r="L40" s="8">
        <v>536</v>
      </c>
      <c r="M40" s="14">
        <v>0.82426280978057698</v>
      </c>
      <c r="N40" s="10">
        <v>536</v>
      </c>
    </row>
    <row r="41" spans="1:14" outlineLevel="1" x14ac:dyDescent="0.25">
      <c r="A41" s="6" t="s">
        <v>14</v>
      </c>
      <c r="B41" t="s">
        <v>50</v>
      </c>
      <c r="C41" s="16">
        <v>0.83715226681916299</v>
      </c>
      <c r="D41">
        <v>1466</v>
      </c>
      <c r="E41" s="16">
        <v>0.83189596402461496</v>
      </c>
      <c r="F41">
        <v>1466</v>
      </c>
      <c r="G41" s="16">
        <v>0.81820592248071899</v>
      </c>
      <c r="H41">
        <v>697</v>
      </c>
      <c r="I41" s="16">
        <v>0.81277191167739904</v>
      </c>
      <c r="J41">
        <v>697</v>
      </c>
      <c r="K41" s="16">
        <v>0.85375559912793497</v>
      </c>
      <c r="L41">
        <v>769</v>
      </c>
      <c r="M41" s="16">
        <v>0.84865502796534997</v>
      </c>
      <c r="N41" s="11">
        <v>769</v>
      </c>
    </row>
    <row r="42" spans="1:14" outlineLevel="1" x14ac:dyDescent="0.25">
      <c r="A42" s="7" t="s">
        <v>14</v>
      </c>
      <c r="B42" s="9" t="s">
        <v>51</v>
      </c>
      <c r="C42" s="15">
        <v>0.83082487036589303</v>
      </c>
      <c r="D42" s="9">
        <v>3908</v>
      </c>
      <c r="E42" s="15">
        <v>0.82784432000540797</v>
      </c>
      <c r="F42" s="9">
        <v>3908</v>
      </c>
      <c r="G42" s="15">
        <v>0.83549486069631096</v>
      </c>
      <c r="H42" s="9">
        <v>1934</v>
      </c>
      <c r="I42" s="15">
        <v>0.83117967138634996</v>
      </c>
      <c r="J42" s="9">
        <v>1934</v>
      </c>
      <c r="K42" s="15">
        <v>0.82655725024182203</v>
      </c>
      <c r="L42" s="9">
        <v>1974</v>
      </c>
      <c r="M42" s="15">
        <v>0.82479634524163903</v>
      </c>
      <c r="N42" s="12">
        <v>1974</v>
      </c>
    </row>
    <row r="43" spans="1:14" x14ac:dyDescent="0.25">
      <c r="C43" s="16"/>
      <c r="E43" s="16"/>
      <c r="G43" s="16"/>
      <c r="I43" s="16"/>
      <c r="K43" s="16"/>
      <c r="M43" s="16"/>
    </row>
    <row r="44" spans="1:14" x14ac:dyDescent="0.25">
      <c r="A44" s="19" t="s">
        <v>52</v>
      </c>
      <c r="B44" s="19"/>
      <c r="C44" s="20"/>
      <c r="D44" s="19"/>
      <c r="E44" s="20"/>
      <c r="F44" s="19"/>
      <c r="G44" s="20"/>
      <c r="H44" s="19"/>
      <c r="I44" s="20"/>
      <c r="J44" s="19"/>
      <c r="K44" s="20"/>
      <c r="L44" s="19"/>
      <c r="M44" s="20"/>
      <c r="N44" s="19"/>
    </row>
    <row r="45" spans="1:14" outlineLevel="1" x14ac:dyDescent="0.25">
      <c r="A45" s="5" t="s">
        <v>14</v>
      </c>
      <c r="B45" s="8" t="s">
        <v>53</v>
      </c>
      <c r="C45" s="14">
        <v>0.80131687195393497</v>
      </c>
      <c r="D45" s="8">
        <v>1577</v>
      </c>
      <c r="E45" s="14">
        <v>0.78807738779951797</v>
      </c>
      <c r="F45" s="8">
        <v>1577</v>
      </c>
      <c r="G45" s="14">
        <v>0.80741282794147196</v>
      </c>
      <c r="H45" s="8">
        <v>802</v>
      </c>
      <c r="I45" s="14">
        <v>0.80125761018792996</v>
      </c>
      <c r="J45" s="8">
        <v>802</v>
      </c>
      <c r="K45" s="14">
        <v>0.79485643362349201</v>
      </c>
      <c r="L45" s="8">
        <v>775</v>
      </c>
      <c r="M45" s="14">
        <v>0.774109108813263</v>
      </c>
      <c r="N45" s="10">
        <v>775</v>
      </c>
    </row>
    <row r="46" spans="1:14" outlineLevel="1" x14ac:dyDescent="0.25">
      <c r="A46" s="7" t="s">
        <v>14</v>
      </c>
      <c r="B46" s="9" t="s">
        <v>54</v>
      </c>
      <c r="C46" s="15">
        <v>0.84039156478934596</v>
      </c>
      <c r="D46" s="9">
        <v>4846</v>
      </c>
      <c r="E46" s="15">
        <v>0.83718270727421096</v>
      </c>
      <c r="F46" s="9">
        <v>4846</v>
      </c>
      <c r="G46" s="15">
        <v>0.83078800104152495</v>
      </c>
      <c r="H46" s="9">
        <v>2342</v>
      </c>
      <c r="I46" s="15">
        <v>0.82739081074673704</v>
      </c>
      <c r="J46" s="9">
        <v>2342</v>
      </c>
      <c r="K46" s="15">
        <v>0.84826345587068996</v>
      </c>
      <c r="L46" s="9">
        <v>2504</v>
      </c>
      <c r="M46" s="15">
        <v>0.84520897179102095</v>
      </c>
      <c r="N46" s="12">
        <v>2504</v>
      </c>
    </row>
    <row r="47" spans="1:14" x14ac:dyDescent="0.25">
      <c r="C47" s="16"/>
      <c r="E47" s="16"/>
      <c r="G47" s="16"/>
      <c r="I47" s="16"/>
      <c r="K47" s="16"/>
      <c r="M47" s="16"/>
    </row>
    <row r="48" spans="1:14" x14ac:dyDescent="0.25">
      <c r="A48" s="19" t="s">
        <v>55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</row>
    <row r="49" spans="1:14" outlineLevel="1" x14ac:dyDescent="0.25">
      <c r="A49" s="5" t="s">
        <v>14</v>
      </c>
      <c r="B49" s="8" t="s">
        <v>56</v>
      </c>
      <c r="C49" s="14">
        <v>0.82744679209335104</v>
      </c>
      <c r="D49" s="8">
        <v>1049</v>
      </c>
      <c r="E49" s="14">
        <v>0.81782971368374202</v>
      </c>
      <c r="F49" s="8">
        <v>1049</v>
      </c>
      <c r="G49" s="14">
        <v>0.81264231492316297</v>
      </c>
      <c r="H49" s="8">
        <v>513</v>
      </c>
      <c r="I49" s="14">
        <v>0.80985879216044199</v>
      </c>
      <c r="J49" s="8">
        <v>513</v>
      </c>
      <c r="K49" s="14">
        <v>0.83939504977232005</v>
      </c>
      <c r="L49" s="8">
        <v>536</v>
      </c>
      <c r="M49" s="14">
        <v>0.82426280978057698</v>
      </c>
      <c r="N49" s="10">
        <v>536</v>
      </c>
    </row>
    <row r="50" spans="1:14" outlineLevel="1" x14ac:dyDescent="0.25">
      <c r="A50" s="6" t="s">
        <v>14</v>
      </c>
      <c r="B50" t="s">
        <v>57</v>
      </c>
      <c r="C50" s="16">
        <v>0.81690278725148002</v>
      </c>
      <c r="D50">
        <v>3865</v>
      </c>
      <c r="E50" s="16">
        <v>0.81490555030040501</v>
      </c>
      <c r="F50">
        <v>3865</v>
      </c>
      <c r="G50" s="16">
        <v>0.80611842572388204</v>
      </c>
      <c r="H50">
        <v>1903</v>
      </c>
      <c r="I50" s="16">
        <v>0.80350645127097198</v>
      </c>
      <c r="J50">
        <v>1903</v>
      </c>
      <c r="K50" s="16">
        <v>0.82712100441563097</v>
      </c>
      <c r="L50">
        <v>1962</v>
      </c>
      <c r="M50" s="16">
        <v>0.82570623322079395</v>
      </c>
      <c r="N50" s="11">
        <v>1962</v>
      </c>
    </row>
    <row r="51" spans="1:14" outlineLevel="1" x14ac:dyDescent="0.25">
      <c r="A51" s="7" t="s">
        <v>14</v>
      </c>
      <c r="B51" s="9" t="s">
        <v>58</v>
      </c>
      <c r="C51" s="15">
        <v>0.853221357074056</v>
      </c>
      <c r="D51" s="9">
        <v>1509</v>
      </c>
      <c r="E51" s="15">
        <v>0.84728778412459205</v>
      </c>
      <c r="F51" s="9">
        <v>1509</v>
      </c>
      <c r="G51" s="15">
        <v>0.86183230861067495</v>
      </c>
      <c r="H51" s="9">
        <v>728</v>
      </c>
      <c r="I51" s="15">
        <v>0.854369062148298</v>
      </c>
      <c r="J51" s="9">
        <v>728</v>
      </c>
      <c r="K51" s="15">
        <v>0.84593885823915105</v>
      </c>
      <c r="L51" s="9">
        <v>781</v>
      </c>
      <c r="M51" s="15">
        <v>0.84129896874943</v>
      </c>
      <c r="N51" s="12">
        <v>781</v>
      </c>
    </row>
    <row r="52" spans="1:14" x14ac:dyDescent="0.25">
      <c r="C52" s="16"/>
      <c r="E52" s="16"/>
      <c r="G52" s="16"/>
      <c r="I52" s="16"/>
      <c r="K52" s="16"/>
      <c r="M52" s="16"/>
    </row>
    <row r="53" spans="1:14" x14ac:dyDescent="0.25">
      <c r="A53" s="19" t="s">
        <v>59</v>
      </c>
      <c r="B53" s="19"/>
      <c r="C53" s="20"/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</row>
    <row r="54" spans="1:14" outlineLevel="1" x14ac:dyDescent="0.25">
      <c r="A54" s="5" t="s">
        <v>14</v>
      </c>
      <c r="B54" s="8" t="s">
        <v>60</v>
      </c>
      <c r="C54" s="14">
        <v>0.832477233467944</v>
      </c>
      <c r="D54" s="8">
        <v>2458</v>
      </c>
      <c r="E54" s="14">
        <v>0.82457704144069399</v>
      </c>
      <c r="F54" s="8">
        <v>2458</v>
      </c>
      <c r="G54" s="14">
        <v>0.814118952906836</v>
      </c>
      <c r="H54" s="8">
        <v>1187</v>
      </c>
      <c r="I54" s="14">
        <v>0.81014415615237301</v>
      </c>
      <c r="J54" s="8">
        <v>1187</v>
      </c>
      <c r="K54" s="14">
        <v>0.84796442461180499</v>
      </c>
      <c r="L54" s="8">
        <v>1271</v>
      </c>
      <c r="M54" s="14">
        <v>0.83675273798665295</v>
      </c>
      <c r="N54" s="10">
        <v>1271</v>
      </c>
    </row>
    <row r="55" spans="1:14" outlineLevel="1" x14ac:dyDescent="0.25">
      <c r="A55" s="6" t="s">
        <v>14</v>
      </c>
      <c r="B55" t="s">
        <v>61</v>
      </c>
      <c r="C55" s="16">
        <v>0.87202959574213201</v>
      </c>
      <c r="D55">
        <v>14</v>
      </c>
      <c r="E55" s="16">
        <v>0.87202959574213201</v>
      </c>
      <c r="F55">
        <v>14</v>
      </c>
      <c r="G55" s="16">
        <v>0.98485956064227498</v>
      </c>
      <c r="H55">
        <v>7</v>
      </c>
      <c r="I55" s="16">
        <v>0.98485956064227498</v>
      </c>
      <c r="J55">
        <v>7</v>
      </c>
      <c r="K55" s="16">
        <v>0.75193572115700402</v>
      </c>
      <c r="L55">
        <v>7</v>
      </c>
      <c r="M55" s="16">
        <v>0.75193572115700402</v>
      </c>
      <c r="N55" s="11">
        <v>7</v>
      </c>
    </row>
    <row r="56" spans="1:14" outlineLevel="1" x14ac:dyDescent="0.25">
      <c r="A56" s="6" t="s">
        <v>14</v>
      </c>
      <c r="B56" t="s">
        <v>62</v>
      </c>
      <c r="C56" s="16">
        <v>0.718079467403968</v>
      </c>
      <c r="D56">
        <v>24</v>
      </c>
      <c r="E56" s="16">
        <v>0.718079467403968</v>
      </c>
      <c r="F56">
        <v>24</v>
      </c>
      <c r="G56" s="16">
        <v>1</v>
      </c>
      <c r="H56">
        <v>7</v>
      </c>
      <c r="I56" s="16">
        <v>1</v>
      </c>
      <c r="J56">
        <v>7</v>
      </c>
      <c r="K56" s="16">
        <v>0.65336334434264298</v>
      </c>
      <c r="L56">
        <v>17</v>
      </c>
      <c r="M56" s="16">
        <v>0.65336334434264298</v>
      </c>
      <c r="N56" s="11">
        <v>17</v>
      </c>
    </row>
    <row r="57" spans="1:14" outlineLevel="1" x14ac:dyDescent="0.25">
      <c r="A57" s="6" t="s">
        <v>14</v>
      </c>
      <c r="B57" t="s">
        <v>63</v>
      </c>
      <c r="C57" s="16">
        <v>0.83355436490010704</v>
      </c>
      <c r="D57">
        <v>19</v>
      </c>
      <c r="E57" s="16">
        <v>0.83355436490010704</v>
      </c>
      <c r="F57">
        <v>19</v>
      </c>
      <c r="G57" s="16">
        <v>0.78215468794555298</v>
      </c>
      <c r="H57">
        <v>9</v>
      </c>
      <c r="I57" s="16">
        <v>0.78215468794555298</v>
      </c>
      <c r="J57">
        <v>9</v>
      </c>
      <c r="K57" s="16">
        <v>0.87523598050387896</v>
      </c>
      <c r="L57">
        <v>10</v>
      </c>
      <c r="M57" s="16">
        <v>0.87523598050387896</v>
      </c>
      <c r="N57" s="11">
        <v>10</v>
      </c>
    </row>
    <row r="58" spans="1:14" outlineLevel="1" x14ac:dyDescent="0.25">
      <c r="A58" s="6" t="s">
        <v>14</v>
      </c>
      <c r="B58" t="s">
        <v>64</v>
      </c>
      <c r="C58" s="16"/>
      <c r="E58" s="16"/>
      <c r="G58" s="16">
        <v>0.83549486069631096</v>
      </c>
      <c r="H58">
        <v>1934</v>
      </c>
      <c r="I58" s="16">
        <v>0.83117967138634996</v>
      </c>
      <c r="J58">
        <v>1934</v>
      </c>
      <c r="K58" s="16">
        <v>0.82655725024182203</v>
      </c>
      <c r="L58">
        <v>1974</v>
      </c>
      <c r="M58" s="16">
        <v>0.82479634524163903</v>
      </c>
      <c r="N58" s="11">
        <v>1974</v>
      </c>
    </row>
    <row r="59" spans="1:14" outlineLevel="1" x14ac:dyDescent="0.25">
      <c r="A59" s="7" t="s">
        <v>14</v>
      </c>
      <c r="B59" s="9" t="s">
        <v>14</v>
      </c>
      <c r="C59" s="15">
        <v>0.83082487036589303</v>
      </c>
      <c r="D59" s="9">
        <v>3908</v>
      </c>
      <c r="E59" s="15">
        <v>0.82784432000540797</v>
      </c>
      <c r="F59" s="9">
        <v>3908</v>
      </c>
      <c r="G59" s="15"/>
      <c r="H59" s="9"/>
      <c r="I59" s="15"/>
      <c r="J59" s="9"/>
      <c r="K59" s="15"/>
      <c r="L59" s="9"/>
      <c r="M59" s="15"/>
      <c r="N59" s="12"/>
    </row>
    <row r="60" spans="1:14" x14ac:dyDescent="0.25">
      <c r="C60" s="16"/>
      <c r="E60" s="16"/>
      <c r="G60" s="16"/>
      <c r="I60" s="16"/>
      <c r="K60" s="16"/>
      <c r="M60" s="16"/>
    </row>
    <row r="61" spans="1:14" x14ac:dyDescent="0.25">
      <c r="A61" s="19" t="s">
        <v>65</v>
      </c>
      <c r="B61" s="19"/>
      <c r="C61" s="20"/>
      <c r="D61" s="19"/>
      <c r="E61" s="20"/>
      <c r="F61" s="19"/>
      <c r="G61" s="20"/>
      <c r="H61" s="19"/>
      <c r="I61" s="20"/>
      <c r="J61" s="19"/>
      <c r="K61" s="20"/>
      <c r="L61" s="19"/>
      <c r="M61" s="20"/>
      <c r="N61" s="19"/>
    </row>
    <row r="62" spans="1:14" outlineLevel="1" x14ac:dyDescent="0.25">
      <c r="A62" s="5" t="s">
        <v>14</v>
      </c>
      <c r="B62" s="8" t="s">
        <v>66</v>
      </c>
      <c r="C62" s="14">
        <v>0.83749983909146297</v>
      </c>
      <c r="D62" s="8">
        <v>6235</v>
      </c>
      <c r="E62" s="14">
        <v>0.83236425534631897</v>
      </c>
      <c r="F62" s="8">
        <v>6235</v>
      </c>
      <c r="G62" s="14">
        <v>0.83012610465141301</v>
      </c>
      <c r="H62" s="8">
        <v>3050</v>
      </c>
      <c r="I62" s="14">
        <v>0.82680151703742999</v>
      </c>
      <c r="J62" s="8">
        <v>3050</v>
      </c>
      <c r="K62" s="14">
        <v>0.84386096282918899</v>
      </c>
      <c r="L62" s="8">
        <v>3185</v>
      </c>
      <c r="M62" s="14">
        <v>0.837163081096164</v>
      </c>
      <c r="N62" s="10">
        <v>3185</v>
      </c>
    </row>
    <row r="63" spans="1:14" outlineLevel="1" x14ac:dyDescent="0.25">
      <c r="A63" s="7" t="s">
        <v>14</v>
      </c>
      <c r="B63" s="9" t="s">
        <v>67</v>
      </c>
      <c r="C63" s="15">
        <v>0.62055005442869504</v>
      </c>
      <c r="D63" s="9">
        <v>188</v>
      </c>
      <c r="E63" s="15">
        <v>0.60059877276316498</v>
      </c>
      <c r="F63" s="9">
        <v>188</v>
      </c>
      <c r="G63" s="15">
        <v>0.67066539407339898</v>
      </c>
      <c r="H63" s="9">
        <v>94</v>
      </c>
      <c r="I63" s="15">
        <v>0.64408142419138303</v>
      </c>
      <c r="J63" s="9">
        <v>94</v>
      </c>
      <c r="K63" s="15">
        <v>0.56059337204814896</v>
      </c>
      <c r="L63" s="9">
        <v>94</v>
      </c>
      <c r="M63" s="15">
        <v>0.54857726519225802</v>
      </c>
      <c r="N63" s="12">
        <v>94</v>
      </c>
    </row>
    <row r="64" spans="1:14" x14ac:dyDescent="0.25">
      <c r="C64" s="16"/>
      <c r="E64" s="16"/>
      <c r="G64" s="16"/>
      <c r="I64" s="16"/>
      <c r="K64" s="16"/>
      <c r="M64" s="16"/>
    </row>
    <row r="65" spans="1:14" x14ac:dyDescent="0.25">
      <c r="A65" s="19" t="s">
        <v>68</v>
      </c>
      <c r="B65" s="19"/>
      <c r="C65" s="20"/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</row>
    <row r="66" spans="1:14" outlineLevel="1" x14ac:dyDescent="0.25">
      <c r="A66" s="5" t="s">
        <v>14</v>
      </c>
      <c r="B66" s="8" t="s">
        <v>66</v>
      </c>
      <c r="C66" s="14">
        <v>0.83735150532809999</v>
      </c>
      <c r="D66" s="8">
        <v>6160</v>
      </c>
      <c r="E66" s="14">
        <v>0.8321481121041</v>
      </c>
      <c r="F66" s="8">
        <v>6160</v>
      </c>
      <c r="G66" s="14">
        <v>0.83075646375985501</v>
      </c>
      <c r="H66" s="8">
        <v>3018</v>
      </c>
      <c r="I66" s="14">
        <v>0.82740125937780296</v>
      </c>
      <c r="J66" s="8">
        <v>3018</v>
      </c>
      <c r="K66" s="14">
        <v>0.84308296205863997</v>
      </c>
      <c r="L66" s="8">
        <v>3142</v>
      </c>
      <c r="M66" s="14">
        <v>0.83627339027338798</v>
      </c>
      <c r="N66" s="10">
        <v>3142</v>
      </c>
    </row>
    <row r="67" spans="1:14" outlineLevel="1" x14ac:dyDescent="0.25">
      <c r="A67" s="7" t="s">
        <v>14</v>
      </c>
      <c r="B67" s="9" t="s">
        <v>67</v>
      </c>
      <c r="C67" s="15">
        <v>0.68991107404228802</v>
      </c>
      <c r="D67" s="9">
        <v>263</v>
      </c>
      <c r="E67" s="15">
        <v>0.67602437955086903</v>
      </c>
      <c r="F67" s="9">
        <v>263</v>
      </c>
      <c r="G67" s="15">
        <v>0.68944611125750699</v>
      </c>
      <c r="H67" s="9">
        <v>126</v>
      </c>
      <c r="I67" s="15">
        <v>0.66834786915881705</v>
      </c>
      <c r="J67" s="9">
        <v>126</v>
      </c>
      <c r="K67" s="15">
        <v>0.690336346164793</v>
      </c>
      <c r="L67" s="9">
        <v>137</v>
      </c>
      <c r="M67" s="15">
        <v>0.68304559925859099</v>
      </c>
      <c r="N67" s="12">
        <v>137</v>
      </c>
    </row>
    <row r="68" spans="1:14" x14ac:dyDescent="0.25">
      <c r="C68" s="16"/>
      <c r="E68" s="16"/>
      <c r="G68" s="16"/>
      <c r="I68" s="16"/>
      <c r="K68" s="16"/>
      <c r="M68" s="16"/>
    </row>
    <row r="69" spans="1:14" x14ac:dyDescent="0.25">
      <c r="C69" s="16"/>
      <c r="E69" s="16"/>
      <c r="G69" s="16"/>
      <c r="I69" s="16"/>
      <c r="K69" s="16"/>
      <c r="M69" s="16"/>
    </row>
  </sheetData>
  <mergeCells count="22">
    <mergeCell ref="A48:N48"/>
    <mergeCell ref="A53:N53"/>
    <mergeCell ref="A61:N61"/>
    <mergeCell ref="A65:N65"/>
    <mergeCell ref="A6:N6"/>
    <mergeCell ref="A9:N9"/>
    <mergeCell ref="A16:N16"/>
    <mergeCell ref="A39:N39"/>
    <mergeCell ref="A44:N44"/>
    <mergeCell ref="E4:F4"/>
    <mergeCell ref="C4:D4"/>
    <mergeCell ref="I4:J4"/>
    <mergeCell ref="G4:H4"/>
    <mergeCell ref="M4:N4"/>
    <mergeCell ref="K4:L4"/>
    <mergeCell ref="A1:N1"/>
    <mergeCell ref="C2:F2"/>
    <mergeCell ref="G2:J2"/>
    <mergeCell ref="K2:N2"/>
    <mergeCell ref="E3:F3"/>
    <mergeCell ref="I3:J3"/>
    <mergeCell ref="M3:N3"/>
  </mergeCell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69"/>
  <sheetViews>
    <sheetView showGridLines="0" workbookViewId="0">
      <selection sqref="A1:N1"/>
    </sheetView>
  </sheetViews>
  <sheetFormatPr defaultColWidth="11.42578125" defaultRowHeight="15" outlineLevelRow="1" x14ac:dyDescent="0.25"/>
  <sheetData>
    <row r="1" spans="1:14" x14ac:dyDescent="0.25">
      <c r="A1" s="18" t="s">
        <v>88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x14ac:dyDescent="0.25">
      <c r="C2" s="19" t="s">
        <v>2</v>
      </c>
      <c r="D2" s="19"/>
      <c r="E2" s="19"/>
      <c r="F2" s="19"/>
      <c r="G2" s="19" t="s">
        <v>3</v>
      </c>
      <c r="H2" s="19"/>
      <c r="I2" s="19"/>
      <c r="J2" s="19"/>
      <c r="K2" s="19" t="s">
        <v>4</v>
      </c>
      <c r="L2" s="19"/>
      <c r="M2" s="19"/>
      <c r="N2" s="19"/>
    </row>
    <row r="3" spans="1:14" x14ac:dyDescent="0.25">
      <c r="E3" s="19" t="s">
        <v>83</v>
      </c>
      <c r="F3" s="19"/>
      <c r="I3" s="19" t="s">
        <v>83</v>
      </c>
      <c r="J3" s="19"/>
      <c r="M3" s="19" t="s">
        <v>83</v>
      </c>
      <c r="N3" s="19"/>
    </row>
    <row r="4" spans="1:14" x14ac:dyDescent="0.25">
      <c r="C4" s="19" t="s">
        <v>9</v>
      </c>
      <c r="D4" s="19"/>
      <c r="E4" s="19" t="s">
        <v>89</v>
      </c>
      <c r="F4" s="19"/>
      <c r="G4" s="19" t="s">
        <v>9</v>
      </c>
      <c r="H4" s="19"/>
      <c r="I4" s="19" t="s">
        <v>89</v>
      </c>
      <c r="J4" s="19"/>
      <c r="K4" s="19" t="s">
        <v>9</v>
      </c>
      <c r="L4" s="19"/>
      <c r="M4" s="19" t="s">
        <v>89</v>
      </c>
      <c r="N4" s="19"/>
    </row>
    <row r="5" spans="1:14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</row>
    <row r="6" spans="1:14" x14ac:dyDescent="0.25">
      <c r="A6" s="19" t="s">
        <v>15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</row>
    <row r="7" spans="1:14" outlineLevel="1" x14ac:dyDescent="0.25">
      <c r="A7" s="2" t="s">
        <v>14</v>
      </c>
      <c r="B7" s="3" t="s">
        <v>18</v>
      </c>
      <c r="C7" s="13">
        <v>0.59623725002247896</v>
      </c>
      <c r="D7" s="3">
        <v>2865</v>
      </c>
      <c r="E7" s="13">
        <v>0.46394326433034899</v>
      </c>
      <c r="F7" s="3">
        <v>2865</v>
      </c>
      <c r="G7" s="13">
        <v>0.62661584839136197</v>
      </c>
      <c r="H7" s="3">
        <v>1385</v>
      </c>
      <c r="I7" s="13">
        <v>0.48484124028797898</v>
      </c>
      <c r="J7" s="3">
        <v>1385</v>
      </c>
      <c r="K7" s="13">
        <v>0.564711179463944</v>
      </c>
      <c r="L7" s="3">
        <v>1480</v>
      </c>
      <c r="M7" s="13">
        <v>0.44225592192663699</v>
      </c>
      <c r="N7" s="4">
        <v>1480</v>
      </c>
    </row>
    <row r="8" spans="1:14" x14ac:dyDescent="0.25">
      <c r="C8" s="16"/>
      <c r="E8" s="16"/>
      <c r="G8" s="16"/>
      <c r="I8" s="16"/>
      <c r="K8" s="16"/>
      <c r="M8" s="16"/>
    </row>
    <row r="9" spans="1:14" x14ac:dyDescent="0.25">
      <c r="A9" s="19" t="s">
        <v>20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</row>
    <row r="10" spans="1:14" outlineLevel="1" x14ac:dyDescent="0.25">
      <c r="A10" s="5" t="s">
        <v>14</v>
      </c>
      <c r="B10" s="8" t="s">
        <v>21</v>
      </c>
      <c r="C10" s="14">
        <v>0.63755043427787905</v>
      </c>
      <c r="D10" s="8">
        <v>828</v>
      </c>
      <c r="E10" s="14">
        <v>0.56783863691514003</v>
      </c>
      <c r="F10" s="8">
        <v>828</v>
      </c>
      <c r="G10" s="14">
        <v>0.61404298660395296</v>
      </c>
      <c r="H10" s="8">
        <v>394</v>
      </c>
      <c r="I10" s="14">
        <v>0.54818298965501799</v>
      </c>
      <c r="J10" s="8">
        <v>394</v>
      </c>
      <c r="K10" s="14">
        <v>0.659448190243205</v>
      </c>
      <c r="L10" s="8">
        <v>434</v>
      </c>
      <c r="M10" s="14">
        <v>0.58614834765077495</v>
      </c>
      <c r="N10" s="10">
        <v>434</v>
      </c>
    </row>
    <row r="11" spans="1:14" outlineLevel="1" x14ac:dyDescent="0.25">
      <c r="A11" s="6" t="s">
        <v>14</v>
      </c>
      <c r="B11" t="s">
        <v>22</v>
      </c>
      <c r="C11" s="16">
        <v>0.65285999716405996</v>
      </c>
      <c r="D11">
        <v>638</v>
      </c>
      <c r="E11" s="16">
        <v>0.46356914073097899</v>
      </c>
      <c r="F11">
        <v>638</v>
      </c>
      <c r="G11" s="16">
        <v>0.72275476746409995</v>
      </c>
      <c r="H11">
        <v>300</v>
      </c>
      <c r="I11" s="16">
        <v>0.53048260905524602</v>
      </c>
      <c r="J11">
        <v>300</v>
      </c>
      <c r="K11" s="16">
        <v>0.56837510882512998</v>
      </c>
      <c r="L11">
        <v>338</v>
      </c>
      <c r="M11" s="16">
        <v>0.38268788344264898</v>
      </c>
      <c r="N11" s="11">
        <v>338</v>
      </c>
    </row>
    <row r="12" spans="1:14" outlineLevel="1" x14ac:dyDescent="0.25">
      <c r="A12" s="6" t="s">
        <v>14</v>
      </c>
      <c r="B12" t="s">
        <v>23</v>
      </c>
      <c r="C12" s="16">
        <v>0.55306271844250798</v>
      </c>
      <c r="D12">
        <v>621</v>
      </c>
      <c r="E12" s="16">
        <v>0.45469113237426501</v>
      </c>
      <c r="F12">
        <v>621</v>
      </c>
      <c r="G12" s="16">
        <v>0.54728459780076899</v>
      </c>
      <c r="H12">
        <v>305</v>
      </c>
      <c r="I12" s="16">
        <v>0.41889599404754702</v>
      </c>
      <c r="J12">
        <v>305</v>
      </c>
      <c r="K12" s="16">
        <v>0.55806678005466503</v>
      </c>
      <c r="L12">
        <v>316</v>
      </c>
      <c r="M12" s="16">
        <v>0.48569101775372597</v>
      </c>
      <c r="N12" s="11">
        <v>316</v>
      </c>
    </row>
    <row r="13" spans="1:14" outlineLevel="1" x14ac:dyDescent="0.25">
      <c r="A13" s="6" t="s">
        <v>14</v>
      </c>
      <c r="B13" t="s">
        <v>24</v>
      </c>
      <c r="C13" s="16">
        <v>0.38413274875164399</v>
      </c>
      <c r="D13">
        <v>351</v>
      </c>
      <c r="E13" s="16">
        <v>0.23805317246952601</v>
      </c>
      <c r="F13">
        <v>351</v>
      </c>
      <c r="G13" s="16">
        <v>0.390233460781648</v>
      </c>
      <c r="H13">
        <v>183</v>
      </c>
      <c r="I13" s="16">
        <v>0.22939179129364201</v>
      </c>
      <c r="J13">
        <v>183</v>
      </c>
      <c r="K13" s="16">
        <v>0.37782085664424803</v>
      </c>
      <c r="L13">
        <v>168</v>
      </c>
      <c r="M13" s="16">
        <v>0.247014372935036</v>
      </c>
      <c r="N13" s="11">
        <v>168</v>
      </c>
    </row>
    <row r="14" spans="1:14" outlineLevel="1" x14ac:dyDescent="0.25">
      <c r="A14" s="7" t="s">
        <v>14</v>
      </c>
      <c r="B14" s="9" t="s">
        <v>25</v>
      </c>
      <c r="C14" s="15">
        <v>0.48449884826718198</v>
      </c>
      <c r="D14" s="9">
        <v>427</v>
      </c>
      <c r="E14" s="15">
        <v>0.34795155321124799</v>
      </c>
      <c r="F14" s="9">
        <v>427</v>
      </c>
      <c r="G14" s="15">
        <v>0.54769912977097601</v>
      </c>
      <c r="H14" s="9">
        <v>203</v>
      </c>
      <c r="I14" s="15">
        <v>0.40638497646412802</v>
      </c>
      <c r="J14" s="9">
        <v>203</v>
      </c>
      <c r="K14" s="15">
        <v>0.41689483259080801</v>
      </c>
      <c r="L14" s="9">
        <v>224</v>
      </c>
      <c r="M14" s="15">
        <v>0.28544654583442503</v>
      </c>
      <c r="N14" s="12">
        <v>224</v>
      </c>
    </row>
    <row r="15" spans="1:14" x14ac:dyDescent="0.25">
      <c r="C15" s="16"/>
      <c r="E15" s="16"/>
      <c r="G15" s="16"/>
      <c r="I15" s="16"/>
      <c r="K15" s="16"/>
      <c r="M15" s="16"/>
    </row>
    <row r="16" spans="1:14" x14ac:dyDescent="0.25">
      <c r="A16" s="19" t="s">
        <v>26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</row>
    <row r="17" spans="1:14" outlineLevel="1" x14ac:dyDescent="0.25">
      <c r="A17" s="5" t="s">
        <v>14</v>
      </c>
      <c r="B17" s="8" t="s">
        <v>27</v>
      </c>
      <c r="C17" s="14">
        <v>0.60771691971664499</v>
      </c>
      <c r="D17" s="8">
        <v>88</v>
      </c>
      <c r="E17" s="14">
        <v>0.51495165872530602</v>
      </c>
      <c r="F17" s="8">
        <v>88</v>
      </c>
      <c r="G17" s="14">
        <v>0.57686086856517704</v>
      </c>
      <c r="H17" s="8">
        <v>51</v>
      </c>
      <c r="I17" s="14">
        <v>0.48243906148638199</v>
      </c>
      <c r="J17" s="8">
        <v>51</v>
      </c>
      <c r="K17" s="14">
        <v>0.65434479820331204</v>
      </c>
      <c r="L17" s="8">
        <v>37</v>
      </c>
      <c r="M17" s="14">
        <v>0.56408281377494895</v>
      </c>
      <c r="N17" s="10">
        <v>37</v>
      </c>
    </row>
    <row r="18" spans="1:14" outlineLevel="1" x14ac:dyDescent="0.25">
      <c r="A18" s="6" t="s">
        <v>14</v>
      </c>
      <c r="B18" t="s">
        <v>28</v>
      </c>
      <c r="C18" s="16">
        <v>0.72851927661375604</v>
      </c>
      <c r="D18">
        <v>103</v>
      </c>
      <c r="E18" s="16">
        <v>0.643100862245361</v>
      </c>
      <c r="F18">
        <v>103</v>
      </c>
      <c r="G18" s="16">
        <v>0.84689203123650703</v>
      </c>
      <c r="H18">
        <v>38</v>
      </c>
      <c r="I18" s="16">
        <v>0.76664839702698995</v>
      </c>
      <c r="J18">
        <v>38</v>
      </c>
      <c r="K18" s="16">
        <v>0.64955587397002801</v>
      </c>
      <c r="L18">
        <v>65</v>
      </c>
      <c r="M18" s="16">
        <v>0.56068549761442898</v>
      </c>
      <c r="N18" s="11">
        <v>65</v>
      </c>
    </row>
    <row r="19" spans="1:14" outlineLevel="1" x14ac:dyDescent="0.25">
      <c r="A19" s="6" t="s">
        <v>14</v>
      </c>
      <c r="B19" t="s">
        <v>29</v>
      </c>
      <c r="C19" s="16">
        <v>0.74890761506554704</v>
      </c>
      <c r="D19">
        <v>189</v>
      </c>
      <c r="E19" s="16">
        <v>0.65486853587991301</v>
      </c>
      <c r="F19">
        <v>189</v>
      </c>
      <c r="G19" s="16">
        <v>0.66204886454798295</v>
      </c>
      <c r="H19">
        <v>84</v>
      </c>
      <c r="I19" s="16">
        <v>0.566821393422133</v>
      </c>
      <c r="J19">
        <v>84</v>
      </c>
      <c r="K19" s="16">
        <v>0.83220636657966296</v>
      </c>
      <c r="L19">
        <v>105</v>
      </c>
      <c r="M19" s="16">
        <v>0.73930697181660698</v>
      </c>
      <c r="N19" s="11">
        <v>105</v>
      </c>
    </row>
    <row r="20" spans="1:14" outlineLevel="1" x14ac:dyDescent="0.25">
      <c r="A20" s="6" t="s">
        <v>14</v>
      </c>
      <c r="B20" t="s">
        <v>30</v>
      </c>
      <c r="C20" s="16">
        <v>0.73819970706903304</v>
      </c>
      <c r="D20">
        <v>115</v>
      </c>
      <c r="E20" s="16">
        <v>0.71588979085953997</v>
      </c>
      <c r="F20">
        <v>115</v>
      </c>
      <c r="G20" s="16">
        <v>0.65517626848422506</v>
      </c>
      <c r="H20">
        <v>60</v>
      </c>
      <c r="I20" s="16">
        <v>0.63436808361569796</v>
      </c>
      <c r="J20">
        <v>60</v>
      </c>
      <c r="K20" s="16">
        <v>0.841915289259484</v>
      </c>
      <c r="L20">
        <v>55</v>
      </c>
      <c r="M20" s="16">
        <v>0.81772936137212104</v>
      </c>
      <c r="N20" s="11">
        <v>55</v>
      </c>
    </row>
    <row r="21" spans="1:14" outlineLevel="1" x14ac:dyDescent="0.25">
      <c r="A21" s="6" t="s">
        <v>14</v>
      </c>
      <c r="B21" t="s">
        <v>31</v>
      </c>
      <c r="C21" s="16">
        <v>0.47823857050454699</v>
      </c>
      <c r="D21">
        <v>134</v>
      </c>
      <c r="E21" s="16">
        <v>0.45365227678894998</v>
      </c>
      <c r="F21">
        <v>134</v>
      </c>
      <c r="G21" s="16">
        <v>0.41504166610286902</v>
      </c>
      <c r="H21">
        <v>49</v>
      </c>
      <c r="I21" s="16">
        <v>0.362919544195347</v>
      </c>
      <c r="J21">
        <v>49</v>
      </c>
      <c r="K21" s="16">
        <v>0.50228491019099897</v>
      </c>
      <c r="L21">
        <v>85</v>
      </c>
      <c r="M21" s="16">
        <v>0.48817596318280199</v>
      </c>
      <c r="N21" s="11">
        <v>85</v>
      </c>
    </row>
    <row r="22" spans="1:14" outlineLevel="1" x14ac:dyDescent="0.25">
      <c r="A22" s="6" t="s">
        <v>14</v>
      </c>
      <c r="B22" t="s">
        <v>32</v>
      </c>
      <c r="C22" s="16">
        <v>0.63503177291815704</v>
      </c>
      <c r="D22">
        <v>127</v>
      </c>
      <c r="E22" s="16">
        <v>0.50584313555131999</v>
      </c>
      <c r="F22">
        <v>127</v>
      </c>
      <c r="G22" s="16">
        <v>0.63752357710906504</v>
      </c>
      <c r="H22">
        <v>73</v>
      </c>
      <c r="I22" s="16">
        <v>0.58011772300020703</v>
      </c>
      <c r="J22">
        <v>73</v>
      </c>
      <c r="K22" s="16">
        <v>0.63172235222626205</v>
      </c>
      <c r="L22">
        <v>54</v>
      </c>
      <c r="M22" s="16">
        <v>0.40719740027156898</v>
      </c>
      <c r="N22" s="11">
        <v>54</v>
      </c>
    </row>
    <row r="23" spans="1:14" outlineLevel="1" x14ac:dyDescent="0.25">
      <c r="A23" s="6" t="s">
        <v>14</v>
      </c>
      <c r="B23" t="s">
        <v>33</v>
      </c>
      <c r="C23" s="16">
        <v>0.420832571473851</v>
      </c>
      <c r="D23">
        <v>72</v>
      </c>
      <c r="E23" s="16">
        <v>0.35672584883222602</v>
      </c>
      <c r="F23">
        <v>72</v>
      </c>
      <c r="G23" s="16">
        <v>0.40675777761644399</v>
      </c>
      <c r="H23">
        <v>39</v>
      </c>
      <c r="I23" s="16">
        <v>0.32551650676101701</v>
      </c>
      <c r="J23">
        <v>39</v>
      </c>
      <c r="K23" s="16">
        <v>0.43719038689685702</v>
      </c>
      <c r="L23">
        <v>33</v>
      </c>
      <c r="M23" s="16">
        <v>0.39299754575698198</v>
      </c>
      <c r="N23" s="11">
        <v>33</v>
      </c>
    </row>
    <row r="24" spans="1:14" outlineLevel="1" x14ac:dyDescent="0.25">
      <c r="A24" s="6" t="s">
        <v>14</v>
      </c>
      <c r="B24" t="s">
        <v>34</v>
      </c>
      <c r="C24" s="16">
        <v>0.51073919577745996</v>
      </c>
      <c r="D24">
        <v>149</v>
      </c>
      <c r="E24" s="16">
        <v>0.32905955602245801</v>
      </c>
      <c r="F24">
        <v>149</v>
      </c>
      <c r="G24" s="16">
        <v>0.53933357128279602</v>
      </c>
      <c r="H24">
        <v>71</v>
      </c>
      <c r="I24" s="16">
        <v>0.39829920313306699</v>
      </c>
      <c r="J24">
        <v>71</v>
      </c>
      <c r="K24" s="16">
        <v>0.48869999655955199</v>
      </c>
      <c r="L24">
        <v>78</v>
      </c>
      <c r="M24" s="16">
        <v>0.27569289389117702</v>
      </c>
      <c r="N24" s="11">
        <v>78</v>
      </c>
    </row>
    <row r="25" spans="1:14" outlineLevel="1" x14ac:dyDescent="0.25">
      <c r="A25" s="6" t="s">
        <v>14</v>
      </c>
      <c r="B25" t="s">
        <v>35</v>
      </c>
      <c r="C25" s="16">
        <v>0.71031416757247501</v>
      </c>
      <c r="D25">
        <v>247</v>
      </c>
      <c r="E25" s="16">
        <v>0.49654174178522797</v>
      </c>
      <c r="F25">
        <v>247</v>
      </c>
      <c r="G25" s="16">
        <v>0.78473279205793001</v>
      </c>
      <c r="H25">
        <v>118</v>
      </c>
      <c r="I25" s="16">
        <v>0.55184924031662197</v>
      </c>
      <c r="J25">
        <v>118</v>
      </c>
      <c r="K25" s="16">
        <v>0.59242514867861495</v>
      </c>
      <c r="L25">
        <v>129</v>
      </c>
      <c r="M25" s="16">
        <v>0.40892729332664501</v>
      </c>
      <c r="N25" s="11">
        <v>129</v>
      </c>
    </row>
    <row r="26" spans="1:14" outlineLevel="1" x14ac:dyDescent="0.25">
      <c r="A26" s="6" t="s">
        <v>14</v>
      </c>
      <c r="B26" t="s">
        <v>36</v>
      </c>
      <c r="C26" s="16">
        <v>0.69630911789391903</v>
      </c>
      <c r="D26">
        <v>139</v>
      </c>
      <c r="E26" s="16">
        <v>0.57897337517963399</v>
      </c>
      <c r="F26">
        <v>139</v>
      </c>
      <c r="G26" s="16">
        <v>0.68254820574195996</v>
      </c>
      <c r="H26">
        <v>66</v>
      </c>
      <c r="I26" s="16">
        <v>0.63413259490869101</v>
      </c>
      <c r="J26">
        <v>66</v>
      </c>
      <c r="K26" s="16">
        <v>0.70931952823384503</v>
      </c>
      <c r="L26">
        <v>73</v>
      </c>
      <c r="M26" s="16">
        <v>0.52682246579366099</v>
      </c>
      <c r="N26" s="11">
        <v>73</v>
      </c>
    </row>
    <row r="27" spans="1:14" outlineLevel="1" x14ac:dyDescent="0.25">
      <c r="A27" s="6" t="s">
        <v>14</v>
      </c>
      <c r="B27" t="s">
        <v>37</v>
      </c>
      <c r="C27" s="16">
        <v>0.61011365045872301</v>
      </c>
      <c r="D27">
        <v>103</v>
      </c>
      <c r="E27" s="16">
        <v>0.54634900058074698</v>
      </c>
      <c r="F27">
        <v>103</v>
      </c>
      <c r="G27" s="16">
        <v>0.70466913274911902</v>
      </c>
      <c r="H27">
        <v>45</v>
      </c>
      <c r="I27" s="16">
        <v>0.63436827216505098</v>
      </c>
      <c r="J27">
        <v>45</v>
      </c>
      <c r="K27" s="16">
        <v>0.53429930090858002</v>
      </c>
      <c r="L27">
        <v>58</v>
      </c>
      <c r="M27" s="16">
        <v>0.47577536845070201</v>
      </c>
      <c r="N27" s="11">
        <v>58</v>
      </c>
    </row>
    <row r="28" spans="1:14" outlineLevel="1" x14ac:dyDescent="0.25">
      <c r="A28" s="6" t="s">
        <v>14</v>
      </c>
      <c r="B28" t="s">
        <v>38</v>
      </c>
      <c r="C28" s="16">
        <v>0.44280788106325703</v>
      </c>
      <c r="D28">
        <v>320</v>
      </c>
      <c r="E28" s="16">
        <v>0.35614527333394802</v>
      </c>
      <c r="F28">
        <v>320</v>
      </c>
      <c r="G28" s="16">
        <v>0.39244487542267698</v>
      </c>
      <c r="H28">
        <v>157</v>
      </c>
      <c r="I28" s="16">
        <v>0.29038268939964501</v>
      </c>
      <c r="J28">
        <v>157</v>
      </c>
      <c r="K28" s="16">
        <v>0.48674849916741297</v>
      </c>
      <c r="L28">
        <v>163</v>
      </c>
      <c r="M28" s="16">
        <v>0.41352168583049398</v>
      </c>
      <c r="N28" s="11">
        <v>163</v>
      </c>
    </row>
    <row r="29" spans="1:14" outlineLevel="1" x14ac:dyDescent="0.25">
      <c r="A29" s="6" t="s">
        <v>14</v>
      </c>
      <c r="B29" t="s">
        <v>39</v>
      </c>
      <c r="C29" s="16">
        <v>0.76305159036537096</v>
      </c>
      <c r="D29">
        <v>126</v>
      </c>
      <c r="E29" s="16">
        <v>0.635354145715612</v>
      </c>
      <c r="F29">
        <v>126</v>
      </c>
      <c r="G29" s="16">
        <v>0.82034940513895505</v>
      </c>
      <c r="H29">
        <v>60</v>
      </c>
      <c r="I29" s="16">
        <v>0.59004577297017002</v>
      </c>
      <c r="J29">
        <v>60</v>
      </c>
      <c r="K29" s="16">
        <v>0.72290847962648797</v>
      </c>
      <c r="L29">
        <v>66</v>
      </c>
      <c r="M29" s="16">
        <v>0.66709739860764805</v>
      </c>
      <c r="N29" s="11">
        <v>66</v>
      </c>
    </row>
    <row r="30" spans="1:14" outlineLevel="1" x14ac:dyDescent="0.25">
      <c r="A30" s="6" t="s">
        <v>14</v>
      </c>
      <c r="B30" t="s">
        <v>40</v>
      </c>
      <c r="C30" s="16">
        <v>0.56612347720608402</v>
      </c>
      <c r="D30">
        <v>108</v>
      </c>
      <c r="E30" s="16">
        <v>0.455074258829749</v>
      </c>
      <c r="F30">
        <v>108</v>
      </c>
      <c r="G30" s="16">
        <v>0.65143211879366503</v>
      </c>
      <c r="H30">
        <v>55</v>
      </c>
      <c r="I30" s="16">
        <v>0.55982427690385805</v>
      </c>
      <c r="J30">
        <v>55</v>
      </c>
      <c r="K30" s="16">
        <v>0.45961579642403499</v>
      </c>
      <c r="L30">
        <v>53</v>
      </c>
      <c r="M30" s="16">
        <v>0.32429405556631802</v>
      </c>
      <c r="N30" s="11">
        <v>53</v>
      </c>
    </row>
    <row r="31" spans="1:14" outlineLevel="1" x14ac:dyDescent="0.25">
      <c r="A31" s="6" t="s">
        <v>14</v>
      </c>
      <c r="B31" t="s">
        <v>41</v>
      </c>
      <c r="C31" s="16">
        <v>0.62840314060022795</v>
      </c>
      <c r="D31">
        <v>67</v>
      </c>
      <c r="E31" s="16">
        <v>0.58342629121256595</v>
      </c>
      <c r="F31">
        <v>67</v>
      </c>
      <c r="G31" s="16">
        <v>0.66565447923342302</v>
      </c>
      <c r="H31">
        <v>33</v>
      </c>
      <c r="I31" s="16">
        <v>0.604892464579185</v>
      </c>
      <c r="J31">
        <v>33</v>
      </c>
      <c r="K31" s="16">
        <v>0.59241710007392101</v>
      </c>
      <c r="L31">
        <v>34</v>
      </c>
      <c r="M31" s="16">
        <v>0.56268924891933902</v>
      </c>
      <c r="N31" s="11">
        <v>34</v>
      </c>
    </row>
    <row r="32" spans="1:14" outlineLevel="1" x14ac:dyDescent="0.25">
      <c r="A32" s="6" t="s">
        <v>14</v>
      </c>
      <c r="B32" t="s">
        <v>42</v>
      </c>
      <c r="C32" s="16">
        <v>0.291687121337948</v>
      </c>
      <c r="D32">
        <v>204</v>
      </c>
      <c r="E32" s="16">
        <v>0.17406156727781499</v>
      </c>
      <c r="F32">
        <v>204</v>
      </c>
      <c r="G32" s="16">
        <v>0.27307410656389502</v>
      </c>
      <c r="H32">
        <v>109</v>
      </c>
      <c r="I32" s="16">
        <v>0.167162724408322</v>
      </c>
      <c r="J32">
        <v>109</v>
      </c>
      <c r="K32" s="16">
        <v>0.31135741087945301</v>
      </c>
      <c r="L32">
        <v>95</v>
      </c>
      <c r="M32" s="16">
        <v>0.181352285003643</v>
      </c>
      <c r="N32" s="11">
        <v>95</v>
      </c>
    </row>
    <row r="33" spans="1:14" outlineLevel="1" x14ac:dyDescent="0.25">
      <c r="A33" s="6" t="s">
        <v>14</v>
      </c>
      <c r="B33" t="s">
        <v>43</v>
      </c>
      <c r="C33" s="16">
        <v>0.53804027174986602</v>
      </c>
      <c r="D33">
        <v>94</v>
      </c>
      <c r="E33" s="16">
        <v>0.33386205253672901</v>
      </c>
      <c r="F33">
        <v>94</v>
      </c>
      <c r="G33" s="16">
        <v>0.64776508041451897</v>
      </c>
      <c r="H33">
        <v>48</v>
      </c>
      <c r="I33" s="16">
        <v>0.34022370968987897</v>
      </c>
      <c r="J33">
        <v>48</v>
      </c>
      <c r="K33" s="16">
        <v>0.42796755549091098</v>
      </c>
      <c r="L33">
        <v>46</v>
      </c>
      <c r="M33" s="16">
        <v>0.32748022429499002</v>
      </c>
      <c r="N33" s="11">
        <v>46</v>
      </c>
    </row>
    <row r="34" spans="1:14" outlineLevel="1" x14ac:dyDescent="0.25">
      <c r="A34" s="6" t="s">
        <v>14</v>
      </c>
      <c r="B34" t="s">
        <v>44</v>
      </c>
      <c r="C34" s="16">
        <v>0.62149349667409404</v>
      </c>
      <c r="D34">
        <v>53</v>
      </c>
      <c r="E34" s="16">
        <v>0.433122051913648</v>
      </c>
      <c r="F34">
        <v>53</v>
      </c>
      <c r="G34" s="16">
        <v>0.53687510189562904</v>
      </c>
      <c r="H34">
        <v>26</v>
      </c>
      <c r="I34" s="16">
        <v>0.38309792355234101</v>
      </c>
      <c r="J34">
        <v>26</v>
      </c>
      <c r="K34" s="16">
        <v>0.70335031130259595</v>
      </c>
      <c r="L34">
        <v>27</v>
      </c>
      <c r="M34" s="16">
        <v>0.48151360806339999</v>
      </c>
      <c r="N34" s="11">
        <v>27</v>
      </c>
    </row>
    <row r="35" spans="1:14" outlineLevel="1" x14ac:dyDescent="0.25">
      <c r="A35" s="6" t="s">
        <v>14</v>
      </c>
      <c r="B35" t="s">
        <v>45</v>
      </c>
      <c r="C35" s="16">
        <v>0.49138125831809998</v>
      </c>
      <c r="D35">
        <v>181</v>
      </c>
      <c r="E35" s="16">
        <v>0.35491694040230998</v>
      </c>
      <c r="F35">
        <v>181</v>
      </c>
      <c r="G35" s="16">
        <v>0.56154947442085101</v>
      </c>
      <c r="H35">
        <v>88</v>
      </c>
      <c r="I35" s="16">
        <v>0.40807993353756</v>
      </c>
      <c r="J35">
        <v>88</v>
      </c>
      <c r="K35" s="16">
        <v>0.41064993863971699</v>
      </c>
      <c r="L35">
        <v>93</v>
      </c>
      <c r="M35" s="16">
        <v>0.29375080518837299</v>
      </c>
      <c r="N35" s="11">
        <v>93</v>
      </c>
    </row>
    <row r="36" spans="1:14" outlineLevel="1" x14ac:dyDescent="0.25">
      <c r="A36" s="6" t="s">
        <v>14</v>
      </c>
      <c r="B36" t="s">
        <v>46</v>
      </c>
      <c r="C36" s="16">
        <v>0.567057425565199</v>
      </c>
      <c r="D36">
        <v>135</v>
      </c>
      <c r="E36" s="16">
        <v>0.39402059094717001</v>
      </c>
      <c r="F36">
        <v>135</v>
      </c>
      <c r="G36" s="16">
        <v>0.53228572033664001</v>
      </c>
      <c r="H36">
        <v>66</v>
      </c>
      <c r="I36" s="16">
        <v>0.41795125760853702</v>
      </c>
      <c r="J36">
        <v>66</v>
      </c>
      <c r="K36" s="16">
        <v>0.60418468354051902</v>
      </c>
      <c r="L36">
        <v>69</v>
      </c>
      <c r="M36" s="16">
        <v>0.36846878010505502</v>
      </c>
      <c r="N36" s="11">
        <v>69</v>
      </c>
    </row>
    <row r="37" spans="1:14" outlineLevel="1" x14ac:dyDescent="0.25">
      <c r="A37" s="7" t="s">
        <v>14</v>
      </c>
      <c r="B37" s="9" t="s">
        <v>47</v>
      </c>
      <c r="C37" s="15">
        <v>0.40602023196221798</v>
      </c>
      <c r="D37" s="9">
        <v>111</v>
      </c>
      <c r="E37" s="15">
        <v>0.29149216759234298</v>
      </c>
      <c r="F37" s="9">
        <v>111</v>
      </c>
      <c r="G37" s="15">
        <v>0.49096307846811599</v>
      </c>
      <c r="H37" s="9">
        <v>49</v>
      </c>
      <c r="I37" s="15">
        <v>0.38984495495072702</v>
      </c>
      <c r="J37" s="9">
        <v>49</v>
      </c>
      <c r="K37" s="15">
        <v>0.33833418107596103</v>
      </c>
      <c r="L37" s="9">
        <v>62</v>
      </c>
      <c r="M37" s="15">
        <v>0.21312050895617299</v>
      </c>
      <c r="N37" s="12">
        <v>62</v>
      </c>
    </row>
    <row r="38" spans="1:14" x14ac:dyDescent="0.25">
      <c r="C38" s="16"/>
      <c r="E38" s="16"/>
      <c r="G38" s="16"/>
      <c r="I38" s="16"/>
      <c r="K38" s="16"/>
      <c r="M38" s="16"/>
    </row>
    <row r="39" spans="1:14" x14ac:dyDescent="0.25">
      <c r="A39" s="19" t="s">
        <v>48</v>
      </c>
      <c r="B39" s="19"/>
      <c r="C39" s="20"/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</row>
    <row r="40" spans="1:14" outlineLevel="1" x14ac:dyDescent="0.25">
      <c r="A40" s="5" t="s">
        <v>14</v>
      </c>
      <c r="B40" s="8" t="s">
        <v>49</v>
      </c>
      <c r="C40" s="14">
        <v>0.55966280512115296</v>
      </c>
      <c r="D40" s="8">
        <v>469</v>
      </c>
      <c r="E40" s="14">
        <v>0.36272418723934702</v>
      </c>
      <c r="F40" s="8">
        <v>469</v>
      </c>
      <c r="G40" s="14">
        <v>0.6055790039765</v>
      </c>
      <c r="H40" s="8">
        <v>231</v>
      </c>
      <c r="I40" s="14">
        <v>0.399474551099122</v>
      </c>
      <c r="J40" s="8">
        <v>231</v>
      </c>
      <c r="K40" s="14">
        <v>0.49626755990432903</v>
      </c>
      <c r="L40" s="8">
        <v>238</v>
      </c>
      <c r="M40" s="14">
        <v>0.31198396076638202</v>
      </c>
      <c r="N40" s="10">
        <v>238</v>
      </c>
    </row>
    <row r="41" spans="1:14" outlineLevel="1" x14ac:dyDescent="0.25">
      <c r="A41" s="6" t="s">
        <v>14</v>
      </c>
      <c r="B41" t="s">
        <v>50</v>
      </c>
      <c r="C41" s="16">
        <v>0.62126296199960096</v>
      </c>
      <c r="D41">
        <v>617</v>
      </c>
      <c r="E41" s="16">
        <v>0.50954921051605995</v>
      </c>
      <c r="F41">
        <v>617</v>
      </c>
      <c r="G41" s="16">
        <v>0.646877668838301</v>
      </c>
      <c r="H41">
        <v>296</v>
      </c>
      <c r="I41" s="16">
        <v>0.53022515357353195</v>
      </c>
      <c r="J41">
        <v>296</v>
      </c>
      <c r="K41" s="16">
        <v>0.59560825580590804</v>
      </c>
      <c r="L41">
        <v>321</v>
      </c>
      <c r="M41" s="16">
        <v>0.48884098036698198</v>
      </c>
      <c r="N41" s="11">
        <v>321</v>
      </c>
    </row>
    <row r="42" spans="1:14" outlineLevel="1" x14ac:dyDescent="0.25">
      <c r="A42" s="7" t="s">
        <v>14</v>
      </c>
      <c r="B42" s="9" t="s">
        <v>51</v>
      </c>
      <c r="C42" s="15">
        <v>0.60712106260184995</v>
      </c>
      <c r="D42" s="9">
        <v>1779</v>
      </c>
      <c r="E42" s="15">
        <v>0.50494879187035802</v>
      </c>
      <c r="F42" s="9">
        <v>1779</v>
      </c>
      <c r="G42" s="15">
        <v>0.63258615183370304</v>
      </c>
      <c r="H42" s="9">
        <v>858</v>
      </c>
      <c r="I42" s="15">
        <v>0.52711502368962404</v>
      </c>
      <c r="J42" s="9">
        <v>858</v>
      </c>
      <c r="K42" s="15">
        <v>0.58453311262472396</v>
      </c>
      <c r="L42" s="9">
        <v>921</v>
      </c>
      <c r="M42" s="15">
        <v>0.48528698228640998</v>
      </c>
      <c r="N42" s="12">
        <v>921</v>
      </c>
    </row>
    <row r="43" spans="1:14" x14ac:dyDescent="0.25">
      <c r="C43" s="16"/>
      <c r="E43" s="16"/>
      <c r="G43" s="16"/>
      <c r="I43" s="16"/>
      <c r="K43" s="16"/>
      <c r="M43" s="16"/>
    </row>
    <row r="44" spans="1:14" x14ac:dyDescent="0.25">
      <c r="A44" s="19" t="s">
        <v>52</v>
      </c>
      <c r="B44" s="19"/>
      <c r="C44" s="20"/>
      <c r="D44" s="19"/>
      <c r="E44" s="20"/>
      <c r="F44" s="19"/>
      <c r="G44" s="20"/>
      <c r="H44" s="19"/>
      <c r="I44" s="20"/>
      <c r="J44" s="19"/>
      <c r="K44" s="20"/>
      <c r="L44" s="19"/>
      <c r="M44" s="20"/>
      <c r="N44" s="19"/>
    </row>
    <row r="45" spans="1:14" outlineLevel="1" x14ac:dyDescent="0.25">
      <c r="A45" s="5" t="s">
        <v>14</v>
      </c>
      <c r="B45" s="8" t="s">
        <v>53</v>
      </c>
      <c r="C45" s="14">
        <v>0.57344295545295798</v>
      </c>
      <c r="D45" s="8">
        <v>772</v>
      </c>
      <c r="E45" s="14">
        <v>0.45736036972404798</v>
      </c>
      <c r="F45" s="8">
        <v>772</v>
      </c>
      <c r="G45" s="14">
        <v>0.62608452810342297</v>
      </c>
      <c r="H45" s="8">
        <v>373</v>
      </c>
      <c r="I45" s="14">
        <v>0.48983834267148102</v>
      </c>
      <c r="J45" s="8">
        <v>373</v>
      </c>
      <c r="K45" s="14">
        <v>0.51922071623078703</v>
      </c>
      <c r="L45" s="8">
        <v>399</v>
      </c>
      <c r="M45" s="14">
        <v>0.42390718187382898</v>
      </c>
      <c r="N45" s="10">
        <v>399</v>
      </c>
    </row>
    <row r="46" spans="1:14" outlineLevel="1" x14ac:dyDescent="0.25">
      <c r="A46" s="7" t="s">
        <v>14</v>
      </c>
      <c r="B46" s="9" t="s">
        <v>54</v>
      </c>
      <c r="C46" s="15">
        <v>0.60444917786336205</v>
      </c>
      <c r="D46" s="9">
        <v>2093</v>
      </c>
      <c r="E46" s="15">
        <v>0.46631483390563</v>
      </c>
      <c r="F46" s="9">
        <v>2093</v>
      </c>
      <c r="G46" s="15">
        <v>0.62680630711226104</v>
      </c>
      <c r="H46" s="9">
        <v>1012</v>
      </c>
      <c r="I46" s="15">
        <v>0.483049963444666</v>
      </c>
      <c r="J46" s="9">
        <v>1012</v>
      </c>
      <c r="K46" s="15">
        <v>0.58118485723714397</v>
      </c>
      <c r="L46" s="9">
        <v>1081</v>
      </c>
      <c r="M46" s="15">
        <v>0.44890063841644101</v>
      </c>
      <c r="N46" s="12">
        <v>1081</v>
      </c>
    </row>
    <row r="47" spans="1:14" x14ac:dyDescent="0.25">
      <c r="C47" s="16"/>
      <c r="E47" s="16"/>
      <c r="G47" s="16"/>
      <c r="I47" s="16"/>
      <c r="K47" s="16"/>
      <c r="M47" s="16"/>
    </row>
    <row r="48" spans="1:14" x14ac:dyDescent="0.25">
      <c r="A48" s="19" t="s">
        <v>55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</row>
    <row r="49" spans="1:14" outlineLevel="1" x14ac:dyDescent="0.25">
      <c r="A49" s="5" t="s">
        <v>14</v>
      </c>
      <c r="B49" s="8" t="s">
        <v>56</v>
      </c>
      <c r="C49" s="14">
        <v>0.55966280512115296</v>
      </c>
      <c r="D49" s="8">
        <v>469</v>
      </c>
      <c r="E49" s="14">
        <v>0.36272418723934702</v>
      </c>
      <c r="F49" s="8">
        <v>469</v>
      </c>
      <c r="G49" s="14">
        <v>0.6055790039765</v>
      </c>
      <c r="H49" s="8">
        <v>231</v>
      </c>
      <c r="I49" s="14">
        <v>0.399474551099122</v>
      </c>
      <c r="J49" s="8">
        <v>231</v>
      </c>
      <c r="K49" s="14">
        <v>0.49626755990432903</v>
      </c>
      <c r="L49" s="8">
        <v>238</v>
      </c>
      <c r="M49" s="14">
        <v>0.31198396076638202</v>
      </c>
      <c r="N49" s="10">
        <v>238</v>
      </c>
    </row>
    <row r="50" spans="1:14" outlineLevel="1" x14ac:dyDescent="0.25">
      <c r="A50" s="6" t="s">
        <v>14</v>
      </c>
      <c r="B50" t="s">
        <v>57</v>
      </c>
      <c r="C50" s="16">
        <v>0.54857908964115498</v>
      </c>
      <c r="D50">
        <v>1670</v>
      </c>
      <c r="E50" s="16">
        <v>0.431425046722338</v>
      </c>
      <c r="F50">
        <v>1670</v>
      </c>
      <c r="G50" s="16">
        <v>0.51675360668047599</v>
      </c>
      <c r="H50">
        <v>794</v>
      </c>
      <c r="I50" s="16">
        <v>0.41845555093804898</v>
      </c>
      <c r="J50">
        <v>794</v>
      </c>
      <c r="K50" s="16">
        <v>0.57641131768209297</v>
      </c>
      <c r="L50">
        <v>876</v>
      </c>
      <c r="M50" s="16">
        <v>0.442767214402569</v>
      </c>
      <c r="N50" s="11">
        <v>876</v>
      </c>
    </row>
    <row r="51" spans="1:14" outlineLevel="1" x14ac:dyDescent="0.25">
      <c r="A51" s="7" t="s">
        <v>14</v>
      </c>
      <c r="B51" s="9" t="s">
        <v>58</v>
      </c>
      <c r="C51" s="15">
        <v>0.68063097456461896</v>
      </c>
      <c r="D51" s="9">
        <v>726</v>
      </c>
      <c r="E51" s="15">
        <v>0.58857694960567097</v>
      </c>
      <c r="F51" s="9">
        <v>726</v>
      </c>
      <c r="G51" s="15">
        <v>0.76206186993582903</v>
      </c>
      <c r="H51" s="9">
        <v>360</v>
      </c>
      <c r="I51" s="15">
        <v>0.64168246367222803</v>
      </c>
      <c r="J51" s="9">
        <v>360</v>
      </c>
      <c r="K51" s="15">
        <v>0.601141543091949</v>
      </c>
      <c r="L51" s="9">
        <v>366</v>
      </c>
      <c r="M51" s="15">
        <v>0.53673756969990905</v>
      </c>
      <c r="N51" s="12">
        <v>366</v>
      </c>
    </row>
    <row r="52" spans="1:14" x14ac:dyDescent="0.25">
      <c r="C52" s="16"/>
      <c r="E52" s="16"/>
      <c r="G52" s="16"/>
      <c r="I52" s="16"/>
      <c r="K52" s="16"/>
      <c r="M52" s="16"/>
    </row>
    <row r="53" spans="1:14" x14ac:dyDescent="0.25">
      <c r="A53" s="19" t="s">
        <v>59</v>
      </c>
      <c r="B53" s="19"/>
      <c r="C53" s="20"/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</row>
    <row r="54" spans="1:14" outlineLevel="1" x14ac:dyDescent="0.25">
      <c r="A54" s="5" t="s">
        <v>14</v>
      </c>
      <c r="B54" s="8" t="s">
        <v>60</v>
      </c>
      <c r="C54" s="14">
        <v>0.58372045161614805</v>
      </c>
      <c r="D54" s="8">
        <v>1063</v>
      </c>
      <c r="E54" s="14">
        <v>0.42396144839481598</v>
      </c>
      <c r="F54" s="8">
        <v>1063</v>
      </c>
      <c r="G54" s="14">
        <v>0.62023851257537799</v>
      </c>
      <c r="H54" s="8">
        <v>516</v>
      </c>
      <c r="I54" s="14">
        <v>0.45024432299584499</v>
      </c>
      <c r="J54" s="8">
        <v>516</v>
      </c>
      <c r="K54" s="14">
        <v>0.539570399628442</v>
      </c>
      <c r="L54" s="8">
        <v>547</v>
      </c>
      <c r="M54" s="14">
        <v>0.39218565719611798</v>
      </c>
      <c r="N54" s="10">
        <v>547</v>
      </c>
    </row>
    <row r="55" spans="1:14" outlineLevel="1" x14ac:dyDescent="0.25">
      <c r="A55" s="6" t="s">
        <v>14</v>
      </c>
      <c r="B55" t="s">
        <v>61</v>
      </c>
      <c r="C55" s="16">
        <v>0.64030710905389099</v>
      </c>
      <c r="D55">
        <v>6</v>
      </c>
      <c r="E55" s="16">
        <v>0.46046066358083598</v>
      </c>
      <c r="F55">
        <v>6</v>
      </c>
      <c r="G55" s="16">
        <v>0.58121378885878106</v>
      </c>
      <c r="H55">
        <v>5</v>
      </c>
      <c r="I55" s="16">
        <v>0.37182068328817203</v>
      </c>
      <c r="J55">
        <v>5</v>
      </c>
      <c r="K55" s="16">
        <v>1</v>
      </c>
      <c r="L55">
        <v>1</v>
      </c>
      <c r="M55" s="16">
        <v>1</v>
      </c>
      <c r="N55" s="11">
        <v>1</v>
      </c>
    </row>
    <row r="56" spans="1:14" outlineLevel="1" x14ac:dyDescent="0.25">
      <c r="A56" s="6" t="s">
        <v>14</v>
      </c>
      <c r="B56" t="s">
        <v>62</v>
      </c>
      <c r="C56" s="16">
        <v>0.91324693538005297</v>
      </c>
      <c r="D56">
        <v>11</v>
      </c>
      <c r="E56" s="16">
        <v>0.59421399928461904</v>
      </c>
      <c r="F56">
        <v>11</v>
      </c>
      <c r="G56" s="16">
        <v>1</v>
      </c>
      <c r="H56">
        <v>4</v>
      </c>
      <c r="I56" s="16">
        <v>0.36237832262500802</v>
      </c>
      <c r="J56">
        <v>4</v>
      </c>
      <c r="K56" s="16">
        <v>0.88759152371980499</v>
      </c>
      <c r="L56">
        <v>7</v>
      </c>
      <c r="M56" s="16">
        <v>0.66277457115941396</v>
      </c>
      <c r="N56" s="11">
        <v>7</v>
      </c>
    </row>
    <row r="57" spans="1:14" outlineLevel="1" x14ac:dyDescent="0.25">
      <c r="A57" s="6" t="s">
        <v>14</v>
      </c>
      <c r="B57" t="s">
        <v>63</v>
      </c>
      <c r="C57" s="16">
        <v>0.72705559217139903</v>
      </c>
      <c r="D57">
        <v>6</v>
      </c>
      <c r="E57" s="16">
        <v>0.72705559217139903</v>
      </c>
      <c r="F57">
        <v>6</v>
      </c>
      <c r="G57" s="16">
        <v>1</v>
      </c>
      <c r="H57">
        <v>2</v>
      </c>
      <c r="I57" s="16">
        <v>1</v>
      </c>
      <c r="J57">
        <v>2</v>
      </c>
      <c r="K57" s="16">
        <v>0.47490244411730398</v>
      </c>
      <c r="L57">
        <v>4</v>
      </c>
      <c r="M57" s="16">
        <v>0.47490244411730398</v>
      </c>
      <c r="N57" s="11">
        <v>4</v>
      </c>
    </row>
    <row r="58" spans="1:14" outlineLevel="1" x14ac:dyDescent="0.25">
      <c r="A58" s="6" t="s">
        <v>14</v>
      </c>
      <c r="B58" t="s">
        <v>64</v>
      </c>
      <c r="C58" s="16"/>
      <c r="E58" s="16"/>
      <c r="G58" s="16">
        <v>0.63258615183370304</v>
      </c>
      <c r="H58">
        <v>858</v>
      </c>
      <c r="I58" s="16">
        <v>0.52711502368962404</v>
      </c>
      <c r="J58">
        <v>858</v>
      </c>
      <c r="K58" s="16">
        <v>0.58453311262472396</v>
      </c>
      <c r="L58">
        <v>921</v>
      </c>
      <c r="M58" s="16">
        <v>0.48528698228640998</v>
      </c>
      <c r="N58" s="11">
        <v>921</v>
      </c>
    </row>
    <row r="59" spans="1:14" outlineLevel="1" x14ac:dyDescent="0.25">
      <c r="A59" s="7" t="s">
        <v>14</v>
      </c>
      <c r="B59" s="9" t="s">
        <v>14</v>
      </c>
      <c r="C59" s="15">
        <v>0.60712106260184995</v>
      </c>
      <c r="D59" s="9">
        <v>1779</v>
      </c>
      <c r="E59" s="15">
        <v>0.50494879187035802</v>
      </c>
      <c r="F59" s="9">
        <v>1779</v>
      </c>
      <c r="G59" s="15"/>
      <c r="H59" s="9"/>
      <c r="I59" s="15"/>
      <c r="J59" s="9"/>
      <c r="K59" s="15"/>
      <c r="L59" s="9"/>
      <c r="M59" s="15"/>
      <c r="N59" s="12"/>
    </row>
    <row r="60" spans="1:14" x14ac:dyDescent="0.25">
      <c r="C60" s="16"/>
      <c r="E60" s="16"/>
      <c r="G60" s="16"/>
      <c r="I60" s="16"/>
      <c r="K60" s="16"/>
      <c r="M60" s="16"/>
    </row>
    <row r="61" spans="1:14" x14ac:dyDescent="0.25">
      <c r="A61" s="19" t="s">
        <v>65</v>
      </c>
      <c r="B61" s="19"/>
      <c r="C61" s="20"/>
      <c r="D61" s="19"/>
      <c r="E61" s="20"/>
      <c r="F61" s="19"/>
      <c r="G61" s="20"/>
      <c r="H61" s="19"/>
      <c r="I61" s="20"/>
      <c r="J61" s="19"/>
      <c r="K61" s="20"/>
      <c r="L61" s="19"/>
      <c r="M61" s="20"/>
      <c r="N61" s="19"/>
    </row>
    <row r="62" spans="1:14" outlineLevel="1" x14ac:dyDescent="0.25">
      <c r="A62" s="5" t="s">
        <v>14</v>
      </c>
      <c r="B62" s="8" t="s">
        <v>66</v>
      </c>
      <c r="C62" s="14">
        <v>0.60321882549930095</v>
      </c>
      <c r="D62" s="8">
        <v>2771</v>
      </c>
      <c r="E62" s="14">
        <v>0.46928757977243601</v>
      </c>
      <c r="F62" s="8">
        <v>2771</v>
      </c>
      <c r="G62" s="14">
        <v>0.63096841740674503</v>
      </c>
      <c r="H62" s="8">
        <v>1352</v>
      </c>
      <c r="I62" s="14">
        <v>0.48787967237055702</v>
      </c>
      <c r="J62" s="8">
        <v>1352</v>
      </c>
      <c r="K62" s="14">
        <v>0.57425944509631899</v>
      </c>
      <c r="L62" s="8">
        <v>1419</v>
      </c>
      <c r="M62" s="14">
        <v>0.44988493472337299</v>
      </c>
      <c r="N62" s="10">
        <v>1419</v>
      </c>
    </row>
    <row r="63" spans="1:14" outlineLevel="1" x14ac:dyDescent="0.25">
      <c r="A63" s="7" t="s">
        <v>14</v>
      </c>
      <c r="B63" s="9" t="s">
        <v>67</v>
      </c>
      <c r="C63" s="15">
        <v>0.39708728099656299</v>
      </c>
      <c r="D63" s="9">
        <v>94</v>
      </c>
      <c r="E63" s="15">
        <v>0.31149626174622602</v>
      </c>
      <c r="F63" s="9">
        <v>94</v>
      </c>
      <c r="G63" s="15">
        <v>0.491535709833538</v>
      </c>
      <c r="H63" s="9">
        <v>33</v>
      </c>
      <c r="I63" s="15">
        <v>0.39054478565103201</v>
      </c>
      <c r="J63" s="9">
        <v>33</v>
      </c>
      <c r="K63" s="15">
        <v>0.31354156713444598</v>
      </c>
      <c r="L63" s="9">
        <v>61</v>
      </c>
      <c r="M63" s="15">
        <v>0.24157275491084099</v>
      </c>
      <c r="N63" s="12">
        <v>61</v>
      </c>
    </row>
    <row r="64" spans="1:14" x14ac:dyDescent="0.25">
      <c r="C64" s="16"/>
      <c r="E64" s="16"/>
      <c r="G64" s="16"/>
      <c r="I64" s="16"/>
      <c r="K64" s="16"/>
      <c r="M64" s="16"/>
    </row>
    <row r="65" spans="1:14" x14ac:dyDescent="0.25">
      <c r="A65" s="19" t="s">
        <v>68</v>
      </c>
      <c r="B65" s="19"/>
      <c r="C65" s="20"/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</row>
    <row r="66" spans="1:14" outlineLevel="1" x14ac:dyDescent="0.25">
      <c r="A66" s="5" t="s">
        <v>14</v>
      </c>
      <c r="B66" s="8" t="s">
        <v>66</v>
      </c>
      <c r="C66" s="14">
        <v>0.60266604434847604</v>
      </c>
      <c r="D66" s="8">
        <v>2745</v>
      </c>
      <c r="E66" s="14">
        <v>0.46868408351228003</v>
      </c>
      <c r="F66" s="8">
        <v>2745</v>
      </c>
      <c r="G66" s="14">
        <v>0.63395494582413503</v>
      </c>
      <c r="H66" s="8">
        <v>1342</v>
      </c>
      <c r="I66" s="14">
        <v>0.49097093752179299</v>
      </c>
      <c r="J66" s="8">
        <v>1342</v>
      </c>
      <c r="K66" s="14">
        <v>0.56979209951517096</v>
      </c>
      <c r="L66" s="8">
        <v>1403</v>
      </c>
      <c r="M66" s="14">
        <v>0.44526821479644701</v>
      </c>
      <c r="N66" s="10">
        <v>1403</v>
      </c>
    </row>
    <row r="67" spans="1:14" outlineLevel="1" x14ac:dyDescent="0.25">
      <c r="A67" s="7" t="s">
        <v>14</v>
      </c>
      <c r="B67" s="9" t="s">
        <v>67</v>
      </c>
      <c r="C67" s="15">
        <v>0.45425655768326501</v>
      </c>
      <c r="D67" s="9">
        <v>120</v>
      </c>
      <c r="E67" s="15">
        <v>0.35924170513071901</v>
      </c>
      <c r="F67" s="9">
        <v>120</v>
      </c>
      <c r="G67" s="15">
        <v>0.43837685453812503</v>
      </c>
      <c r="H67" s="9">
        <v>43</v>
      </c>
      <c r="I67" s="15">
        <v>0.32762190228522797</v>
      </c>
      <c r="J67" s="9">
        <v>43</v>
      </c>
      <c r="K67" s="15">
        <v>0.46679258054973499</v>
      </c>
      <c r="L67" s="9">
        <v>77</v>
      </c>
      <c r="M67" s="15">
        <v>0.38420354275963298</v>
      </c>
      <c r="N67" s="12">
        <v>77</v>
      </c>
    </row>
    <row r="68" spans="1:14" x14ac:dyDescent="0.25">
      <c r="C68" s="16"/>
      <c r="E68" s="16"/>
      <c r="G68" s="16"/>
      <c r="I68" s="16"/>
      <c r="K68" s="16"/>
      <c r="M68" s="16"/>
    </row>
    <row r="69" spans="1:14" x14ac:dyDescent="0.25">
      <c r="C69" s="16"/>
      <c r="E69" s="16"/>
      <c r="G69" s="16"/>
      <c r="I69" s="16"/>
      <c r="K69" s="16"/>
      <c r="M69" s="16"/>
    </row>
  </sheetData>
  <mergeCells count="22">
    <mergeCell ref="A48:N48"/>
    <mergeCell ref="A53:N53"/>
    <mergeCell ref="A61:N61"/>
    <mergeCell ref="A65:N65"/>
    <mergeCell ref="A6:N6"/>
    <mergeCell ref="A9:N9"/>
    <mergeCell ref="A16:N16"/>
    <mergeCell ref="A39:N39"/>
    <mergeCell ref="A44:N44"/>
    <mergeCell ref="E4:F4"/>
    <mergeCell ref="C4:D4"/>
    <mergeCell ref="I4:J4"/>
    <mergeCell ref="G4:H4"/>
    <mergeCell ref="M4:N4"/>
    <mergeCell ref="K4:L4"/>
    <mergeCell ref="A1:N1"/>
    <mergeCell ref="C2:F2"/>
    <mergeCell ref="G2:J2"/>
    <mergeCell ref="K2:N2"/>
    <mergeCell ref="E3:F3"/>
    <mergeCell ref="I3:J3"/>
    <mergeCell ref="M3:N3"/>
  </mergeCells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7"/>
  <sheetViews>
    <sheetView showGridLines="0" workbookViewId="0">
      <selection sqref="A1:N1"/>
    </sheetView>
  </sheetViews>
  <sheetFormatPr defaultColWidth="11.42578125" defaultRowHeight="15" outlineLevelRow="1" x14ac:dyDescent="0.25"/>
  <sheetData>
    <row r="1" spans="1:14" x14ac:dyDescent="0.25">
      <c r="A1" s="18" t="s">
        <v>90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x14ac:dyDescent="0.25">
      <c r="C2" s="19" t="s">
        <v>2</v>
      </c>
      <c r="D2" s="19"/>
      <c r="E2" s="19"/>
      <c r="F2" s="19"/>
      <c r="G2" s="19" t="s">
        <v>3</v>
      </c>
      <c r="H2" s="19"/>
      <c r="I2" s="19"/>
      <c r="J2" s="19"/>
      <c r="K2" s="19" t="s">
        <v>4</v>
      </c>
      <c r="L2" s="19"/>
      <c r="M2" s="19"/>
      <c r="N2" s="19"/>
    </row>
    <row r="3" spans="1:14" x14ac:dyDescent="0.25">
      <c r="E3" s="19" t="s">
        <v>83</v>
      </c>
      <c r="F3" s="19"/>
      <c r="I3" s="19" t="s">
        <v>83</v>
      </c>
      <c r="J3" s="19"/>
      <c r="M3" s="19" t="s">
        <v>83</v>
      </c>
      <c r="N3" s="19"/>
    </row>
    <row r="4" spans="1:14" x14ac:dyDescent="0.25">
      <c r="C4" s="19" t="s">
        <v>9</v>
      </c>
      <c r="D4" s="19"/>
      <c r="E4" s="19" t="s">
        <v>91</v>
      </c>
      <c r="F4" s="19"/>
      <c r="G4" s="19" t="s">
        <v>9</v>
      </c>
      <c r="H4" s="19"/>
      <c r="I4" s="19" t="s">
        <v>91</v>
      </c>
      <c r="J4" s="19"/>
      <c r="K4" s="19" t="s">
        <v>9</v>
      </c>
      <c r="L4" s="19"/>
      <c r="M4" s="19" t="s">
        <v>91</v>
      </c>
      <c r="N4" s="19"/>
    </row>
    <row r="5" spans="1:14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</row>
    <row r="6" spans="1:14" x14ac:dyDescent="0.25">
      <c r="A6" s="19" t="s">
        <v>15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</row>
    <row r="7" spans="1:14" outlineLevel="1" x14ac:dyDescent="0.25">
      <c r="A7" s="2" t="s">
        <v>14</v>
      </c>
      <c r="B7" s="3" t="s">
        <v>19</v>
      </c>
      <c r="C7" s="13">
        <v>0.338232047832835</v>
      </c>
      <c r="D7" s="3">
        <v>2209</v>
      </c>
      <c r="E7" s="13">
        <v>0.247540056781928</v>
      </c>
      <c r="F7" s="3">
        <v>2209</v>
      </c>
      <c r="G7" s="13">
        <v>0.34996475769452701</v>
      </c>
      <c r="H7" s="3">
        <v>1098</v>
      </c>
      <c r="I7" s="13">
        <v>0.25617427161558798</v>
      </c>
      <c r="J7" s="3">
        <v>1098</v>
      </c>
      <c r="K7" s="13">
        <v>0.32711444648522597</v>
      </c>
      <c r="L7" s="3">
        <v>1111</v>
      </c>
      <c r="M7" s="13">
        <v>0.239358506261902</v>
      </c>
      <c r="N7" s="4">
        <v>1111</v>
      </c>
    </row>
    <row r="8" spans="1:14" x14ac:dyDescent="0.25">
      <c r="C8" s="16"/>
      <c r="E8" s="16"/>
      <c r="G8" s="16"/>
      <c r="I8" s="16"/>
      <c r="K8" s="16"/>
      <c r="M8" s="16"/>
    </row>
    <row r="9" spans="1:14" x14ac:dyDescent="0.25">
      <c r="A9" s="19" t="s">
        <v>20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</row>
    <row r="10" spans="1:14" outlineLevel="1" x14ac:dyDescent="0.25">
      <c r="A10" s="5" t="s">
        <v>14</v>
      </c>
      <c r="B10" s="8" t="s">
        <v>21</v>
      </c>
      <c r="C10" s="14">
        <v>0.38701645698387999</v>
      </c>
      <c r="D10" s="8">
        <v>606</v>
      </c>
      <c r="E10" s="14">
        <v>0.29763642830937398</v>
      </c>
      <c r="F10" s="8">
        <v>606</v>
      </c>
      <c r="G10" s="14">
        <v>0.41532267329842598</v>
      </c>
      <c r="H10" s="8">
        <v>307</v>
      </c>
      <c r="I10" s="14">
        <v>0.32406876772280602</v>
      </c>
      <c r="J10" s="8">
        <v>307</v>
      </c>
      <c r="K10" s="14">
        <v>0.35639284768222201</v>
      </c>
      <c r="L10" s="8">
        <v>299</v>
      </c>
      <c r="M10" s="14">
        <v>0.26904010776512</v>
      </c>
      <c r="N10" s="10">
        <v>299</v>
      </c>
    </row>
    <row r="11" spans="1:14" outlineLevel="1" x14ac:dyDescent="0.25">
      <c r="A11" s="6" t="s">
        <v>14</v>
      </c>
      <c r="B11" t="s">
        <v>22</v>
      </c>
      <c r="C11" s="16">
        <v>0.360717066302777</v>
      </c>
      <c r="D11">
        <v>505</v>
      </c>
      <c r="E11" s="16">
        <v>0.25718692964558398</v>
      </c>
      <c r="F11">
        <v>505</v>
      </c>
      <c r="G11" s="16">
        <v>0.35401432870549099</v>
      </c>
      <c r="H11">
        <v>232</v>
      </c>
      <c r="I11" s="16">
        <v>0.23368167026684</v>
      </c>
      <c r="J11">
        <v>232</v>
      </c>
      <c r="K11" s="16">
        <v>0.366318390491918</v>
      </c>
      <c r="L11">
        <v>273</v>
      </c>
      <c r="M11" s="16">
        <v>0.27682973618831802</v>
      </c>
      <c r="N11" s="11">
        <v>273</v>
      </c>
    </row>
    <row r="12" spans="1:14" outlineLevel="1" x14ac:dyDescent="0.25">
      <c r="A12" s="6" t="s">
        <v>14</v>
      </c>
      <c r="B12" t="s">
        <v>23</v>
      </c>
      <c r="C12" s="16">
        <v>0.34118471893739999</v>
      </c>
      <c r="D12">
        <v>536</v>
      </c>
      <c r="E12" s="16">
        <v>0.25671010855926701</v>
      </c>
      <c r="F12">
        <v>536</v>
      </c>
      <c r="G12" s="16">
        <v>0.36116649749871599</v>
      </c>
      <c r="H12">
        <v>294</v>
      </c>
      <c r="I12" s="16">
        <v>0.29176565755700101</v>
      </c>
      <c r="J12">
        <v>294</v>
      </c>
      <c r="K12" s="16">
        <v>0.320260344217071</v>
      </c>
      <c r="L12">
        <v>242</v>
      </c>
      <c r="M12" s="16">
        <v>0.22000089165924999</v>
      </c>
      <c r="N12" s="11">
        <v>242</v>
      </c>
    </row>
    <row r="13" spans="1:14" outlineLevel="1" x14ac:dyDescent="0.25">
      <c r="A13" s="6" t="s">
        <v>14</v>
      </c>
      <c r="B13" t="s">
        <v>24</v>
      </c>
      <c r="C13" s="16">
        <v>0.25130151915604998</v>
      </c>
      <c r="D13">
        <v>237</v>
      </c>
      <c r="E13" s="16">
        <v>0.10998924985725</v>
      </c>
      <c r="F13">
        <v>237</v>
      </c>
      <c r="G13" s="16">
        <v>0.27160013474422301</v>
      </c>
      <c r="H13">
        <v>118</v>
      </c>
      <c r="I13" s="16">
        <v>0.12725280029791</v>
      </c>
      <c r="J13">
        <v>118</v>
      </c>
      <c r="K13" s="16">
        <v>0.23033263989404601</v>
      </c>
      <c r="L13">
        <v>119</v>
      </c>
      <c r="M13" s="16">
        <v>9.2155654100372394E-2</v>
      </c>
      <c r="N13" s="11">
        <v>119</v>
      </c>
    </row>
    <row r="14" spans="1:14" outlineLevel="1" x14ac:dyDescent="0.25">
      <c r="A14" s="7" t="s">
        <v>14</v>
      </c>
      <c r="B14" s="9" t="s">
        <v>25</v>
      </c>
      <c r="C14" s="15">
        <v>0.17117274998905499</v>
      </c>
      <c r="D14" s="9">
        <v>325</v>
      </c>
      <c r="E14" s="15">
        <v>0.138864320300987</v>
      </c>
      <c r="F14" s="9">
        <v>325</v>
      </c>
      <c r="G14" s="15">
        <v>0.16669572879571901</v>
      </c>
      <c r="H14" s="9">
        <v>147</v>
      </c>
      <c r="I14" s="15">
        <v>0.14160561899112001</v>
      </c>
      <c r="J14" s="9">
        <v>147</v>
      </c>
      <c r="K14" s="15">
        <v>0.17495396562514601</v>
      </c>
      <c r="L14" s="9">
        <v>178</v>
      </c>
      <c r="M14" s="15">
        <v>0.13654906624640301</v>
      </c>
      <c r="N14" s="12">
        <v>178</v>
      </c>
    </row>
    <row r="15" spans="1:14" x14ac:dyDescent="0.25">
      <c r="C15" s="16"/>
      <c r="E15" s="16"/>
      <c r="G15" s="16"/>
      <c r="I15" s="16"/>
      <c r="K15" s="16"/>
      <c r="M15" s="16"/>
    </row>
    <row r="16" spans="1:14" x14ac:dyDescent="0.25">
      <c r="A16" s="19" t="s">
        <v>26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</row>
    <row r="17" spans="1:14" outlineLevel="1" x14ac:dyDescent="0.25">
      <c r="A17" s="5" t="s">
        <v>14</v>
      </c>
      <c r="B17" s="8" t="s">
        <v>27</v>
      </c>
      <c r="C17" s="14">
        <v>0.292812250690417</v>
      </c>
      <c r="D17" s="8">
        <v>61</v>
      </c>
      <c r="E17" s="14">
        <v>0.20308762727316801</v>
      </c>
      <c r="F17" s="8">
        <v>61</v>
      </c>
      <c r="G17" s="14">
        <v>0.40430137678732198</v>
      </c>
      <c r="H17" s="8">
        <v>37</v>
      </c>
      <c r="I17" s="14">
        <v>0.26359475280264499</v>
      </c>
      <c r="J17" s="8">
        <v>37</v>
      </c>
      <c r="K17" s="14">
        <v>0.124183653374148</v>
      </c>
      <c r="L17" s="8">
        <v>24</v>
      </c>
      <c r="M17" s="14">
        <v>0.111569897581693</v>
      </c>
      <c r="N17" s="10">
        <v>24</v>
      </c>
    </row>
    <row r="18" spans="1:14" outlineLevel="1" x14ac:dyDescent="0.25">
      <c r="A18" s="6" t="s">
        <v>14</v>
      </c>
      <c r="B18" t="s">
        <v>28</v>
      </c>
      <c r="C18" s="16">
        <v>0.51868227919735099</v>
      </c>
      <c r="D18">
        <v>67</v>
      </c>
      <c r="E18" s="16">
        <v>0.30123094600800898</v>
      </c>
      <c r="F18">
        <v>67</v>
      </c>
      <c r="G18" s="16">
        <v>0.40537270632794598</v>
      </c>
      <c r="H18">
        <v>39</v>
      </c>
      <c r="I18" s="16">
        <v>0.17117077324044899</v>
      </c>
      <c r="J18">
        <v>39</v>
      </c>
      <c r="K18" s="16">
        <v>0.70817177961221101</v>
      </c>
      <c r="L18">
        <v>28</v>
      </c>
      <c r="M18" s="16">
        <v>0.51873275576242395</v>
      </c>
      <c r="N18" s="11">
        <v>28</v>
      </c>
    </row>
    <row r="19" spans="1:14" outlineLevel="1" x14ac:dyDescent="0.25">
      <c r="A19" s="6" t="s">
        <v>14</v>
      </c>
      <c r="B19" t="s">
        <v>29</v>
      </c>
      <c r="C19" s="16">
        <v>0.39488835013956602</v>
      </c>
      <c r="D19">
        <v>145</v>
      </c>
      <c r="E19" s="16">
        <v>0.32292957703358699</v>
      </c>
      <c r="F19">
        <v>145</v>
      </c>
      <c r="G19" s="16">
        <v>0.404938183518605</v>
      </c>
      <c r="H19">
        <v>62</v>
      </c>
      <c r="I19" s="16">
        <v>0.33340218610845301</v>
      </c>
      <c r="J19">
        <v>62</v>
      </c>
      <c r="K19" s="16">
        <v>0.38787924744970997</v>
      </c>
      <c r="L19">
        <v>83</v>
      </c>
      <c r="M19" s="16">
        <v>0.31562561589632598</v>
      </c>
      <c r="N19" s="11">
        <v>83</v>
      </c>
    </row>
    <row r="20" spans="1:14" outlineLevel="1" x14ac:dyDescent="0.25">
      <c r="A20" s="6" t="s">
        <v>14</v>
      </c>
      <c r="B20" t="s">
        <v>30</v>
      </c>
      <c r="C20" s="16">
        <v>0.63065481991990102</v>
      </c>
      <c r="D20">
        <v>73</v>
      </c>
      <c r="E20" s="16">
        <v>0.535146747725882</v>
      </c>
      <c r="F20">
        <v>73</v>
      </c>
      <c r="G20" s="16">
        <v>0.68632797781475696</v>
      </c>
      <c r="H20">
        <v>37</v>
      </c>
      <c r="I20" s="16">
        <v>0.65971725976078499</v>
      </c>
      <c r="J20">
        <v>37</v>
      </c>
      <c r="K20" s="16">
        <v>0.56911172499159901</v>
      </c>
      <c r="L20">
        <v>36</v>
      </c>
      <c r="M20" s="16">
        <v>0.39744205955442702</v>
      </c>
      <c r="N20" s="11">
        <v>36</v>
      </c>
    </row>
    <row r="21" spans="1:14" outlineLevel="1" x14ac:dyDescent="0.25">
      <c r="A21" s="6" t="s">
        <v>14</v>
      </c>
      <c r="B21" t="s">
        <v>31</v>
      </c>
      <c r="C21" s="16">
        <v>0.32905236144845401</v>
      </c>
      <c r="D21">
        <v>100</v>
      </c>
      <c r="E21" s="16">
        <v>0.29875034850267801</v>
      </c>
      <c r="F21">
        <v>100</v>
      </c>
      <c r="G21" s="16">
        <v>0.28121045522392901</v>
      </c>
      <c r="H21">
        <v>50</v>
      </c>
      <c r="I21" s="16">
        <v>0.28121045522392901</v>
      </c>
      <c r="J21">
        <v>50</v>
      </c>
      <c r="K21" s="16">
        <v>0.38229824441482302</v>
      </c>
      <c r="L21">
        <v>50</v>
      </c>
      <c r="M21" s="16">
        <v>0.318271458309212</v>
      </c>
      <c r="N21" s="11">
        <v>50</v>
      </c>
    </row>
    <row r="22" spans="1:14" outlineLevel="1" x14ac:dyDescent="0.25">
      <c r="A22" s="6" t="s">
        <v>14</v>
      </c>
      <c r="B22" t="s">
        <v>32</v>
      </c>
      <c r="C22" s="16">
        <v>0.232008733802988</v>
      </c>
      <c r="D22">
        <v>101</v>
      </c>
      <c r="E22" s="16">
        <v>0.12251582223853601</v>
      </c>
      <c r="F22">
        <v>101</v>
      </c>
      <c r="G22" s="16">
        <v>0.351717175187651</v>
      </c>
      <c r="H22">
        <v>48</v>
      </c>
      <c r="I22" s="16">
        <v>0.220143628932747</v>
      </c>
      <c r="J22">
        <v>48</v>
      </c>
      <c r="K22" s="16">
        <v>0.11113224897969499</v>
      </c>
      <c r="L22">
        <v>53</v>
      </c>
      <c r="M22" s="16">
        <v>2.3935421744605299E-2</v>
      </c>
      <c r="N22" s="11">
        <v>53</v>
      </c>
    </row>
    <row r="23" spans="1:14" outlineLevel="1" x14ac:dyDescent="0.25">
      <c r="A23" s="6" t="s">
        <v>14</v>
      </c>
      <c r="B23" t="s">
        <v>33</v>
      </c>
      <c r="C23" s="16">
        <v>0.27548471983967798</v>
      </c>
      <c r="D23">
        <v>59</v>
      </c>
      <c r="E23" s="16">
        <v>0.21856991301711601</v>
      </c>
      <c r="F23">
        <v>59</v>
      </c>
      <c r="G23" s="16">
        <v>0.31483502646612399</v>
      </c>
      <c r="H23">
        <v>34</v>
      </c>
      <c r="I23" s="16">
        <v>0.216754317832383</v>
      </c>
      <c r="J23">
        <v>34</v>
      </c>
      <c r="K23" s="16">
        <v>0.221080103360595</v>
      </c>
      <c r="L23">
        <v>25</v>
      </c>
      <c r="M23" s="16">
        <v>0.221080103360595</v>
      </c>
      <c r="N23" s="11">
        <v>25</v>
      </c>
    </row>
    <row r="24" spans="1:14" outlineLevel="1" x14ac:dyDescent="0.25">
      <c r="A24" s="6" t="s">
        <v>14</v>
      </c>
      <c r="B24" t="s">
        <v>34</v>
      </c>
      <c r="C24" s="16">
        <v>0.249380784975545</v>
      </c>
      <c r="D24">
        <v>115</v>
      </c>
      <c r="E24" s="16">
        <v>0.13138837971449099</v>
      </c>
      <c r="F24">
        <v>115</v>
      </c>
      <c r="G24" s="16">
        <v>0.25327875335922101</v>
      </c>
      <c r="H24">
        <v>54</v>
      </c>
      <c r="I24" s="16">
        <v>5.5974945690042299E-2</v>
      </c>
      <c r="J24">
        <v>54</v>
      </c>
      <c r="K24" s="16">
        <v>0.24629557617960299</v>
      </c>
      <c r="L24">
        <v>61</v>
      </c>
      <c r="M24" s="16">
        <v>0.19107747082121199</v>
      </c>
      <c r="N24" s="11">
        <v>61</v>
      </c>
    </row>
    <row r="25" spans="1:14" outlineLevel="1" x14ac:dyDescent="0.25">
      <c r="A25" s="6" t="s">
        <v>14</v>
      </c>
      <c r="B25" t="s">
        <v>35</v>
      </c>
      <c r="C25" s="16">
        <v>0.37238704897396102</v>
      </c>
      <c r="D25">
        <v>173</v>
      </c>
      <c r="E25" s="16">
        <v>0.28583342432071601</v>
      </c>
      <c r="F25">
        <v>173</v>
      </c>
      <c r="G25" s="16">
        <v>0.33385421972595902</v>
      </c>
      <c r="H25">
        <v>80</v>
      </c>
      <c r="I25" s="16">
        <v>0.26042227345645103</v>
      </c>
      <c r="J25">
        <v>80</v>
      </c>
      <c r="K25" s="16">
        <v>0.40558690103380801</v>
      </c>
      <c r="L25">
        <v>93</v>
      </c>
      <c r="M25" s="16">
        <v>0.30772764973391298</v>
      </c>
      <c r="N25" s="11">
        <v>93</v>
      </c>
    </row>
    <row r="26" spans="1:14" outlineLevel="1" x14ac:dyDescent="0.25">
      <c r="A26" s="6" t="s">
        <v>14</v>
      </c>
      <c r="B26" t="s">
        <v>36</v>
      </c>
      <c r="C26" s="16">
        <v>0.538004751072231</v>
      </c>
      <c r="D26">
        <v>116</v>
      </c>
      <c r="E26" s="16">
        <v>0.40058579821025098</v>
      </c>
      <c r="F26">
        <v>116</v>
      </c>
      <c r="G26" s="16">
        <v>0.67520706217045101</v>
      </c>
      <c r="H26">
        <v>42</v>
      </c>
      <c r="I26" s="16">
        <v>0.518974215527926</v>
      </c>
      <c r="J26">
        <v>42</v>
      </c>
      <c r="K26" s="16">
        <v>0.45454408265946999</v>
      </c>
      <c r="L26">
        <v>74</v>
      </c>
      <c r="M26" s="16">
        <v>0.328569690299441</v>
      </c>
      <c r="N26" s="11">
        <v>74</v>
      </c>
    </row>
    <row r="27" spans="1:14" outlineLevel="1" x14ac:dyDescent="0.25">
      <c r="A27" s="6" t="s">
        <v>14</v>
      </c>
      <c r="B27" t="s">
        <v>37</v>
      </c>
      <c r="C27" s="16">
        <v>0.45745508772208499</v>
      </c>
      <c r="D27">
        <v>101</v>
      </c>
      <c r="E27" s="16">
        <v>0.32607645224589699</v>
      </c>
      <c r="F27">
        <v>101</v>
      </c>
      <c r="G27" s="16">
        <v>0.48659909235819798</v>
      </c>
      <c r="H27">
        <v>56</v>
      </c>
      <c r="I27" s="16">
        <v>0.33815148536616801</v>
      </c>
      <c r="J27">
        <v>56</v>
      </c>
      <c r="K27" s="16">
        <v>0.41733206047994997</v>
      </c>
      <c r="L27">
        <v>45</v>
      </c>
      <c r="M27" s="16">
        <v>0.309452556906751</v>
      </c>
      <c r="N27" s="11">
        <v>45</v>
      </c>
    </row>
    <row r="28" spans="1:14" outlineLevel="1" x14ac:dyDescent="0.25">
      <c r="A28" s="6" t="s">
        <v>14</v>
      </c>
      <c r="B28" t="s">
        <v>38</v>
      </c>
      <c r="C28" s="16">
        <v>0.25156360433602398</v>
      </c>
      <c r="D28">
        <v>261</v>
      </c>
      <c r="E28" s="16">
        <v>0.17123407744958</v>
      </c>
      <c r="F28">
        <v>261</v>
      </c>
      <c r="G28" s="16">
        <v>0.24579014315695299</v>
      </c>
      <c r="H28">
        <v>147</v>
      </c>
      <c r="I28" s="16">
        <v>0.173035765563959</v>
      </c>
      <c r="J28">
        <v>147</v>
      </c>
      <c r="K28" s="16">
        <v>0.25759667995142599</v>
      </c>
      <c r="L28">
        <v>114</v>
      </c>
      <c r="M28" s="16">
        <v>0.16935137307307499</v>
      </c>
      <c r="N28" s="11">
        <v>114</v>
      </c>
    </row>
    <row r="29" spans="1:14" outlineLevel="1" x14ac:dyDescent="0.25">
      <c r="A29" s="6" t="s">
        <v>14</v>
      </c>
      <c r="B29" t="s">
        <v>39</v>
      </c>
      <c r="C29" s="16">
        <v>0.54622615058981205</v>
      </c>
      <c r="D29">
        <v>101</v>
      </c>
      <c r="E29" s="16">
        <v>0.51104321136933695</v>
      </c>
      <c r="F29">
        <v>101</v>
      </c>
      <c r="G29" s="16">
        <v>0.65425095071325601</v>
      </c>
      <c r="H29">
        <v>55</v>
      </c>
      <c r="I29" s="16">
        <v>0.63308099360140102</v>
      </c>
      <c r="J29">
        <v>55</v>
      </c>
      <c r="K29" s="16">
        <v>0.44172224076673999</v>
      </c>
      <c r="L29">
        <v>46</v>
      </c>
      <c r="M29" s="16">
        <v>0.39298304949156998</v>
      </c>
      <c r="N29" s="11">
        <v>46</v>
      </c>
    </row>
    <row r="30" spans="1:14" outlineLevel="1" x14ac:dyDescent="0.25">
      <c r="A30" s="6" t="s">
        <v>14</v>
      </c>
      <c r="B30" t="s">
        <v>40</v>
      </c>
      <c r="C30" s="16">
        <v>0.337057281898334</v>
      </c>
      <c r="D30">
        <v>115</v>
      </c>
      <c r="E30" s="16">
        <v>0.19994775823494801</v>
      </c>
      <c r="F30">
        <v>115</v>
      </c>
      <c r="G30" s="16">
        <v>0.312263018133001</v>
      </c>
      <c r="H30">
        <v>60</v>
      </c>
      <c r="I30" s="16">
        <v>0.24291829641968199</v>
      </c>
      <c r="J30">
        <v>60</v>
      </c>
      <c r="K30" s="16">
        <v>0.364779360226752</v>
      </c>
      <c r="L30">
        <v>55</v>
      </c>
      <c r="M30" s="16">
        <v>0.15190307190564301</v>
      </c>
      <c r="N30" s="11">
        <v>55</v>
      </c>
    </row>
    <row r="31" spans="1:14" outlineLevel="1" x14ac:dyDescent="0.25">
      <c r="A31" s="6" t="s">
        <v>14</v>
      </c>
      <c r="B31" t="s">
        <v>41</v>
      </c>
      <c r="C31" s="16">
        <v>0.32406659785240199</v>
      </c>
      <c r="D31">
        <v>59</v>
      </c>
      <c r="E31" s="16">
        <v>0.172069898113141</v>
      </c>
      <c r="F31">
        <v>59</v>
      </c>
      <c r="G31" s="16">
        <v>0.40720901553417499</v>
      </c>
      <c r="H31">
        <v>32</v>
      </c>
      <c r="I31" s="16">
        <v>0.190337945628621</v>
      </c>
      <c r="J31">
        <v>32</v>
      </c>
      <c r="K31" s="16">
        <v>0.224959233441274</v>
      </c>
      <c r="L31">
        <v>27</v>
      </c>
      <c r="M31" s="16">
        <v>0.15029403336590599</v>
      </c>
      <c r="N31" s="11">
        <v>27</v>
      </c>
    </row>
    <row r="32" spans="1:14" outlineLevel="1" x14ac:dyDescent="0.25">
      <c r="A32" s="6" t="s">
        <v>14</v>
      </c>
      <c r="B32" t="s">
        <v>42</v>
      </c>
      <c r="C32" s="16">
        <v>0.16511547991897799</v>
      </c>
      <c r="D32">
        <v>133</v>
      </c>
      <c r="E32" s="16">
        <v>7.0331930535374898E-2</v>
      </c>
      <c r="F32">
        <v>133</v>
      </c>
      <c r="G32" s="16">
        <v>0.18929874728297499</v>
      </c>
      <c r="H32">
        <v>71</v>
      </c>
      <c r="I32" s="16">
        <v>8.8862136702663103E-2</v>
      </c>
      <c r="J32">
        <v>71</v>
      </c>
      <c r="K32" s="16">
        <v>0.13561479958929601</v>
      </c>
      <c r="L32">
        <v>62</v>
      </c>
      <c r="M32" s="16">
        <v>4.7727305595482501E-2</v>
      </c>
      <c r="N32" s="11">
        <v>62</v>
      </c>
    </row>
    <row r="33" spans="1:14" outlineLevel="1" x14ac:dyDescent="0.25">
      <c r="A33" s="6" t="s">
        <v>14</v>
      </c>
      <c r="B33" t="s">
        <v>43</v>
      </c>
      <c r="C33" s="16">
        <v>0.35897265438791598</v>
      </c>
      <c r="D33">
        <v>55</v>
      </c>
      <c r="E33" s="16">
        <v>0.108921674849495</v>
      </c>
      <c r="F33">
        <v>55</v>
      </c>
      <c r="G33" s="16">
        <v>0.42738733017236202</v>
      </c>
      <c r="H33">
        <v>24</v>
      </c>
      <c r="I33" s="16">
        <v>0.20327876028296299</v>
      </c>
      <c r="J33">
        <v>24</v>
      </c>
      <c r="K33" s="16">
        <v>0.30915442446695801</v>
      </c>
      <c r="L33">
        <v>31</v>
      </c>
      <c r="M33" s="16">
        <v>4.0212689198426202E-2</v>
      </c>
      <c r="N33" s="11">
        <v>31</v>
      </c>
    </row>
    <row r="34" spans="1:14" outlineLevel="1" x14ac:dyDescent="0.25">
      <c r="A34" s="6" t="s">
        <v>14</v>
      </c>
      <c r="B34" t="s">
        <v>44</v>
      </c>
      <c r="C34" s="16">
        <v>0.46896839078757402</v>
      </c>
      <c r="D34">
        <v>49</v>
      </c>
      <c r="E34" s="16">
        <v>0.30601516973635601</v>
      </c>
      <c r="F34">
        <v>49</v>
      </c>
      <c r="G34" s="16">
        <v>0.477818725811128</v>
      </c>
      <c r="H34">
        <v>23</v>
      </c>
      <c r="I34" s="16">
        <v>0.217745019351097</v>
      </c>
      <c r="J34">
        <v>23</v>
      </c>
      <c r="K34" s="16">
        <v>0.46112236991118799</v>
      </c>
      <c r="L34">
        <v>26</v>
      </c>
      <c r="M34" s="16">
        <v>0.384268641592657</v>
      </c>
      <c r="N34" s="11">
        <v>26</v>
      </c>
    </row>
    <row r="35" spans="1:14" outlineLevel="1" x14ac:dyDescent="0.25">
      <c r="A35" s="6" t="s">
        <v>14</v>
      </c>
      <c r="B35" t="s">
        <v>45</v>
      </c>
      <c r="C35" s="16">
        <v>0.171926137164891</v>
      </c>
      <c r="D35">
        <v>137</v>
      </c>
      <c r="E35" s="16">
        <v>0.14107869159938</v>
      </c>
      <c r="F35">
        <v>137</v>
      </c>
      <c r="G35" s="16">
        <v>0.15414696946785</v>
      </c>
      <c r="H35">
        <v>62</v>
      </c>
      <c r="I35" s="16">
        <v>0.13997994400497499</v>
      </c>
      <c r="J35">
        <v>62</v>
      </c>
      <c r="K35" s="16">
        <v>0.186610091051197</v>
      </c>
      <c r="L35">
        <v>75</v>
      </c>
      <c r="M35" s="16">
        <v>0.14198615584539301</v>
      </c>
      <c r="N35" s="11">
        <v>75</v>
      </c>
    </row>
    <row r="36" spans="1:14" outlineLevel="1" x14ac:dyDescent="0.25">
      <c r="A36" s="6" t="s">
        <v>14</v>
      </c>
      <c r="B36" t="s">
        <v>46</v>
      </c>
      <c r="C36" s="16">
        <v>0.31718441020805999</v>
      </c>
      <c r="D36">
        <v>89</v>
      </c>
      <c r="E36" s="16">
        <v>0.246324802033379</v>
      </c>
      <c r="F36">
        <v>89</v>
      </c>
      <c r="G36" s="16">
        <v>0.33176418995759299</v>
      </c>
      <c r="H36">
        <v>38</v>
      </c>
      <c r="I36" s="16">
        <v>0.22099703890421499</v>
      </c>
      <c r="J36">
        <v>38</v>
      </c>
      <c r="K36" s="16">
        <v>0.30501119608428401</v>
      </c>
      <c r="L36">
        <v>51</v>
      </c>
      <c r="M36" s="16">
        <v>0.26747191736325598</v>
      </c>
      <c r="N36" s="11">
        <v>51</v>
      </c>
    </row>
    <row r="37" spans="1:14" outlineLevel="1" x14ac:dyDescent="0.25">
      <c r="A37" s="7" t="s">
        <v>14</v>
      </c>
      <c r="B37" s="9" t="s">
        <v>47</v>
      </c>
      <c r="C37" s="15">
        <v>0.10160494613842801</v>
      </c>
      <c r="D37" s="9">
        <v>99</v>
      </c>
      <c r="E37" s="15">
        <v>8.2539885720468498E-2</v>
      </c>
      <c r="F37" s="9">
        <v>99</v>
      </c>
      <c r="G37" s="15">
        <v>0.13086474888119001</v>
      </c>
      <c r="H37" s="9">
        <v>47</v>
      </c>
      <c r="I37" s="15">
        <v>0.111443606803727</v>
      </c>
      <c r="J37" s="9">
        <v>47</v>
      </c>
      <c r="K37" s="15">
        <v>7.4993193433142993E-2</v>
      </c>
      <c r="L37" s="9">
        <v>52</v>
      </c>
      <c r="M37" s="15">
        <v>5.6251988823403203E-2</v>
      </c>
      <c r="N37" s="12">
        <v>52</v>
      </c>
    </row>
    <row r="38" spans="1:14" x14ac:dyDescent="0.25">
      <c r="C38" s="16"/>
      <c r="E38" s="16"/>
      <c r="G38" s="16"/>
      <c r="I38" s="16"/>
      <c r="K38" s="16"/>
      <c r="M38" s="16"/>
    </row>
    <row r="39" spans="1:14" x14ac:dyDescent="0.25">
      <c r="A39" s="19" t="s">
        <v>48</v>
      </c>
      <c r="B39" s="19"/>
      <c r="C39" s="20"/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</row>
    <row r="40" spans="1:14" outlineLevel="1" x14ac:dyDescent="0.25">
      <c r="A40" s="5" t="s">
        <v>14</v>
      </c>
      <c r="B40" s="8" t="s">
        <v>49</v>
      </c>
      <c r="C40" s="14">
        <v>0.25214286681113401</v>
      </c>
      <c r="D40" s="8">
        <v>332</v>
      </c>
      <c r="E40" s="14">
        <v>0.19080616435504499</v>
      </c>
      <c r="F40" s="8">
        <v>332</v>
      </c>
      <c r="G40" s="14">
        <v>0.20650202953052799</v>
      </c>
      <c r="H40" s="8">
        <v>170</v>
      </c>
      <c r="I40" s="14">
        <v>0.113259126407334</v>
      </c>
      <c r="J40" s="8">
        <v>170</v>
      </c>
      <c r="K40" s="14">
        <v>0.29579013937663101</v>
      </c>
      <c r="L40" s="8">
        <v>162</v>
      </c>
      <c r="M40" s="14">
        <v>0.26496599365749601</v>
      </c>
      <c r="N40" s="10">
        <v>162</v>
      </c>
    </row>
    <row r="41" spans="1:14" outlineLevel="1" x14ac:dyDescent="0.25">
      <c r="A41" s="6" t="s">
        <v>14</v>
      </c>
      <c r="B41" t="s">
        <v>50</v>
      </c>
      <c r="C41" s="16">
        <v>0.41319992583899101</v>
      </c>
      <c r="D41">
        <v>461</v>
      </c>
      <c r="E41" s="16">
        <v>0.27162793089271497</v>
      </c>
      <c r="F41">
        <v>461</v>
      </c>
      <c r="G41" s="16">
        <v>0.46718968740532102</v>
      </c>
      <c r="H41">
        <v>214</v>
      </c>
      <c r="I41" s="16">
        <v>0.30113675837293702</v>
      </c>
      <c r="J41">
        <v>214</v>
      </c>
      <c r="K41" s="16">
        <v>0.36292162068378497</v>
      </c>
      <c r="L41">
        <v>247</v>
      </c>
      <c r="M41" s="16">
        <v>0.24414764963605201</v>
      </c>
      <c r="N41" s="11">
        <v>247</v>
      </c>
    </row>
    <row r="42" spans="1:14" outlineLevel="1" x14ac:dyDescent="0.25">
      <c r="A42" s="7" t="s">
        <v>14</v>
      </c>
      <c r="B42" s="9" t="s">
        <v>51</v>
      </c>
      <c r="C42" s="15">
        <v>0.350016362561689</v>
      </c>
      <c r="D42" s="9">
        <v>1416</v>
      </c>
      <c r="E42" s="15">
        <v>0.26686315112384301</v>
      </c>
      <c r="F42" s="9">
        <v>1416</v>
      </c>
      <c r="G42" s="15">
        <v>0.37392166212181099</v>
      </c>
      <c r="H42" s="9">
        <v>714</v>
      </c>
      <c r="I42" s="15">
        <v>0.31248045184250101</v>
      </c>
      <c r="J42" s="9">
        <v>714</v>
      </c>
      <c r="K42" s="15">
        <v>0.32729592593900497</v>
      </c>
      <c r="L42" s="9">
        <v>702</v>
      </c>
      <c r="M42" s="15">
        <v>0.22350686574162101</v>
      </c>
      <c r="N42" s="12">
        <v>702</v>
      </c>
    </row>
    <row r="43" spans="1:14" x14ac:dyDescent="0.25">
      <c r="C43" s="16"/>
      <c r="E43" s="16"/>
      <c r="G43" s="16"/>
      <c r="I43" s="16"/>
      <c r="K43" s="16"/>
      <c r="M43" s="16"/>
    </row>
    <row r="44" spans="1:14" x14ac:dyDescent="0.25">
      <c r="A44" s="19" t="s">
        <v>52</v>
      </c>
      <c r="B44" s="19"/>
      <c r="C44" s="20"/>
      <c r="D44" s="19"/>
      <c r="E44" s="20"/>
      <c r="F44" s="19"/>
      <c r="G44" s="20"/>
      <c r="H44" s="19"/>
      <c r="I44" s="20"/>
      <c r="J44" s="19"/>
      <c r="K44" s="20"/>
      <c r="L44" s="19"/>
      <c r="M44" s="20"/>
      <c r="N44" s="19"/>
    </row>
    <row r="45" spans="1:14" outlineLevel="1" x14ac:dyDescent="0.25">
      <c r="A45" s="5" t="s">
        <v>14</v>
      </c>
      <c r="B45" s="8" t="s">
        <v>53</v>
      </c>
      <c r="C45" s="14">
        <v>0.35186234037193198</v>
      </c>
      <c r="D45" s="8">
        <v>671</v>
      </c>
      <c r="E45" s="14">
        <v>0.27405122793962799</v>
      </c>
      <c r="F45" s="8">
        <v>671</v>
      </c>
      <c r="G45" s="14">
        <v>0.36598880083885299</v>
      </c>
      <c r="H45" s="8">
        <v>325</v>
      </c>
      <c r="I45" s="14">
        <v>0.28303948924831202</v>
      </c>
      <c r="J45" s="8">
        <v>325</v>
      </c>
      <c r="K45" s="14">
        <v>0.34051365587649801</v>
      </c>
      <c r="L45" s="8">
        <v>346</v>
      </c>
      <c r="M45" s="14">
        <v>0.26683038574822299</v>
      </c>
      <c r="N45" s="10">
        <v>346</v>
      </c>
    </row>
    <row r="46" spans="1:14" outlineLevel="1" x14ac:dyDescent="0.25">
      <c r="A46" s="7" t="s">
        <v>14</v>
      </c>
      <c r="B46" s="9" t="s">
        <v>54</v>
      </c>
      <c r="C46" s="15">
        <v>0.33213427935840101</v>
      </c>
      <c r="D46" s="9">
        <v>1538</v>
      </c>
      <c r="E46" s="15">
        <v>0.235679784286525</v>
      </c>
      <c r="F46" s="9">
        <v>1538</v>
      </c>
      <c r="G46" s="15">
        <v>0.34363986305694</v>
      </c>
      <c r="H46" s="9">
        <v>773</v>
      </c>
      <c r="I46" s="15">
        <v>0.24557022684284399</v>
      </c>
      <c r="J46" s="9">
        <v>773</v>
      </c>
      <c r="K46" s="15">
        <v>0.32040051496810201</v>
      </c>
      <c r="L46" s="9">
        <v>765</v>
      </c>
      <c r="M46" s="15">
        <v>0.22559319279213899</v>
      </c>
      <c r="N46" s="12">
        <v>765</v>
      </c>
    </row>
    <row r="47" spans="1:14" x14ac:dyDescent="0.25">
      <c r="C47" s="16"/>
      <c r="E47" s="16"/>
      <c r="G47" s="16"/>
      <c r="I47" s="16"/>
      <c r="K47" s="16"/>
      <c r="M47" s="16"/>
    </row>
    <row r="48" spans="1:14" x14ac:dyDescent="0.25">
      <c r="A48" s="19" t="s">
        <v>55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</row>
    <row r="49" spans="1:14" outlineLevel="1" x14ac:dyDescent="0.25">
      <c r="A49" s="5" t="s">
        <v>14</v>
      </c>
      <c r="B49" s="8" t="s">
        <v>56</v>
      </c>
      <c r="C49" s="14">
        <v>0.25214286681113401</v>
      </c>
      <c r="D49" s="8">
        <v>332</v>
      </c>
      <c r="E49" s="14">
        <v>0.19080616435504499</v>
      </c>
      <c r="F49" s="8">
        <v>332</v>
      </c>
      <c r="G49" s="14">
        <v>0.20650202953052799</v>
      </c>
      <c r="H49" s="8">
        <v>170</v>
      </c>
      <c r="I49" s="14">
        <v>0.113259126407334</v>
      </c>
      <c r="J49" s="8">
        <v>170</v>
      </c>
      <c r="K49" s="14">
        <v>0.29579013937663101</v>
      </c>
      <c r="L49" s="8">
        <v>162</v>
      </c>
      <c r="M49" s="14">
        <v>0.26496599365749601</v>
      </c>
      <c r="N49" s="10">
        <v>162</v>
      </c>
    </row>
    <row r="50" spans="1:14" outlineLevel="1" x14ac:dyDescent="0.25">
      <c r="A50" s="6" t="s">
        <v>14</v>
      </c>
      <c r="B50" t="s">
        <v>57</v>
      </c>
      <c r="C50" s="16">
        <v>0.30840235452096298</v>
      </c>
      <c r="D50">
        <v>1309</v>
      </c>
      <c r="E50" s="16">
        <v>0.21264819768342499</v>
      </c>
      <c r="F50">
        <v>1309</v>
      </c>
      <c r="G50" s="16">
        <v>0.29500649188808797</v>
      </c>
      <c r="H50">
        <v>651</v>
      </c>
      <c r="I50" s="16">
        <v>0.20364407579000801</v>
      </c>
      <c r="J50">
        <v>651</v>
      </c>
      <c r="K50" s="16">
        <v>0.32170154772225801</v>
      </c>
      <c r="L50">
        <v>658</v>
      </c>
      <c r="M50" s="16">
        <v>0.22158734254854801</v>
      </c>
      <c r="N50" s="11">
        <v>658</v>
      </c>
    </row>
    <row r="51" spans="1:14" outlineLevel="1" x14ac:dyDescent="0.25">
      <c r="A51" s="7" t="s">
        <v>14</v>
      </c>
      <c r="B51" s="9" t="s">
        <v>58</v>
      </c>
      <c r="C51" s="15">
        <v>0.436495740046834</v>
      </c>
      <c r="D51" s="9">
        <v>568</v>
      </c>
      <c r="E51" s="15">
        <v>0.32883531462760102</v>
      </c>
      <c r="F51" s="9">
        <v>568</v>
      </c>
      <c r="G51" s="15">
        <v>0.52658911829184196</v>
      </c>
      <c r="H51" s="9">
        <v>277</v>
      </c>
      <c r="I51" s="15">
        <v>0.42958332994934301</v>
      </c>
      <c r="J51" s="9">
        <v>277</v>
      </c>
      <c r="K51" s="15">
        <v>0.355913385249092</v>
      </c>
      <c r="L51" s="9">
        <v>291</v>
      </c>
      <c r="M51" s="15">
        <v>0.238723116883757</v>
      </c>
      <c r="N51" s="12">
        <v>291</v>
      </c>
    </row>
    <row r="52" spans="1:14" x14ac:dyDescent="0.25">
      <c r="C52" s="16"/>
      <c r="E52" s="16"/>
      <c r="G52" s="16"/>
      <c r="I52" s="16"/>
      <c r="K52" s="16"/>
      <c r="M52" s="16"/>
    </row>
    <row r="53" spans="1:14" x14ac:dyDescent="0.25">
      <c r="A53" s="19" t="s">
        <v>59</v>
      </c>
      <c r="B53" s="19"/>
      <c r="C53" s="20"/>
      <c r="D53" s="19"/>
      <c r="E53" s="20"/>
      <c r="F53" s="19"/>
      <c r="G53" s="20"/>
      <c r="H53" s="19"/>
      <c r="I53" s="20"/>
      <c r="J53" s="19"/>
      <c r="K53" s="20"/>
      <c r="L53" s="19"/>
      <c r="M53" s="20"/>
      <c r="N53" s="19"/>
    </row>
    <row r="54" spans="1:14" outlineLevel="1" x14ac:dyDescent="0.25">
      <c r="A54" s="5" t="s">
        <v>14</v>
      </c>
      <c r="B54" s="8" t="s">
        <v>60</v>
      </c>
      <c r="C54" s="14">
        <v>0.32759004105827699</v>
      </c>
      <c r="D54" s="8">
        <v>783</v>
      </c>
      <c r="E54" s="14">
        <v>0.22887841846031201</v>
      </c>
      <c r="F54" s="8">
        <v>783</v>
      </c>
      <c r="G54" s="14">
        <v>0.326809266027066</v>
      </c>
      <c r="H54" s="8">
        <v>379</v>
      </c>
      <c r="I54" s="14">
        <v>0.19975192438115399</v>
      </c>
      <c r="J54" s="8">
        <v>379</v>
      </c>
      <c r="K54" s="14">
        <v>0.32832775809909298</v>
      </c>
      <c r="L54" s="8">
        <v>404</v>
      </c>
      <c r="M54" s="14">
        <v>0.25639865177017102</v>
      </c>
      <c r="N54" s="10">
        <v>404</v>
      </c>
    </row>
    <row r="55" spans="1:14" outlineLevel="1" x14ac:dyDescent="0.25">
      <c r="A55" s="6" t="s">
        <v>14</v>
      </c>
      <c r="B55" t="s">
        <v>63</v>
      </c>
      <c r="C55" s="16">
        <v>0.210617838645698</v>
      </c>
      <c r="D55">
        <v>2</v>
      </c>
      <c r="E55" s="16">
        <v>0.210617838645698</v>
      </c>
      <c r="F55">
        <v>2</v>
      </c>
      <c r="G55" s="16">
        <v>1</v>
      </c>
      <c r="H55">
        <v>1</v>
      </c>
      <c r="I55" s="16">
        <v>1</v>
      </c>
      <c r="J55">
        <v>1</v>
      </c>
      <c r="K55" s="16"/>
      <c r="M55" s="16"/>
      <c r="N55" s="11"/>
    </row>
    <row r="56" spans="1:14" outlineLevel="1" x14ac:dyDescent="0.25">
      <c r="A56" s="6" t="s">
        <v>14</v>
      </c>
      <c r="B56" t="s">
        <v>64</v>
      </c>
      <c r="C56" s="16"/>
      <c r="E56" s="16"/>
      <c r="G56" s="16">
        <v>0.37392166212181099</v>
      </c>
      <c r="H56">
        <v>714</v>
      </c>
      <c r="I56" s="16">
        <v>0.31248045184250101</v>
      </c>
      <c r="J56">
        <v>714</v>
      </c>
      <c r="K56" s="16">
        <v>0.32729592593900497</v>
      </c>
      <c r="L56">
        <v>702</v>
      </c>
      <c r="M56" s="16">
        <v>0.22350686574162101</v>
      </c>
      <c r="N56" s="11">
        <v>702</v>
      </c>
    </row>
    <row r="57" spans="1:14" outlineLevel="1" x14ac:dyDescent="0.25">
      <c r="A57" s="7" t="s">
        <v>14</v>
      </c>
      <c r="B57" s="9" t="s">
        <v>14</v>
      </c>
      <c r="C57" s="15">
        <v>0.350016362561689</v>
      </c>
      <c r="D57" s="9">
        <v>1416</v>
      </c>
      <c r="E57" s="15">
        <v>0.26686315112384301</v>
      </c>
      <c r="F57" s="9">
        <v>1416</v>
      </c>
      <c r="G57" s="15"/>
      <c r="H57" s="9"/>
      <c r="I57" s="15"/>
      <c r="J57" s="9"/>
      <c r="K57" s="15"/>
      <c r="L57" s="9"/>
      <c r="M57" s="15"/>
      <c r="N57" s="12"/>
    </row>
    <row r="58" spans="1:14" x14ac:dyDescent="0.25">
      <c r="C58" s="16"/>
      <c r="E58" s="16"/>
      <c r="G58" s="16"/>
      <c r="I58" s="16"/>
      <c r="K58" s="16"/>
      <c r="M58" s="16"/>
    </row>
    <row r="59" spans="1:14" x14ac:dyDescent="0.25">
      <c r="A59" s="19" t="s">
        <v>65</v>
      </c>
      <c r="B59" s="19"/>
      <c r="C59" s="20"/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</row>
    <row r="60" spans="1:14" outlineLevel="1" x14ac:dyDescent="0.25">
      <c r="A60" s="5" t="s">
        <v>14</v>
      </c>
      <c r="B60" s="8" t="s">
        <v>66</v>
      </c>
      <c r="C60" s="14">
        <v>0.34339092595603599</v>
      </c>
      <c r="D60" s="8">
        <v>2147</v>
      </c>
      <c r="E60" s="14">
        <v>0.25139688683072198</v>
      </c>
      <c r="F60" s="8">
        <v>2147</v>
      </c>
      <c r="G60" s="14">
        <v>0.35205917206257198</v>
      </c>
      <c r="H60" s="8">
        <v>1072</v>
      </c>
      <c r="I60" s="14">
        <v>0.25704861084323399</v>
      </c>
      <c r="J60" s="8">
        <v>1072</v>
      </c>
      <c r="K60" s="14">
        <v>0.33515224629083601</v>
      </c>
      <c r="L60" s="8">
        <v>1075</v>
      </c>
      <c r="M60" s="14">
        <v>0.24602524150329</v>
      </c>
      <c r="N60" s="10">
        <v>1075</v>
      </c>
    </row>
    <row r="61" spans="1:14" outlineLevel="1" x14ac:dyDescent="0.25">
      <c r="A61" s="7" t="s">
        <v>14</v>
      </c>
      <c r="B61" s="9" t="s">
        <v>67</v>
      </c>
      <c r="C61" s="15">
        <v>0.14583301278566399</v>
      </c>
      <c r="D61" s="9">
        <v>62</v>
      </c>
      <c r="E61" s="15">
        <v>0.103700570364975</v>
      </c>
      <c r="F61" s="9">
        <v>62</v>
      </c>
      <c r="G61" s="15">
        <v>0.26692269638295701</v>
      </c>
      <c r="H61" s="9">
        <v>26</v>
      </c>
      <c r="I61" s="15">
        <v>0.22150733423341701</v>
      </c>
      <c r="J61" s="9">
        <v>26</v>
      </c>
      <c r="K61" s="15">
        <v>4.3362215418376399E-2</v>
      </c>
      <c r="L61" s="9">
        <v>36</v>
      </c>
      <c r="M61" s="15">
        <v>4.0079072888549103E-3</v>
      </c>
      <c r="N61" s="12">
        <v>36</v>
      </c>
    </row>
    <row r="62" spans="1:14" x14ac:dyDescent="0.25">
      <c r="C62" s="16"/>
      <c r="E62" s="16"/>
      <c r="G62" s="16"/>
      <c r="I62" s="16"/>
      <c r="K62" s="16"/>
      <c r="M62" s="16"/>
    </row>
    <row r="63" spans="1:14" x14ac:dyDescent="0.25">
      <c r="A63" s="19" t="s">
        <v>68</v>
      </c>
      <c r="B63" s="19"/>
      <c r="C63" s="20"/>
      <c r="D63" s="19"/>
      <c r="E63" s="20"/>
      <c r="F63" s="19"/>
      <c r="G63" s="20"/>
      <c r="H63" s="19"/>
      <c r="I63" s="20"/>
      <c r="J63" s="19"/>
      <c r="K63" s="20"/>
      <c r="L63" s="19"/>
      <c r="M63" s="20"/>
      <c r="N63" s="19"/>
    </row>
    <row r="64" spans="1:14" outlineLevel="1" x14ac:dyDescent="0.25">
      <c r="A64" s="5" t="s">
        <v>14</v>
      </c>
      <c r="B64" s="8" t="s">
        <v>66</v>
      </c>
      <c r="C64" s="14">
        <v>0.34419827409900999</v>
      </c>
      <c r="D64" s="8">
        <v>2133</v>
      </c>
      <c r="E64" s="14">
        <v>0.25212767710922901</v>
      </c>
      <c r="F64" s="8">
        <v>2133</v>
      </c>
      <c r="G64" s="14">
        <v>0.35261500497313403</v>
      </c>
      <c r="H64" s="8">
        <v>1067</v>
      </c>
      <c r="I64" s="14">
        <v>0.25708479537457002</v>
      </c>
      <c r="J64" s="8">
        <v>1067</v>
      </c>
      <c r="K64" s="14">
        <v>0.33618041142974098</v>
      </c>
      <c r="L64" s="8">
        <v>1066</v>
      </c>
      <c r="M64" s="14">
        <v>0.247405476283133</v>
      </c>
      <c r="N64" s="10">
        <v>1066</v>
      </c>
    </row>
    <row r="65" spans="1:14" outlineLevel="1" x14ac:dyDescent="0.25">
      <c r="A65" s="7" t="s">
        <v>14</v>
      </c>
      <c r="B65" s="9" t="s">
        <v>67</v>
      </c>
      <c r="C65" s="15">
        <v>0.160848749866465</v>
      </c>
      <c r="D65" s="9">
        <v>76</v>
      </c>
      <c r="E65" s="15">
        <v>0.111144421221161</v>
      </c>
      <c r="F65" s="9">
        <v>76</v>
      </c>
      <c r="G65" s="15">
        <v>0.263997164291709</v>
      </c>
      <c r="H65" s="9">
        <v>31</v>
      </c>
      <c r="I65" s="15">
        <v>0.22663908939781699</v>
      </c>
      <c r="J65" s="9">
        <v>31</v>
      </c>
      <c r="K65" s="15">
        <v>7.7417556719189304E-2</v>
      </c>
      <c r="L65" s="9">
        <v>45</v>
      </c>
      <c r="M65" s="15">
        <v>1.7727008827385302E-2</v>
      </c>
      <c r="N65" s="12">
        <v>45</v>
      </c>
    </row>
    <row r="66" spans="1:14" x14ac:dyDescent="0.25">
      <c r="C66" s="16"/>
      <c r="E66" s="16"/>
      <c r="G66" s="16"/>
      <c r="I66" s="16"/>
      <c r="K66" s="16"/>
      <c r="M66" s="16"/>
    </row>
    <row r="67" spans="1:14" x14ac:dyDescent="0.25">
      <c r="C67" s="16"/>
      <c r="E67" s="16"/>
      <c r="G67" s="16"/>
      <c r="I67" s="16"/>
      <c r="K67" s="16"/>
      <c r="M67" s="16"/>
    </row>
  </sheetData>
  <mergeCells count="22">
    <mergeCell ref="A48:N48"/>
    <mergeCell ref="A53:N53"/>
    <mergeCell ref="A59:N59"/>
    <mergeCell ref="A63:N63"/>
    <mergeCell ref="A6:N6"/>
    <mergeCell ref="A9:N9"/>
    <mergeCell ref="A16:N16"/>
    <mergeCell ref="A39:N39"/>
    <mergeCell ref="A44:N44"/>
    <mergeCell ref="E4:F4"/>
    <mergeCell ref="C4:D4"/>
    <mergeCell ref="I4:J4"/>
    <mergeCell ref="G4:H4"/>
    <mergeCell ref="M4:N4"/>
    <mergeCell ref="K4:L4"/>
    <mergeCell ref="A1:N1"/>
    <mergeCell ref="C2:F2"/>
    <mergeCell ref="G2:J2"/>
    <mergeCell ref="K2:N2"/>
    <mergeCell ref="E3:F3"/>
    <mergeCell ref="I3:J3"/>
    <mergeCell ref="M3:N3"/>
  </mergeCells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63"/>
  <sheetViews>
    <sheetView showGridLines="0" workbookViewId="0">
      <selection sqref="A1:H1"/>
    </sheetView>
  </sheetViews>
  <sheetFormatPr defaultColWidth="11.42578125" defaultRowHeight="15" outlineLevelRow="1" x14ac:dyDescent="0.25"/>
  <sheetData>
    <row r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2" spans="1:8" x14ac:dyDescent="0.25">
      <c r="C2" s="19" t="s">
        <v>2</v>
      </c>
      <c r="D2" s="19"/>
      <c r="E2" s="19" t="s">
        <v>3</v>
      </c>
      <c r="F2" s="19"/>
      <c r="G2" s="19" t="s">
        <v>4</v>
      </c>
      <c r="H2" s="19"/>
    </row>
    <row r="3" spans="1:8" x14ac:dyDescent="0.25">
      <c r="C3" s="19" t="s">
        <v>93</v>
      </c>
      <c r="D3" s="19"/>
      <c r="E3" s="19" t="s">
        <v>93</v>
      </c>
      <c r="F3" s="19"/>
      <c r="G3" s="19" t="s">
        <v>93</v>
      </c>
      <c r="H3" s="19"/>
    </row>
    <row r="4" spans="1:8" x14ac:dyDescent="0.25">
      <c r="A4" s="1" t="s">
        <v>10</v>
      </c>
      <c r="B4" s="1" t="s">
        <v>11</v>
      </c>
      <c r="C4" s="1" t="s">
        <v>12</v>
      </c>
      <c r="D4" s="1" t="s">
        <v>13</v>
      </c>
      <c r="E4" s="1" t="s">
        <v>12</v>
      </c>
      <c r="F4" s="1" t="s">
        <v>13</v>
      </c>
      <c r="G4" s="1" t="s">
        <v>12</v>
      </c>
      <c r="H4" s="1" t="s">
        <v>13</v>
      </c>
    </row>
    <row r="5" spans="1:8" x14ac:dyDescent="0.25">
      <c r="A5" s="19" t="s">
        <v>2</v>
      </c>
      <c r="B5" s="19"/>
      <c r="C5" s="20"/>
      <c r="D5" s="19"/>
      <c r="E5" s="20"/>
      <c r="F5" s="19"/>
      <c r="G5" s="20"/>
      <c r="H5" s="19"/>
    </row>
    <row r="6" spans="1:8" outlineLevel="1" x14ac:dyDescent="0.25">
      <c r="A6" s="2" t="s">
        <v>14</v>
      </c>
      <c r="B6" s="3" t="s">
        <v>2</v>
      </c>
      <c r="C6" s="13">
        <v>8.6671770438034201E-2</v>
      </c>
      <c r="D6" s="3">
        <v>4603</v>
      </c>
      <c r="E6" s="13">
        <v>0.107653035901544</v>
      </c>
      <c r="F6" s="3">
        <v>2270</v>
      </c>
      <c r="G6" s="13">
        <v>6.6986704817441997E-2</v>
      </c>
      <c r="H6" s="4">
        <v>2333</v>
      </c>
    </row>
    <row r="7" spans="1:8" x14ac:dyDescent="0.25">
      <c r="C7" s="16"/>
      <c r="E7" s="16"/>
      <c r="G7" s="16"/>
    </row>
    <row r="8" spans="1:8" x14ac:dyDescent="0.25">
      <c r="A8" s="19" t="s">
        <v>15</v>
      </c>
      <c r="B8" s="19"/>
      <c r="C8" s="20"/>
      <c r="D8" s="19"/>
      <c r="E8" s="20"/>
      <c r="F8" s="19"/>
      <c r="G8" s="20"/>
      <c r="H8" s="19"/>
    </row>
    <row r="9" spans="1:8" outlineLevel="1" x14ac:dyDescent="0.25">
      <c r="A9" s="5" t="s">
        <v>14</v>
      </c>
      <c r="B9" s="8" t="s">
        <v>16</v>
      </c>
      <c r="C9" s="14">
        <v>9.2539293783493501E-2</v>
      </c>
      <c r="D9" s="8">
        <v>519</v>
      </c>
      <c r="E9" s="14">
        <v>9.0480895601120104E-2</v>
      </c>
      <c r="F9" s="8">
        <v>253</v>
      </c>
      <c r="G9" s="14">
        <v>9.4866073172756402E-2</v>
      </c>
      <c r="H9" s="10">
        <v>266</v>
      </c>
    </row>
    <row r="10" spans="1:8" outlineLevel="1" x14ac:dyDescent="0.25">
      <c r="A10" s="6" t="s">
        <v>14</v>
      </c>
      <c r="B10" t="s">
        <v>17</v>
      </c>
      <c r="C10" s="16">
        <v>0.15607250055337499</v>
      </c>
      <c r="D10">
        <v>1310</v>
      </c>
      <c r="E10" s="16">
        <v>0.17909170487707499</v>
      </c>
      <c r="F10">
        <v>679</v>
      </c>
      <c r="G10" s="16">
        <v>0.134574906894779</v>
      </c>
      <c r="H10" s="11">
        <v>631</v>
      </c>
    </row>
    <row r="11" spans="1:8" outlineLevel="1" x14ac:dyDescent="0.25">
      <c r="A11" s="6" t="s">
        <v>14</v>
      </c>
      <c r="B11" t="s">
        <v>18</v>
      </c>
      <c r="C11" s="16">
        <v>8.0760943529733606E-2</v>
      </c>
      <c r="D11">
        <v>1283</v>
      </c>
      <c r="E11" s="16">
        <v>0.117921057450886</v>
      </c>
      <c r="F11">
        <v>609</v>
      </c>
      <c r="G11" s="16">
        <v>4.7681551831019998E-2</v>
      </c>
      <c r="H11" s="11">
        <v>674</v>
      </c>
    </row>
    <row r="12" spans="1:8" outlineLevel="1" x14ac:dyDescent="0.25">
      <c r="A12" s="7" t="s">
        <v>14</v>
      </c>
      <c r="B12" s="9" t="s">
        <v>19</v>
      </c>
      <c r="C12" s="15">
        <v>3.58444705252585E-2</v>
      </c>
      <c r="D12" s="9">
        <v>1491</v>
      </c>
      <c r="E12" s="15">
        <v>5.0394020258235701E-2</v>
      </c>
      <c r="F12" s="9">
        <v>729</v>
      </c>
      <c r="G12" s="15">
        <v>2.24525904090585E-2</v>
      </c>
      <c r="H12" s="12">
        <v>762</v>
      </c>
    </row>
    <row r="13" spans="1:8" x14ac:dyDescent="0.25">
      <c r="C13" s="16"/>
      <c r="E13" s="16"/>
      <c r="G13" s="16"/>
    </row>
    <row r="14" spans="1:8" x14ac:dyDescent="0.25">
      <c r="A14" s="19" t="s">
        <v>20</v>
      </c>
      <c r="B14" s="19"/>
      <c r="C14" s="20"/>
      <c r="D14" s="19"/>
      <c r="E14" s="20"/>
      <c r="F14" s="19"/>
      <c r="G14" s="20"/>
      <c r="H14" s="19"/>
    </row>
    <row r="15" spans="1:8" outlineLevel="1" x14ac:dyDescent="0.25">
      <c r="A15" s="5" t="s">
        <v>14</v>
      </c>
      <c r="B15" s="8" t="s">
        <v>21</v>
      </c>
      <c r="C15" s="14">
        <v>3.0944681355647201E-2</v>
      </c>
      <c r="D15" s="8">
        <v>981</v>
      </c>
      <c r="E15" s="14">
        <v>3.9938256131952302E-2</v>
      </c>
      <c r="F15" s="8">
        <v>495</v>
      </c>
      <c r="G15" s="14">
        <v>2.1481185958834002E-2</v>
      </c>
      <c r="H15" s="10">
        <v>486</v>
      </c>
    </row>
    <row r="16" spans="1:8" outlineLevel="1" x14ac:dyDescent="0.25">
      <c r="A16" s="6" t="s">
        <v>14</v>
      </c>
      <c r="B16" t="s">
        <v>22</v>
      </c>
      <c r="C16" s="16">
        <v>9.1426329603217699E-2</v>
      </c>
      <c r="D16">
        <v>776</v>
      </c>
      <c r="E16" s="16">
        <v>0.13301401489027501</v>
      </c>
      <c r="F16">
        <v>349</v>
      </c>
      <c r="G16" s="16">
        <v>5.6153542204024902E-2</v>
      </c>
      <c r="H16" s="11">
        <v>427</v>
      </c>
    </row>
    <row r="17" spans="1:8" outlineLevel="1" x14ac:dyDescent="0.25">
      <c r="A17" s="6" t="s">
        <v>14</v>
      </c>
      <c r="B17" t="s">
        <v>23</v>
      </c>
      <c r="C17" s="16">
        <v>0.103511790519401</v>
      </c>
      <c r="D17">
        <v>1238</v>
      </c>
      <c r="E17" s="16">
        <v>0.11855752127460301</v>
      </c>
      <c r="F17">
        <v>643</v>
      </c>
      <c r="G17" s="16">
        <v>8.9001305451512205E-2</v>
      </c>
      <c r="H17" s="11">
        <v>595</v>
      </c>
    </row>
    <row r="18" spans="1:8" outlineLevel="1" x14ac:dyDescent="0.25">
      <c r="A18" s="6" t="s">
        <v>14</v>
      </c>
      <c r="B18" t="s">
        <v>24</v>
      </c>
      <c r="C18" s="16">
        <v>0.16131047722113401</v>
      </c>
      <c r="D18">
        <v>762</v>
      </c>
      <c r="E18" s="16">
        <v>0.177302227760152</v>
      </c>
      <c r="F18">
        <v>388</v>
      </c>
      <c r="G18" s="16">
        <v>0.14481769306095299</v>
      </c>
      <c r="H18" s="11">
        <v>374</v>
      </c>
    </row>
    <row r="19" spans="1:8" outlineLevel="1" x14ac:dyDescent="0.25">
      <c r="A19" s="7" t="s">
        <v>14</v>
      </c>
      <c r="B19" s="9" t="s">
        <v>25</v>
      </c>
      <c r="C19" s="15">
        <v>9.1232731714262799E-2</v>
      </c>
      <c r="D19" s="9">
        <v>846</v>
      </c>
      <c r="E19" s="15">
        <v>0.101562008847321</v>
      </c>
      <c r="F19" s="9">
        <v>395</v>
      </c>
      <c r="G19" s="15">
        <v>8.2048734577908095E-2</v>
      </c>
      <c r="H19" s="12">
        <v>451</v>
      </c>
    </row>
    <row r="20" spans="1:8" x14ac:dyDescent="0.25">
      <c r="C20" s="16"/>
      <c r="E20" s="16"/>
      <c r="G20" s="16"/>
    </row>
    <row r="21" spans="1:8" x14ac:dyDescent="0.25">
      <c r="A21" s="19" t="s">
        <v>26</v>
      </c>
      <c r="B21" s="19"/>
      <c r="C21" s="20"/>
      <c r="D21" s="19"/>
      <c r="E21" s="20"/>
      <c r="F21" s="19"/>
      <c r="G21" s="20"/>
      <c r="H21" s="19"/>
    </row>
    <row r="22" spans="1:8" outlineLevel="1" x14ac:dyDescent="0.25">
      <c r="A22" s="5" t="s">
        <v>14</v>
      </c>
      <c r="B22" s="8" t="s">
        <v>27</v>
      </c>
      <c r="C22" s="14">
        <v>1.33498383107382E-2</v>
      </c>
      <c r="D22" s="8">
        <v>92</v>
      </c>
      <c r="E22" s="14">
        <v>2.2593059335533901E-2</v>
      </c>
      <c r="F22" s="8">
        <v>55</v>
      </c>
      <c r="G22" s="14"/>
      <c r="H22" s="10"/>
    </row>
    <row r="23" spans="1:8" outlineLevel="1" x14ac:dyDescent="0.25">
      <c r="A23" s="6" t="s">
        <v>14</v>
      </c>
      <c r="B23" t="s">
        <v>28</v>
      </c>
      <c r="C23" s="16">
        <v>4.7586565588449203E-2</v>
      </c>
      <c r="D23">
        <v>110</v>
      </c>
      <c r="E23" s="16">
        <v>5.31816319030297E-2</v>
      </c>
      <c r="F23">
        <v>54</v>
      </c>
      <c r="G23" s="16">
        <v>4.2453759998458102E-2</v>
      </c>
      <c r="H23" s="11">
        <v>56</v>
      </c>
    </row>
    <row r="24" spans="1:8" outlineLevel="1" x14ac:dyDescent="0.25">
      <c r="A24" s="6" t="s">
        <v>14</v>
      </c>
      <c r="B24" t="s">
        <v>29</v>
      </c>
      <c r="C24" s="16">
        <v>3.4670087984332597E-2</v>
      </c>
      <c r="D24">
        <v>197</v>
      </c>
      <c r="E24" s="16">
        <v>3.6383369874859003E-2</v>
      </c>
      <c r="F24">
        <v>99</v>
      </c>
      <c r="G24" s="16">
        <v>3.2873444955433297E-2</v>
      </c>
      <c r="H24" s="11">
        <v>98</v>
      </c>
    </row>
    <row r="25" spans="1:8" outlineLevel="1" x14ac:dyDescent="0.25">
      <c r="A25" s="6" t="s">
        <v>14</v>
      </c>
      <c r="B25" t="s">
        <v>30</v>
      </c>
      <c r="C25" s="16">
        <v>8.6705400945859601E-2</v>
      </c>
      <c r="D25">
        <v>62</v>
      </c>
      <c r="E25" s="16">
        <v>0.129034423092317</v>
      </c>
      <c r="F25">
        <v>34</v>
      </c>
      <c r="G25" s="16">
        <v>2.1882176928125E-2</v>
      </c>
      <c r="H25" s="11">
        <v>28</v>
      </c>
    </row>
    <row r="26" spans="1:8" outlineLevel="1" x14ac:dyDescent="0.25">
      <c r="A26" s="6" t="s">
        <v>14</v>
      </c>
      <c r="B26" t="s">
        <v>31</v>
      </c>
      <c r="C26" s="16">
        <v>4.24673315066565E-3</v>
      </c>
      <c r="D26">
        <v>197</v>
      </c>
      <c r="E26" s="16">
        <v>6.5389950323006298E-3</v>
      </c>
      <c r="F26">
        <v>90</v>
      </c>
      <c r="G26" s="16">
        <v>2.42158990628235E-3</v>
      </c>
      <c r="H26" s="11">
        <v>107</v>
      </c>
    </row>
    <row r="27" spans="1:8" outlineLevel="1" x14ac:dyDescent="0.25">
      <c r="A27" s="6" t="s">
        <v>14</v>
      </c>
      <c r="B27" t="s">
        <v>32</v>
      </c>
      <c r="C27" s="16">
        <v>2.56641756264454E-2</v>
      </c>
      <c r="D27">
        <v>190</v>
      </c>
      <c r="E27" s="16">
        <v>1.3116170587603801E-2</v>
      </c>
      <c r="F27">
        <v>92</v>
      </c>
      <c r="G27" s="16">
        <v>3.76801501151042E-2</v>
      </c>
      <c r="H27" s="11">
        <v>98</v>
      </c>
    </row>
    <row r="28" spans="1:8" outlineLevel="1" x14ac:dyDescent="0.25">
      <c r="A28" s="6" t="s">
        <v>14</v>
      </c>
      <c r="B28" t="s">
        <v>33</v>
      </c>
      <c r="C28" s="16">
        <v>5.9733649677669302E-2</v>
      </c>
      <c r="D28">
        <v>133</v>
      </c>
      <c r="E28" s="16">
        <v>8.2628219164253003E-2</v>
      </c>
      <c r="F28">
        <v>71</v>
      </c>
      <c r="G28" s="16">
        <v>3.3881059381198099E-2</v>
      </c>
      <c r="H28" s="11">
        <v>62</v>
      </c>
    </row>
    <row r="29" spans="1:8" outlineLevel="1" x14ac:dyDescent="0.25">
      <c r="A29" s="6" t="s">
        <v>14</v>
      </c>
      <c r="B29" t="s">
        <v>34</v>
      </c>
      <c r="C29" s="16">
        <v>1.6681298537031299E-2</v>
      </c>
      <c r="D29">
        <v>209</v>
      </c>
      <c r="E29" s="16">
        <v>3.04873551145475E-3</v>
      </c>
      <c r="F29">
        <v>95</v>
      </c>
      <c r="G29" s="16">
        <v>2.7733300822813899E-2</v>
      </c>
      <c r="H29" s="11">
        <v>114</v>
      </c>
    </row>
    <row r="30" spans="1:8" outlineLevel="1" x14ac:dyDescent="0.25">
      <c r="A30" s="6" t="s">
        <v>14</v>
      </c>
      <c r="B30" t="s">
        <v>35</v>
      </c>
      <c r="C30" s="16">
        <v>0.13798440978665599</v>
      </c>
      <c r="D30">
        <v>303</v>
      </c>
      <c r="E30" s="16">
        <v>0.21790791151171099</v>
      </c>
      <c r="F30">
        <v>145</v>
      </c>
      <c r="G30" s="16">
        <v>6.5903611943045295E-2</v>
      </c>
      <c r="H30" s="11">
        <v>158</v>
      </c>
    </row>
    <row r="31" spans="1:8" outlineLevel="1" x14ac:dyDescent="0.25">
      <c r="A31" s="6" t="s">
        <v>14</v>
      </c>
      <c r="B31" t="s">
        <v>36</v>
      </c>
      <c r="C31" s="16">
        <v>5.0265897345074903E-2</v>
      </c>
      <c r="D31">
        <v>131</v>
      </c>
      <c r="E31" s="16"/>
      <c r="G31" s="16">
        <v>8.3330630668714101E-2</v>
      </c>
      <c r="H31" s="11">
        <v>83</v>
      </c>
    </row>
    <row r="32" spans="1:8" outlineLevel="1" x14ac:dyDescent="0.25">
      <c r="A32" s="6" t="s">
        <v>14</v>
      </c>
      <c r="B32" t="s">
        <v>37</v>
      </c>
      <c r="C32" s="16">
        <v>8.6535469062440598E-2</v>
      </c>
      <c r="D32">
        <v>133</v>
      </c>
      <c r="E32" s="16">
        <v>8.5768617938112801E-2</v>
      </c>
      <c r="F32">
        <v>61</v>
      </c>
      <c r="G32" s="16">
        <v>8.7145225426507197E-2</v>
      </c>
      <c r="H32" s="11">
        <v>72</v>
      </c>
    </row>
    <row r="33" spans="1:8" outlineLevel="1" x14ac:dyDescent="0.25">
      <c r="A33" s="6" t="s">
        <v>14</v>
      </c>
      <c r="B33" t="s">
        <v>38</v>
      </c>
      <c r="C33" s="16">
        <v>0.137409896737343</v>
      </c>
      <c r="D33">
        <v>752</v>
      </c>
      <c r="E33" s="16">
        <v>0.147260757882892</v>
      </c>
      <c r="F33">
        <v>412</v>
      </c>
      <c r="G33" s="16">
        <v>0.12658792504587099</v>
      </c>
      <c r="H33" s="11">
        <v>340</v>
      </c>
    </row>
    <row r="34" spans="1:8" outlineLevel="1" x14ac:dyDescent="0.25">
      <c r="A34" s="6" t="s">
        <v>14</v>
      </c>
      <c r="B34" t="s">
        <v>39</v>
      </c>
      <c r="C34" s="16">
        <v>5.52475197996906E-2</v>
      </c>
      <c r="D34">
        <v>192</v>
      </c>
      <c r="E34" s="16">
        <v>0.105101446614724</v>
      </c>
      <c r="F34">
        <v>89</v>
      </c>
      <c r="G34" s="16">
        <v>2.7712286680651701E-2</v>
      </c>
      <c r="H34" s="11">
        <v>103</v>
      </c>
    </row>
    <row r="35" spans="1:8" outlineLevel="1" x14ac:dyDescent="0.25">
      <c r="A35" s="6" t="s">
        <v>14</v>
      </c>
      <c r="B35" t="s">
        <v>40</v>
      </c>
      <c r="C35" s="16">
        <v>1.04182487559246E-2</v>
      </c>
      <c r="D35">
        <v>185</v>
      </c>
      <c r="E35" s="16"/>
      <c r="G35" s="16">
        <v>2.0285558713697499E-2</v>
      </c>
      <c r="H35" s="11">
        <v>96</v>
      </c>
    </row>
    <row r="36" spans="1:8" outlineLevel="1" x14ac:dyDescent="0.25">
      <c r="A36" s="6" t="s">
        <v>14</v>
      </c>
      <c r="B36" t="s">
        <v>41</v>
      </c>
      <c r="C36" s="16">
        <v>3.68697971328441E-2</v>
      </c>
      <c r="D36">
        <v>109</v>
      </c>
      <c r="E36" s="16">
        <v>3.8340483919896702E-2</v>
      </c>
      <c r="F36">
        <v>53</v>
      </c>
      <c r="G36" s="16">
        <v>3.5490627179485999E-2</v>
      </c>
      <c r="H36" s="11">
        <v>56</v>
      </c>
    </row>
    <row r="37" spans="1:8" outlineLevel="1" x14ac:dyDescent="0.25">
      <c r="A37" s="6" t="s">
        <v>14</v>
      </c>
      <c r="B37" t="s">
        <v>42</v>
      </c>
      <c r="C37" s="16">
        <v>0.18553352641624099</v>
      </c>
      <c r="D37">
        <v>536</v>
      </c>
      <c r="E37" s="16">
        <v>0.21418304287887399</v>
      </c>
      <c r="F37">
        <v>275</v>
      </c>
      <c r="G37" s="16">
        <v>0.155297992192096</v>
      </c>
      <c r="H37" s="11">
        <v>261</v>
      </c>
    </row>
    <row r="38" spans="1:8" outlineLevel="1" x14ac:dyDescent="0.25">
      <c r="A38" s="6" t="s">
        <v>14</v>
      </c>
      <c r="B38" t="s">
        <v>43</v>
      </c>
      <c r="C38" s="16">
        <v>0.10307964671231901</v>
      </c>
      <c r="D38">
        <v>146</v>
      </c>
      <c r="E38" s="16">
        <v>8.4364043856583207E-2</v>
      </c>
      <c r="F38">
        <v>72</v>
      </c>
      <c r="G38" s="16">
        <v>0.12069951637107799</v>
      </c>
      <c r="H38" s="11">
        <v>74</v>
      </c>
    </row>
    <row r="39" spans="1:8" outlineLevel="1" x14ac:dyDescent="0.25">
      <c r="A39" s="6" t="s">
        <v>14</v>
      </c>
      <c r="B39" t="s">
        <v>44</v>
      </c>
      <c r="C39" s="16">
        <v>6.2791892622112405E-2</v>
      </c>
      <c r="D39">
        <v>80</v>
      </c>
      <c r="E39" s="16">
        <v>2.42652784214278E-2</v>
      </c>
      <c r="F39">
        <v>41</v>
      </c>
      <c r="G39" s="16">
        <v>0.10333210389649</v>
      </c>
      <c r="H39" s="11">
        <v>39</v>
      </c>
    </row>
    <row r="40" spans="1:8" outlineLevel="1" x14ac:dyDescent="0.25">
      <c r="A40" s="6" t="s">
        <v>14</v>
      </c>
      <c r="B40" t="s">
        <v>45</v>
      </c>
      <c r="C40" s="16">
        <v>0.100364746202766</v>
      </c>
      <c r="D40">
        <v>390</v>
      </c>
      <c r="E40" s="16">
        <v>0.114334706870689</v>
      </c>
      <c r="F40">
        <v>183</v>
      </c>
      <c r="G40" s="16">
        <v>8.7581759198774298E-2</v>
      </c>
      <c r="H40" s="11">
        <v>207</v>
      </c>
    </row>
    <row r="41" spans="1:8" outlineLevel="1" x14ac:dyDescent="0.25">
      <c r="A41" s="6" t="s">
        <v>14</v>
      </c>
      <c r="B41" t="s">
        <v>46</v>
      </c>
      <c r="C41" s="16">
        <v>4.6473269905851503E-2</v>
      </c>
      <c r="D41">
        <v>215</v>
      </c>
      <c r="E41" s="16">
        <v>5.1491791106161297E-2</v>
      </c>
      <c r="F41">
        <v>108</v>
      </c>
      <c r="G41" s="16">
        <v>4.1198400796299099E-2</v>
      </c>
      <c r="H41" s="11">
        <v>107</v>
      </c>
    </row>
    <row r="42" spans="1:8" outlineLevel="1" x14ac:dyDescent="0.25">
      <c r="A42" s="7" t="s">
        <v>14</v>
      </c>
      <c r="B42" s="9" t="s">
        <v>47</v>
      </c>
      <c r="C42" s="15">
        <v>7.7376262576530394E-2</v>
      </c>
      <c r="D42" s="9">
        <v>241</v>
      </c>
      <c r="E42" s="15">
        <v>7.6352997687670204E-2</v>
      </c>
      <c r="F42" s="9">
        <v>104</v>
      </c>
      <c r="G42" s="15">
        <v>7.8150877952098199E-2</v>
      </c>
      <c r="H42" s="12">
        <v>137</v>
      </c>
    </row>
    <row r="43" spans="1:8" x14ac:dyDescent="0.25">
      <c r="C43" s="16"/>
      <c r="E43" s="16"/>
      <c r="G43" s="16"/>
    </row>
    <row r="44" spans="1:8" x14ac:dyDescent="0.25">
      <c r="A44" s="19" t="s">
        <v>48</v>
      </c>
      <c r="B44" s="19"/>
      <c r="C44" s="20"/>
      <c r="D44" s="19"/>
      <c r="E44" s="20"/>
      <c r="F44" s="19"/>
      <c r="G44" s="20"/>
      <c r="H44" s="19"/>
    </row>
    <row r="45" spans="1:8" outlineLevel="1" x14ac:dyDescent="0.25">
      <c r="A45" s="5" t="s">
        <v>14</v>
      </c>
      <c r="B45" s="8" t="s">
        <v>49</v>
      </c>
      <c r="C45" s="14">
        <v>0.15622281424336201</v>
      </c>
      <c r="D45" s="8">
        <v>912</v>
      </c>
      <c r="E45" s="14">
        <v>0.182704670804686</v>
      </c>
      <c r="F45" s="8">
        <v>479</v>
      </c>
      <c r="G45" s="14">
        <v>0.12697885436859099</v>
      </c>
      <c r="H45" s="10">
        <v>433</v>
      </c>
    </row>
    <row r="46" spans="1:8" outlineLevel="1" x14ac:dyDescent="0.25">
      <c r="A46" s="6" t="s">
        <v>14</v>
      </c>
      <c r="B46" t="s">
        <v>50</v>
      </c>
      <c r="C46" s="16">
        <v>5.6653601172581197E-2</v>
      </c>
      <c r="D46">
        <v>904</v>
      </c>
      <c r="E46" s="16">
        <v>8.1020083339399404E-2</v>
      </c>
      <c r="F46">
        <v>426</v>
      </c>
      <c r="G46" s="16">
        <v>3.5160328773246201E-2</v>
      </c>
      <c r="H46" s="11">
        <v>478</v>
      </c>
    </row>
    <row r="47" spans="1:8" outlineLevel="1" x14ac:dyDescent="0.25">
      <c r="A47" s="7" t="s">
        <v>14</v>
      </c>
      <c r="B47" s="9" t="s">
        <v>51</v>
      </c>
      <c r="C47" s="15">
        <v>5.4218312471004698E-2</v>
      </c>
      <c r="D47" s="9">
        <v>2787</v>
      </c>
      <c r="E47" s="15">
        <v>6.37606812463858E-2</v>
      </c>
      <c r="F47" s="9">
        <v>1365</v>
      </c>
      <c r="G47" s="15">
        <v>4.5954487544696797E-2</v>
      </c>
      <c r="H47" s="12">
        <v>1422</v>
      </c>
    </row>
    <row r="48" spans="1:8" x14ac:dyDescent="0.25">
      <c r="C48" s="16"/>
      <c r="E48" s="16"/>
      <c r="G48" s="16"/>
    </row>
    <row r="49" spans="1:8" x14ac:dyDescent="0.25">
      <c r="A49" s="19" t="s">
        <v>52</v>
      </c>
      <c r="B49" s="19"/>
      <c r="C49" s="20"/>
      <c r="D49" s="19"/>
      <c r="E49" s="20"/>
      <c r="F49" s="19"/>
      <c r="G49" s="20"/>
      <c r="H49" s="19"/>
    </row>
    <row r="50" spans="1:8" outlineLevel="1" x14ac:dyDescent="0.25">
      <c r="A50" s="5" t="s">
        <v>14</v>
      </c>
      <c r="B50" s="8" t="s">
        <v>53</v>
      </c>
      <c r="C50" s="14">
        <v>7.8294179297748095E-2</v>
      </c>
      <c r="D50" s="8">
        <v>1384</v>
      </c>
      <c r="E50" s="14">
        <v>0.111118386479793</v>
      </c>
      <c r="F50" s="8">
        <v>668</v>
      </c>
      <c r="G50" s="14">
        <v>5.1192870911936798E-2</v>
      </c>
      <c r="H50" s="10">
        <v>716</v>
      </c>
    </row>
    <row r="51" spans="1:8" outlineLevel="1" x14ac:dyDescent="0.25">
      <c r="A51" s="7" t="s">
        <v>14</v>
      </c>
      <c r="B51" s="9" t="s">
        <v>54</v>
      </c>
      <c r="C51" s="15">
        <v>8.9969351968931993E-2</v>
      </c>
      <c r="D51" s="9">
        <v>3219</v>
      </c>
      <c r="E51" s="15">
        <v>0.106410788093127</v>
      </c>
      <c r="F51" s="9">
        <v>1602</v>
      </c>
      <c r="G51" s="15">
        <v>7.3750967421110203E-2</v>
      </c>
      <c r="H51" s="12">
        <v>1617</v>
      </c>
    </row>
    <row r="52" spans="1:8" x14ac:dyDescent="0.25">
      <c r="C52" s="16"/>
      <c r="E52" s="16"/>
      <c r="G52" s="16"/>
    </row>
    <row r="53" spans="1:8" x14ac:dyDescent="0.25">
      <c r="A53" s="19" t="s">
        <v>55</v>
      </c>
      <c r="B53" s="19"/>
      <c r="C53" s="20"/>
      <c r="D53" s="19"/>
      <c r="E53" s="20"/>
      <c r="F53" s="19"/>
      <c r="G53" s="20"/>
      <c r="H53" s="19"/>
    </row>
    <row r="54" spans="1:8" outlineLevel="1" x14ac:dyDescent="0.25">
      <c r="A54" s="5" t="s">
        <v>14</v>
      </c>
      <c r="B54" s="8" t="s">
        <v>56</v>
      </c>
      <c r="C54" s="14">
        <v>0.15622281424336201</v>
      </c>
      <c r="D54" s="8">
        <v>912</v>
      </c>
      <c r="E54" s="14">
        <v>0.182704670804686</v>
      </c>
      <c r="F54" s="8">
        <v>479</v>
      </c>
      <c r="G54" s="14">
        <v>0.12697885436859099</v>
      </c>
      <c r="H54" s="10">
        <v>433</v>
      </c>
    </row>
    <row r="55" spans="1:8" outlineLevel="1" x14ac:dyDescent="0.25">
      <c r="A55" s="6" t="s">
        <v>14</v>
      </c>
      <c r="B55" t="s">
        <v>57</v>
      </c>
      <c r="C55" s="16">
        <v>5.4079472823497003E-2</v>
      </c>
      <c r="D55">
        <v>2808</v>
      </c>
      <c r="E55" s="16">
        <v>5.5974219476233197E-2</v>
      </c>
      <c r="F55">
        <v>1407</v>
      </c>
      <c r="G55" s="16">
        <v>5.2158155072890802E-2</v>
      </c>
      <c r="H55" s="11">
        <v>1401</v>
      </c>
    </row>
    <row r="56" spans="1:8" outlineLevel="1" x14ac:dyDescent="0.25">
      <c r="A56" s="7" t="s">
        <v>14</v>
      </c>
      <c r="B56" s="9" t="s">
        <v>58</v>
      </c>
      <c r="C56" s="15">
        <v>5.6204264846558098E-2</v>
      </c>
      <c r="D56" s="9">
        <v>883</v>
      </c>
      <c r="E56" s="15">
        <v>9.1535850088339393E-2</v>
      </c>
      <c r="F56" s="9">
        <v>384</v>
      </c>
      <c r="G56" s="15">
        <v>3.1426241354229598E-2</v>
      </c>
      <c r="H56" s="12">
        <v>499</v>
      </c>
    </row>
    <row r="57" spans="1:8" x14ac:dyDescent="0.25">
      <c r="C57" s="16"/>
      <c r="E57" s="16"/>
      <c r="G57" s="16"/>
    </row>
    <row r="58" spans="1:8" x14ac:dyDescent="0.25">
      <c r="A58" s="19" t="s">
        <v>59</v>
      </c>
      <c r="B58" s="19"/>
      <c r="C58" s="20"/>
      <c r="D58" s="19"/>
      <c r="E58" s="20"/>
      <c r="F58" s="19"/>
      <c r="G58" s="20"/>
      <c r="H58" s="19"/>
    </row>
    <row r="59" spans="1:8" outlineLevel="1" x14ac:dyDescent="0.25">
      <c r="A59" s="5" t="s">
        <v>14</v>
      </c>
      <c r="B59" s="8" t="s">
        <v>60</v>
      </c>
      <c r="C59" s="14">
        <v>0.117348201803103</v>
      </c>
      <c r="D59" s="8">
        <v>1784</v>
      </c>
      <c r="E59" s="14">
        <v>0.14550018035012399</v>
      </c>
      <c r="F59" s="8">
        <v>895</v>
      </c>
      <c r="G59" s="14">
        <v>8.8673006600939894E-2</v>
      </c>
      <c r="H59" s="10">
        <v>889</v>
      </c>
    </row>
    <row r="60" spans="1:8" outlineLevel="1" x14ac:dyDescent="0.25">
      <c r="A60" s="6" t="s">
        <v>14</v>
      </c>
      <c r="B60" t="s">
        <v>61</v>
      </c>
      <c r="C60" s="16">
        <v>6.06714307185207E-2</v>
      </c>
      <c r="D60">
        <v>15</v>
      </c>
      <c r="E60" s="16"/>
      <c r="G60" s="16">
        <v>9.9652850629283696E-2</v>
      </c>
      <c r="H60" s="11">
        <v>9</v>
      </c>
    </row>
    <row r="61" spans="1:8" outlineLevel="1" x14ac:dyDescent="0.25">
      <c r="A61" s="7" t="s">
        <v>14</v>
      </c>
      <c r="B61" s="9" t="s">
        <v>64</v>
      </c>
      <c r="C61" s="15">
        <v>5.4218312471004698E-2</v>
      </c>
      <c r="D61" s="9">
        <v>2787</v>
      </c>
      <c r="E61" s="15">
        <v>6.37606812463858E-2</v>
      </c>
      <c r="F61" s="9">
        <v>1365</v>
      </c>
      <c r="G61" s="15">
        <v>4.5954487544696797E-2</v>
      </c>
      <c r="H61" s="12">
        <v>1422</v>
      </c>
    </row>
    <row r="62" spans="1:8" x14ac:dyDescent="0.25">
      <c r="C62" s="16"/>
      <c r="E62" s="16"/>
      <c r="G62" s="16"/>
    </row>
    <row r="63" spans="1:8" x14ac:dyDescent="0.25">
      <c r="C63" s="16"/>
      <c r="E63" s="16"/>
      <c r="G63" s="16"/>
    </row>
  </sheetData>
  <mergeCells count="15">
    <mergeCell ref="A49:H49"/>
    <mergeCell ref="A53:H53"/>
    <mergeCell ref="A58:H58"/>
    <mergeCell ref="A5:H5"/>
    <mergeCell ref="A8:H8"/>
    <mergeCell ref="A14:H14"/>
    <mergeCell ref="A21:H21"/>
    <mergeCell ref="A44:H44"/>
    <mergeCell ref="A1:H1"/>
    <mergeCell ref="C2:D2"/>
    <mergeCell ref="E2:F2"/>
    <mergeCell ref="G2:H2"/>
    <mergeCell ref="C3:D3"/>
    <mergeCell ref="E3:F3"/>
    <mergeCell ref="G3:H3"/>
  </mergeCells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70"/>
  <sheetViews>
    <sheetView showGridLines="0" tabSelected="1" workbookViewId="0">
      <selection sqref="A1:AL1"/>
    </sheetView>
  </sheetViews>
  <sheetFormatPr defaultColWidth="11.42578125" defaultRowHeight="15" outlineLevelRow="1" x14ac:dyDescent="0.25"/>
  <sheetData>
    <row r="1" spans="1:38" x14ac:dyDescent="0.25">
      <c r="A1" s="18" t="s">
        <v>94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</row>
    <row r="2" spans="1:38" x14ac:dyDescent="0.25">
      <c r="C2" s="19" t="s">
        <v>2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 t="s">
        <v>3</v>
      </c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 t="s">
        <v>4</v>
      </c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</row>
    <row r="3" spans="1:38" x14ac:dyDescent="0.25">
      <c r="E3" s="19" t="s">
        <v>95</v>
      </c>
      <c r="F3" s="19"/>
      <c r="G3" s="19"/>
      <c r="H3" s="19"/>
      <c r="I3" s="19"/>
      <c r="J3" s="19"/>
      <c r="K3" s="19"/>
      <c r="L3" s="19"/>
      <c r="M3" s="19"/>
      <c r="N3" s="19"/>
      <c r="Q3" s="19" t="s">
        <v>95</v>
      </c>
      <c r="R3" s="19"/>
      <c r="S3" s="19"/>
      <c r="T3" s="19"/>
      <c r="U3" s="19"/>
      <c r="V3" s="19"/>
      <c r="W3" s="19"/>
      <c r="X3" s="19"/>
      <c r="Y3" s="19"/>
      <c r="Z3" s="19"/>
      <c r="AC3" s="19" t="s">
        <v>95</v>
      </c>
      <c r="AD3" s="19"/>
      <c r="AE3" s="19"/>
      <c r="AF3" s="19"/>
      <c r="AG3" s="19"/>
      <c r="AH3" s="19"/>
      <c r="AI3" s="19"/>
      <c r="AJ3" s="19"/>
      <c r="AK3" s="19"/>
      <c r="AL3" s="19"/>
    </row>
    <row r="4" spans="1:38" x14ac:dyDescent="0.25">
      <c r="C4" s="19" t="s">
        <v>65</v>
      </c>
      <c r="D4" s="19"/>
      <c r="E4" s="19" t="s">
        <v>68</v>
      </c>
      <c r="F4" s="19"/>
      <c r="G4" s="19" t="s">
        <v>96</v>
      </c>
      <c r="H4" s="19"/>
      <c r="I4" s="19" t="s">
        <v>97</v>
      </c>
      <c r="J4" s="19"/>
      <c r="K4" s="19" t="s">
        <v>98</v>
      </c>
      <c r="L4" s="19"/>
      <c r="M4" s="19" t="s">
        <v>99</v>
      </c>
      <c r="N4" s="19"/>
      <c r="O4" s="19" t="s">
        <v>65</v>
      </c>
      <c r="P4" s="19"/>
      <c r="Q4" s="19" t="s">
        <v>68</v>
      </c>
      <c r="R4" s="19"/>
      <c r="S4" s="19" t="s">
        <v>96</v>
      </c>
      <c r="T4" s="19"/>
      <c r="U4" s="19" t="s">
        <v>97</v>
      </c>
      <c r="V4" s="19"/>
      <c r="W4" s="19" t="s">
        <v>98</v>
      </c>
      <c r="X4" s="19"/>
      <c r="Y4" s="19" t="s">
        <v>99</v>
      </c>
      <c r="Z4" s="19"/>
      <c r="AA4" s="19" t="s">
        <v>65</v>
      </c>
      <c r="AB4" s="19"/>
      <c r="AC4" s="19" t="s">
        <v>68</v>
      </c>
      <c r="AD4" s="19"/>
      <c r="AE4" s="19" t="s">
        <v>96</v>
      </c>
      <c r="AF4" s="19"/>
      <c r="AG4" s="19" t="s">
        <v>97</v>
      </c>
      <c r="AH4" s="19"/>
      <c r="AI4" s="19" t="s">
        <v>98</v>
      </c>
      <c r="AJ4" s="19"/>
      <c r="AK4" s="19" t="s">
        <v>99</v>
      </c>
      <c r="AL4" s="19"/>
    </row>
    <row r="5" spans="1:38" x14ac:dyDescent="0.25">
      <c r="A5" s="1" t="s">
        <v>10</v>
      </c>
      <c r="B5" s="1" t="s">
        <v>11</v>
      </c>
      <c r="C5" s="1" t="s">
        <v>12</v>
      </c>
      <c r="D5" s="1" t="s">
        <v>13</v>
      </c>
      <c r="E5" s="1" t="s">
        <v>12</v>
      </c>
      <c r="F5" s="1" t="s">
        <v>13</v>
      </c>
      <c r="G5" s="1" t="s">
        <v>12</v>
      </c>
      <c r="H5" s="1" t="s">
        <v>13</v>
      </c>
      <c r="I5" s="1" t="s">
        <v>12</v>
      </c>
      <c r="J5" s="1" t="s">
        <v>13</v>
      </c>
      <c r="K5" s="1" t="s">
        <v>12</v>
      </c>
      <c r="L5" s="1" t="s">
        <v>13</v>
      </c>
      <c r="M5" s="1" t="s">
        <v>12</v>
      </c>
      <c r="N5" s="1" t="s">
        <v>13</v>
      </c>
      <c r="O5" s="1" t="s">
        <v>12</v>
      </c>
      <c r="P5" s="1" t="s">
        <v>13</v>
      </c>
      <c r="Q5" s="1" t="s">
        <v>12</v>
      </c>
      <c r="R5" s="1" t="s">
        <v>13</v>
      </c>
      <c r="S5" s="1" t="s">
        <v>12</v>
      </c>
      <c r="T5" s="1" t="s">
        <v>13</v>
      </c>
      <c r="U5" s="1" t="s">
        <v>12</v>
      </c>
      <c r="V5" s="1" t="s">
        <v>13</v>
      </c>
      <c r="W5" s="1" t="s">
        <v>12</v>
      </c>
      <c r="X5" s="1" t="s">
        <v>13</v>
      </c>
      <c r="Y5" s="1" t="s">
        <v>12</v>
      </c>
      <c r="Z5" s="1" t="s">
        <v>13</v>
      </c>
      <c r="AA5" s="1" t="s">
        <v>12</v>
      </c>
      <c r="AB5" s="1" t="s">
        <v>13</v>
      </c>
      <c r="AC5" s="1" t="s">
        <v>12</v>
      </c>
      <c r="AD5" s="1" t="s">
        <v>13</v>
      </c>
      <c r="AE5" s="1" t="s">
        <v>12</v>
      </c>
      <c r="AF5" s="1" t="s">
        <v>13</v>
      </c>
      <c r="AG5" s="1" t="s">
        <v>12</v>
      </c>
      <c r="AH5" s="1" t="s">
        <v>13</v>
      </c>
      <c r="AI5" s="1" t="s">
        <v>12</v>
      </c>
      <c r="AJ5" s="1" t="s">
        <v>13</v>
      </c>
      <c r="AK5" s="1" t="s">
        <v>12</v>
      </c>
      <c r="AL5" s="1" t="s">
        <v>13</v>
      </c>
    </row>
    <row r="6" spans="1:38" x14ac:dyDescent="0.25">
      <c r="A6" s="19" t="s">
        <v>2</v>
      </c>
      <c r="B6" s="19"/>
      <c r="C6" s="20"/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  <c r="U6" s="20"/>
      <c r="V6" s="19"/>
      <c r="W6" s="20"/>
      <c r="X6" s="19"/>
      <c r="Y6" s="20"/>
      <c r="Z6" s="19"/>
      <c r="AA6" s="20"/>
      <c r="AB6" s="19"/>
      <c r="AC6" s="20"/>
      <c r="AD6" s="19"/>
      <c r="AE6" s="20"/>
      <c r="AF6" s="19"/>
      <c r="AG6" s="20"/>
      <c r="AH6" s="19"/>
      <c r="AI6" s="20"/>
      <c r="AJ6" s="19"/>
      <c r="AK6" s="20"/>
      <c r="AL6" s="19"/>
    </row>
    <row r="7" spans="1:38" outlineLevel="1" x14ac:dyDescent="0.25">
      <c r="A7" s="2" t="s">
        <v>14</v>
      </c>
      <c r="B7" s="3" t="s">
        <v>2</v>
      </c>
      <c r="C7" s="13">
        <v>2.9274974160718802E-2</v>
      </c>
      <c r="D7" s="3">
        <v>12562</v>
      </c>
      <c r="E7" s="13">
        <v>4.0199029883845397E-2</v>
      </c>
      <c r="F7" s="3">
        <v>12562</v>
      </c>
      <c r="G7" s="13">
        <v>8.4042510871045802E-3</v>
      </c>
      <c r="H7" s="3">
        <v>12562</v>
      </c>
      <c r="I7" s="13">
        <v>2.4695336315324799E-2</v>
      </c>
      <c r="J7" s="3">
        <v>12562</v>
      </c>
      <c r="K7" s="13">
        <v>8.4946509170986104E-2</v>
      </c>
      <c r="L7" s="3">
        <v>12562</v>
      </c>
      <c r="M7" s="13">
        <v>0.99893885009497296</v>
      </c>
      <c r="N7" s="3">
        <v>12562</v>
      </c>
      <c r="O7" s="13">
        <v>3.2309946500825699E-2</v>
      </c>
      <c r="P7" s="3">
        <v>6136</v>
      </c>
      <c r="Q7" s="13">
        <v>4.0312062645855497E-2</v>
      </c>
      <c r="R7" s="3">
        <v>6136</v>
      </c>
      <c r="S7" s="13">
        <v>9.56904635391179E-3</v>
      </c>
      <c r="T7" s="3">
        <v>6136</v>
      </c>
      <c r="U7" s="13">
        <v>2.76714299599796E-2</v>
      </c>
      <c r="V7" s="3">
        <v>6136</v>
      </c>
      <c r="W7" s="13">
        <v>7.5303029222061502E-2</v>
      </c>
      <c r="X7" s="3">
        <v>6136</v>
      </c>
      <c r="Y7" s="13">
        <v>0.99846171497214797</v>
      </c>
      <c r="Z7" s="3">
        <v>6136</v>
      </c>
      <c r="AA7" s="13">
        <v>2.6474116617861001E-2</v>
      </c>
      <c r="AB7" s="3">
        <v>6426</v>
      </c>
      <c r="AC7" s="13">
        <v>4.0094716358518502E-2</v>
      </c>
      <c r="AD7" s="3">
        <v>6426</v>
      </c>
      <c r="AE7" s="13">
        <v>7.3293069876776201E-3</v>
      </c>
      <c r="AF7" s="3">
        <v>6426</v>
      </c>
      <c r="AG7" s="13">
        <v>2.19488156229521E-2</v>
      </c>
      <c r="AH7" s="3">
        <v>6426</v>
      </c>
      <c r="AI7" s="13">
        <v>9.38461005107184E-2</v>
      </c>
      <c r="AJ7" s="3">
        <v>6426</v>
      </c>
      <c r="AK7" s="13">
        <v>0.99937917948119703</v>
      </c>
      <c r="AL7" s="4">
        <v>6426</v>
      </c>
    </row>
    <row r="8" spans="1:38" x14ac:dyDescent="0.25">
      <c r="C8" s="16"/>
      <c r="E8" s="16"/>
      <c r="G8" s="16"/>
      <c r="I8" s="16"/>
      <c r="K8" s="16"/>
      <c r="M8" s="16"/>
      <c r="O8" s="16"/>
      <c r="Q8" s="16"/>
      <c r="S8" s="16"/>
      <c r="U8" s="16"/>
      <c r="W8" s="16"/>
      <c r="Y8" s="16"/>
      <c r="AA8" s="16"/>
      <c r="AC8" s="16"/>
      <c r="AE8" s="16"/>
      <c r="AG8" s="16"/>
      <c r="AI8" s="16"/>
      <c r="AK8" s="16"/>
    </row>
    <row r="9" spans="1:38" x14ac:dyDescent="0.25">
      <c r="A9" s="19" t="s">
        <v>15</v>
      </c>
      <c r="B9" s="19"/>
      <c r="C9" s="20"/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19"/>
      <c r="Y9" s="20"/>
      <c r="Z9" s="19"/>
      <c r="AA9" s="20"/>
      <c r="AB9" s="19"/>
      <c r="AC9" s="20"/>
      <c r="AD9" s="19"/>
      <c r="AE9" s="20"/>
      <c r="AF9" s="19"/>
      <c r="AG9" s="20"/>
      <c r="AH9" s="19"/>
      <c r="AI9" s="20"/>
      <c r="AJ9" s="19"/>
      <c r="AK9" s="20"/>
      <c r="AL9" s="19"/>
    </row>
    <row r="10" spans="1:38" outlineLevel="1" x14ac:dyDescent="0.25">
      <c r="A10" s="5" t="s">
        <v>14</v>
      </c>
      <c r="B10" s="8" t="s">
        <v>16</v>
      </c>
      <c r="C10" s="14">
        <v>2.4500652791326301E-2</v>
      </c>
      <c r="D10" s="8">
        <v>1065</v>
      </c>
      <c r="E10" s="14">
        <v>3.82482122576158E-2</v>
      </c>
      <c r="F10" s="8">
        <v>1065</v>
      </c>
      <c r="G10" s="14">
        <v>4.3804044804390298E-3</v>
      </c>
      <c r="H10" s="8">
        <v>1065</v>
      </c>
      <c r="I10" s="14">
        <v>2.1645020231416699E-2</v>
      </c>
      <c r="J10" s="8">
        <v>1065</v>
      </c>
      <c r="K10" s="14">
        <v>9.0317268031101405E-2</v>
      </c>
      <c r="L10" s="8">
        <v>1065</v>
      </c>
      <c r="M10" s="14">
        <v>0.99952218548034</v>
      </c>
      <c r="N10" s="8">
        <v>1065</v>
      </c>
      <c r="O10" s="14">
        <v>4.28882456354297E-2</v>
      </c>
      <c r="P10" s="8">
        <v>509</v>
      </c>
      <c r="Q10" s="14">
        <v>5.7136347094470998E-2</v>
      </c>
      <c r="R10" s="8">
        <v>509</v>
      </c>
      <c r="S10" s="14">
        <v>3.8523981649192002E-3</v>
      </c>
      <c r="T10" s="8">
        <v>509</v>
      </c>
      <c r="U10" s="14">
        <v>3.9035847470510497E-2</v>
      </c>
      <c r="V10" s="8">
        <v>509</v>
      </c>
      <c r="W10" s="14">
        <v>7.36946505119013E-2</v>
      </c>
      <c r="X10" s="8">
        <v>509</v>
      </c>
      <c r="Y10" s="14">
        <v>1</v>
      </c>
      <c r="Z10" s="8">
        <v>509</v>
      </c>
      <c r="AA10" s="14">
        <v>7.9389520634123092E-3</v>
      </c>
      <c r="AB10" s="8">
        <v>556</v>
      </c>
      <c r="AC10" s="14">
        <v>2.1235673469712502E-2</v>
      </c>
      <c r="AD10" s="8">
        <v>556</v>
      </c>
      <c r="AE10" s="14">
        <v>4.8559796497517601E-3</v>
      </c>
      <c r="AF10" s="8">
        <v>556</v>
      </c>
      <c r="AG10" s="14">
        <v>5.9811060591443803E-3</v>
      </c>
      <c r="AH10" s="8">
        <v>556</v>
      </c>
      <c r="AI10" s="14">
        <v>0.105289255881912</v>
      </c>
      <c r="AJ10" s="8">
        <v>556</v>
      </c>
      <c r="AK10" s="14">
        <v>0.99909181805023894</v>
      </c>
      <c r="AL10" s="10">
        <v>556</v>
      </c>
    </row>
    <row r="11" spans="1:38" outlineLevel="1" x14ac:dyDescent="0.25">
      <c r="A11" s="6" t="s">
        <v>14</v>
      </c>
      <c r="B11" t="s">
        <v>17</v>
      </c>
      <c r="C11" s="16">
        <v>2.8975541881399499E-2</v>
      </c>
      <c r="D11">
        <v>6423</v>
      </c>
      <c r="E11" s="16">
        <v>4.16297195739685E-2</v>
      </c>
      <c r="F11">
        <v>6423</v>
      </c>
      <c r="G11" s="16">
        <v>1.0044192966196399E-2</v>
      </c>
      <c r="H11">
        <v>6423</v>
      </c>
      <c r="I11" s="16">
        <v>2.40442861044514E-2</v>
      </c>
      <c r="J11">
        <v>6423</v>
      </c>
      <c r="K11" s="16">
        <v>8.7912726468648006E-2</v>
      </c>
      <c r="L11">
        <v>6423</v>
      </c>
      <c r="M11" s="16">
        <v>0.99875542895701996</v>
      </c>
      <c r="N11">
        <v>6423</v>
      </c>
      <c r="O11" s="16">
        <v>3.39056386996993E-2</v>
      </c>
      <c r="P11">
        <v>3144</v>
      </c>
      <c r="Q11" s="16">
        <v>4.2721401802442598E-2</v>
      </c>
      <c r="R11">
        <v>3144</v>
      </c>
      <c r="S11" s="16">
        <v>1.2583933296667399E-2</v>
      </c>
      <c r="T11">
        <v>3144</v>
      </c>
      <c r="U11" s="16">
        <v>2.8695187608089701E-2</v>
      </c>
      <c r="V11">
        <v>3144</v>
      </c>
      <c r="W11" s="16">
        <v>8.3174346305916497E-2</v>
      </c>
      <c r="X11">
        <v>3144</v>
      </c>
      <c r="Y11" s="16">
        <v>0.99806751593146603</v>
      </c>
      <c r="Z11">
        <v>3144</v>
      </c>
      <c r="AA11" s="16">
        <v>2.46818730183237E-2</v>
      </c>
      <c r="AB11">
        <v>3279</v>
      </c>
      <c r="AC11" s="16">
        <v>4.0678962993413302E-2</v>
      </c>
      <c r="AD11">
        <v>3279</v>
      </c>
      <c r="AE11" s="16">
        <v>7.83230862007879E-3</v>
      </c>
      <c r="AF11">
        <v>3279</v>
      </c>
      <c r="AG11" s="16">
        <v>1.9993771133369899E-2</v>
      </c>
      <c r="AH11">
        <v>3279</v>
      </c>
      <c r="AI11" s="16">
        <v>9.2039427447545494E-2</v>
      </c>
      <c r="AJ11">
        <v>3279</v>
      </c>
      <c r="AK11" s="16">
        <v>0.99935453904495197</v>
      </c>
      <c r="AL11" s="11">
        <v>3279</v>
      </c>
    </row>
    <row r="12" spans="1:38" outlineLevel="1" x14ac:dyDescent="0.25">
      <c r="A12" s="6" t="s">
        <v>14</v>
      </c>
      <c r="B12" t="s">
        <v>18</v>
      </c>
      <c r="C12" s="16">
        <v>3.3869515185868997E-2</v>
      </c>
      <c r="D12">
        <v>2865</v>
      </c>
      <c r="E12" s="16">
        <v>4.3317947325696403E-2</v>
      </c>
      <c r="F12">
        <v>2865</v>
      </c>
      <c r="G12" s="16">
        <v>7.39280992302291E-3</v>
      </c>
      <c r="H12">
        <v>2865</v>
      </c>
      <c r="I12" s="16">
        <v>2.8660920042286101E-2</v>
      </c>
      <c r="J12">
        <v>2865</v>
      </c>
      <c r="K12" s="16">
        <v>8.1327277956216706E-2</v>
      </c>
      <c r="L12">
        <v>2865</v>
      </c>
      <c r="M12" s="16">
        <v>0.99867366004723901</v>
      </c>
      <c r="N12">
        <v>2865</v>
      </c>
      <c r="O12" s="16">
        <v>3.1216269777287101E-2</v>
      </c>
      <c r="P12">
        <v>1385</v>
      </c>
      <c r="Q12" s="16">
        <v>3.7525151127691399E-2</v>
      </c>
      <c r="R12">
        <v>1385</v>
      </c>
      <c r="S12" s="16">
        <v>8.0441465752299594E-3</v>
      </c>
      <c r="T12">
        <v>1385</v>
      </c>
      <c r="U12" s="16">
        <v>2.45451856467108E-2</v>
      </c>
      <c r="V12">
        <v>1385</v>
      </c>
      <c r="W12" s="16">
        <v>5.6825490254817902E-2</v>
      </c>
      <c r="X12">
        <v>1385</v>
      </c>
      <c r="Y12" s="16">
        <v>0.99770183443166804</v>
      </c>
      <c r="Z12">
        <v>1385</v>
      </c>
      <c r="AA12" s="16">
        <v>3.6622980008187603E-2</v>
      </c>
      <c r="AB12">
        <v>1480</v>
      </c>
      <c r="AC12" s="16">
        <v>4.9329551266468701E-2</v>
      </c>
      <c r="AD12">
        <v>1480</v>
      </c>
      <c r="AE12" s="16">
        <v>6.7168707303881204E-3</v>
      </c>
      <c r="AF12">
        <v>1480</v>
      </c>
      <c r="AG12" s="16">
        <v>3.2932115552346299E-2</v>
      </c>
      <c r="AH12">
        <v>1480</v>
      </c>
      <c r="AI12" s="16">
        <v>0.106754556677402</v>
      </c>
      <c r="AJ12">
        <v>1480</v>
      </c>
      <c r="AK12" s="16">
        <v>0.99968219383655499</v>
      </c>
      <c r="AL12" s="11">
        <v>1480</v>
      </c>
    </row>
    <row r="13" spans="1:38" outlineLevel="1" x14ac:dyDescent="0.25">
      <c r="A13" s="7" t="s">
        <v>14</v>
      </c>
      <c r="B13" s="9" t="s">
        <v>19</v>
      </c>
      <c r="C13" s="15">
        <v>2.6113244670449599E-2</v>
      </c>
      <c r="D13" s="9">
        <v>2209</v>
      </c>
      <c r="E13" s="15">
        <v>3.2540178607760199E-2</v>
      </c>
      <c r="F13" s="9">
        <v>2209</v>
      </c>
      <c r="G13" s="15">
        <v>6.6431245626119703E-3</v>
      </c>
      <c r="H13" s="9">
        <v>2209</v>
      </c>
      <c r="I13" s="15">
        <v>2.2667548064912502E-2</v>
      </c>
      <c r="J13" s="9">
        <v>2209</v>
      </c>
      <c r="K13" s="15">
        <v>7.8472091257490995E-2</v>
      </c>
      <c r="L13" s="9">
        <v>2209</v>
      </c>
      <c r="M13" s="15">
        <v>0.99958790078700099</v>
      </c>
      <c r="N13" s="9">
        <v>2209</v>
      </c>
      <c r="O13" s="15">
        <v>2.46006702923285E-2</v>
      </c>
      <c r="P13" s="9">
        <v>1098</v>
      </c>
      <c r="Q13" s="15">
        <v>2.9906475470719899E-2</v>
      </c>
      <c r="R13" s="9">
        <v>1098</v>
      </c>
      <c r="S13" s="15">
        <v>5.5418860018541403E-3</v>
      </c>
      <c r="T13" s="9">
        <v>1098</v>
      </c>
      <c r="U13" s="15">
        <v>2.4148185722214301E-2</v>
      </c>
      <c r="V13" s="9">
        <v>1098</v>
      </c>
      <c r="W13" s="15">
        <v>7.9477269315320703E-2</v>
      </c>
      <c r="X13" s="9">
        <v>1098</v>
      </c>
      <c r="Y13" s="15">
        <v>1</v>
      </c>
      <c r="Z13" s="9">
        <v>1098</v>
      </c>
      <c r="AA13" s="15">
        <v>2.7546519603759301E-2</v>
      </c>
      <c r="AB13" s="9">
        <v>1111</v>
      </c>
      <c r="AC13" s="15">
        <v>3.5035805099058903E-2</v>
      </c>
      <c r="AD13" s="9">
        <v>1111</v>
      </c>
      <c r="AE13" s="15">
        <v>7.6866287020175301E-3</v>
      </c>
      <c r="AF13" s="9">
        <v>1111</v>
      </c>
      <c r="AG13" s="15">
        <v>2.1264535512127401E-2</v>
      </c>
      <c r="AH13" s="9">
        <v>1111</v>
      </c>
      <c r="AI13" s="15">
        <v>7.7519611475577899E-2</v>
      </c>
      <c r="AJ13" s="9">
        <v>1111</v>
      </c>
      <c r="AK13" s="15">
        <v>0.99919740661985701</v>
      </c>
      <c r="AL13" s="12">
        <v>1111</v>
      </c>
    </row>
    <row r="14" spans="1:38" x14ac:dyDescent="0.25">
      <c r="C14" s="16"/>
      <c r="E14" s="16"/>
      <c r="G14" s="16"/>
      <c r="I14" s="16"/>
      <c r="K14" s="16"/>
      <c r="M14" s="16"/>
      <c r="O14" s="16"/>
      <c r="Q14" s="16"/>
      <c r="S14" s="16"/>
      <c r="U14" s="16"/>
      <c r="W14" s="16"/>
      <c r="Y14" s="16"/>
      <c r="AA14" s="16"/>
      <c r="AC14" s="16"/>
      <c r="AE14" s="16"/>
      <c r="AG14" s="16"/>
      <c r="AI14" s="16"/>
      <c r="AK14" s="16"/>
    </row>
    <row r="15" spans="1:38" x14ac:dyDescent="0.25">
      <c r="A15" s="19" t="s">
        <v>100</v>
      </c>
      <c r="B15" s="19"/>
      <c r="C15" s="20"/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19"/>
      <c r="Y15" s="20"/>
      <c r="Z15" s="19"/>
      <c r="AA15" s="20"/>
      <c r="AB15" s="19"/>
      <c r="AC15" s="20"/>
      <c r="AD15" s="19"/>
      <c r="AE15" s="20"/>
      <c r="AF15" s="19"/>
      <c r="AG15" s="20"/>
      <c r="AH15" s="19"/>
      <c r="AI15" s="20"/>
      <c r="AJ15" s="19"/>
      <c r="AK15" s="20"/>
      <c r="AL15" s="19"/>
    </row>
    <row r="16" spans="1:38" outlineLevel="1" x14ac:dyDescent="0.25">
      <c r="A16" s="5" t="s">
        <v>14</v>
      </c>
      <c r="B16" s="8" t="s">
        <v>66</v>
      </c>
      <c r="C16" s="14">
        <v>4.7305630928015499E-2</v>
      </c>
      <c r="D16" s="8">
        <v>4619</v>
      </c>
      <c r="E16" s="14">
        <v>5.6388228101471399E-2</v>
      </c>
      <c r="F16" s="8">
        <v>4619</v>
      </c>
      <c r="G16" s="14">
        <v>1.9050994900817499E-2</v>
      </c>
      <c r="H16" s="8">
        <v>4619</v>
      </c>
      <c r="I16" s="14">
        <v>3.47267568260477E-2</v>
      </c>
      <c r="J16" s="8">
        <v>4619</v>
      </c>
      <c r="K16" s="14">
        <v>8.88738511113525E-2</v>
      </c>
      <c r="L16" s="8">
        <v>4619</v>
      </c>
      <c r="M16" s="14">
        <v>0.99743222440314006</v>
      </c>
      <c r="N16" s="8">
        <v>4619</v>
      </c>
      <c r="O16" s="14">
        <v>4.5813995623016898E-2</v>
      </c>
      <c r="P16" s="8">
        <v>2275</v>
      </c>
      <c r="Q16" s="14">
        <v>5.5966638711919099E-2</v>
      </c>
      <c r="R16" s="8">
        <v>2275</v>
      </c>
      <c r="S16" s="14">
        <v>1.9168061620798201E-2</v>
      </c>
      <c r="T16" s="8">
        <v>2275</v>
      </c>
      <c r="U16" s="14">
        <v>3.2471909776642799E-2</v>
      </c>
      <c r="V16" s="8">
        <v>2275</v>
      </c>
      <c r="W16" s="14">
        <v>7.3083482212409803E-2</v>
      </c>
      <c r="X16" s="8">
        <v>2275</v>
      </c>
      <c r="Y16" s="14">
        <v>0.99651666748902001</v>
      </c>
      <c r="Z16" s="8">
        <v>2275</v>
      </c>
      <c r="AA16" s="14">
        <v>4.8702977473022699E-2</v>
      </c>
      <c r="AB16" s="8">
        <v>2344</v>
      </c>
      <c r="AC16" s="14">
        <v>5.6783168121279599E-2</v>
      </c>
      <c r="AD16" s="8">
        <v>2344</v>
      </c>
      <c r="AE16" s="14">
        <v>1.8941328163812599E-2</v>
      </c>
      <c r="AF16" s="8">
        <v>2344</v>
      </c>
      <c r="AG16" s="14">
        <v>3.6839071225852699E-2</v>
      </c>
      <c r="AH16" s="8">
        <v>2344</v>
      </c>
      <c r="AI16" s="14">
        <v>0.10366608440818301</v>
      </c>
      <c r="AJ16" s="8">
        <v>2344</v>
      </c>
      <c r="AK16" s="14">
        <v>0.99828990743492196</v>
      </c>
      <c r="AL16" s="10">
        <v>2344</v>
      </c>
    </row>
    <row r="17" spans="1:38" outlineLevel="1" x14ac:dyDescent="0.25">
      <c r="A17" s="7" t="s">
        <v>14</v>
      </c>
      <c r="B17" s="9" t="s">
        <v>67</v>
      </c>
      <c r="C17" s="15">
        <v>2.0181603465923299E-2</v>
      </c>
      <c r="D17" s="9">
        <v>7943</v>
      </c>
      <c r="E17" s="15">
        <v>3.2034358871339097E-2</v>
      </c>
      <c r="F17" s="9">
        <v>7943</v>
      </c>
      <c r="G17" s="15">
        <v>3.0347967494117299E-3</v>
      </c>
      <c r="H17" s="9">
        <v>7943</v>
      </c>
      <c r="I17" s="15">
        <v>1.9636206940468699E-2</v>
      </c>
      <c r="J17" s="9">
        <v>7943</v>
      </c>
      <c r="K17" s="15">
        <v>8.2965839438880501E-2</v>
      </c>
      <c r="L17" s="9">
        <v>7943</v>
      </c>
      <c r="M17" s="15">
        <v>0.99969868408720897</v>
      </c>
      <c r="N17" s="9">
        <v>7943</v>
      </c>
      <c r="O17" s="15">
        <v>2.5419326525504798E-2</v>
      </c>
      <c r="P17" s="9">
        <v>3861</v>
      </c>
      <c r="Q17" s="15">
        <v>3.2324107805796601E-2</v>
      </c>
      <c r="R17" s="9">
        <v>3861</v>
      </c>
      <c r="S17" s="15">
        <v>4.6710216397743498E-3</v>
      </c>
      <c r="T17" s="9">
        <v>3861</v>
      </c>
      <c r="U17" s="15">
        <v>2.5221921533542802E-2</v>
      </c>
      <c r="V17" s="9">
        <v>3861</v>
      </c>
      <c r="W17" s="15">
        <v>7.6435582489787504E-2</v>
      </c>
      <c r="X17" s="9">
        <v>3861</v>
      </c>
      <c r="Y17" s="15">
        <v>0.99945420121971096</v>
      </c>
      <c r="Z17" s="9">
        <v>3861</v>
      </c>
      <c r="AA17" s="15">
        <v>1.53843062477506E-2</v>
      </c>
      <c r="AB17" s="9">
        <v>4082</v>
      </c>
      <c r="AC17" s="15">
        <v>3.17689741342254E-2</v>
      </c>
      <c r="AD17" s="9">
        <v>4082</v>
      </c>
      <c r="AE17" s="15">
        <v>1.5361575457825301E-3</v>
      </c>
      <c r="AF17" s="9">
        <v>4082</v>
      </c>
      <c r="AG17" s="15">
        <v>1.45201798473901E-2</v>
      </c>
      <c r="AH17" s="9">
        <v>4082</v>
      </c>
      <c r="AI17" s="15">
        <v>8.8946984898361794E-2</v>
      </c>
      <c r="AJ17" s="9">
        <v>4082</v>
      </c>
      <c r="AK17" s="15">
        <v>0.99992260905743002</v>
      </c>
      <c r="AL17" s="12">
        <v>4082</v>
      </c>
    </row>
    <row r="18" spans="1:38" x14ac:dyDescent="0.25">
      <c r="C18" s="16"/>
      <c r="E18" s="16"/>
      <c r="G18" s="16"/>
      <c r="I18" s="16"/>
      <c r="K18" s="16"/>
      <c r="M18" s="16"/>
      <c r="O18" s="16"/>
      <c r="Q18" s="16"/>
      <c r="S18" s="16"/>
      <c r="U18" s="16"/>
      <c r="W18" s="16"/>
      <c r="Y18" s="16"/>
      <c r="AA18" s="16"/>
      <c r="AC18" s="16"/>
      <c r="AE18" s="16"/>
      <c r="AG18" s="16"/>
      <c r="AI18" s="16"/>
      <c r="AK18" s="16"/>
    </row>
    <row r="19" spans="1:38" x14ac:dyDescent="0.25">
      <c r="A19" s="19" t="s">
        <v>20</v>
      </c>
      <c r="B19" s="19"/>
      <c r="C19" s="20"/>
      <c r="D19" s="19"/>
      <c r="E19" s="20"/>
      <c r="F19" s="19"/>
      <c r="G19" s="20"/>
      <c r="H19" s="19"/>
      <c r="I19" s="20"/>
      <c r="J19" s="19"/>
      <c r="K19" s="20"/>
      <c r="L19" s="19"/>
      <c r="M19" s="20"/>
      <c r="N19" s="19"/>
      <c r="O19" s="20"/>
      <c r="P19" s="19"/>
      <c r="Q19" s="20"/>
      <c r="R19" s="19"/>
      <c r="S19" s="20"/>
      <c r="T19" s="19"/>
      <c r="U19" s="20"/>
      <c r="V19" s="19"/>
      <c r="W19" s="20"/>
      <c r="X19" s="19"/>
      <c r="Y19" s="20"/>
      <c r="Z19" s="19"/>
      <c r="AA19" s="20"/>
      <c r="AB19" s="19"/>
      <c r="AC19" s="20"/>
      <c r="AD19" s="19"/>
      <c r="AE19" s="20"/>
      <c r="AF19" s="19"/>
      <c r="AG19" s="20"/>
      <c r="AH19" s="19"/>
      <c r="AI19" s="20"/>
      <c r="AJ19" s="19"/>
      <c r="AK19" s="20"/>
      <c r="AL19" s="19"/>
    </row>
    <row r="20" spans="1:38" outlineLevel="1" x14ac:dyDescent="0.25">
      <c r="A20" s="5" t="s">
        <v>14</v>
      </c>
      <c r="B20" s="8" t="s">
        <v>21</v>
      </c>
      <c r="C20" s="14">
        <v>2.0236584679338102E-2</v>
      </c>
      <c r="D20" s="8">
        <v>3358</v>
      </c>
      <c r="E20" s="14">
        <v>3.11908543115453E-2</v>
      </c>
      <c r="F20" s="8">
        <v>3358</v>
      </c>
      <c r="G20" s="14">
        <v>4.5593660125113804E-3</v>
      </c>
      <c r="H20" s="8">
        <v>3358</v>
      </c>
      <c r="I20" s="14">
        <v>1.7641757685888701E-2</v>
      </c>
      <c r="J20" s="8">
        <v>3358</v>
      </c>
      <c r="K20" s="14">
        <v>7.2558856749349906E-2</v>
      </c>
      <c r="L20" s="8">
        <v>3358</v>
      </c>
      <c r="M20" s="14">
        <v>0.99901562620020201</v>
      </c>
      <c r="N20" s="8">
        <v>3358</v>
      </c>
      <c r="O20" s="14">
        <v>2.3397290531860401E-2</v>
      </c>
      <c r="P20" s="8">
        <v>1626</v>
      </c>
      <c r="Q20" s="14">
        <v>3.2271982034054902E-2</v>
      </c>
      <c r="R20" s="8">
        <v>1626</v>
      </c>
      <c r="S20" s="14">
        <v>3.5636960703228902E-3</v>
      </c>
      <c r="T20" s="8">
        <v>1626</v>
      </c>
      <c r="U20" s="14">
        <v>2.01604087339456E-2</v>
      </c>
      <c r="V20" s="8">
        <v>1626</v>
      </c>
      <c r="W20" s="14">
        <v>6.7313595086856498E-2</v>
      </c>
      <c r="X20" s="8">
        <v>1626</v>
      </c>
      <c r="Y20" s="14">
        <v>0.99867485974497106</v>
      </c>
      <c r="Z20" s="8">
        <v>1626</v>
      </c>
      <c r="AA20" s="14">
        <v>1.72708804035401E-2</v>
      </c>
      <c r="AB20" s="8">
        <v>1732</v>
      </c>
      <c r="AC20" s="14">
        <v>3.0176427389542401E-2</v>
      </c>
      <c r="AD20" s="8">
        <v>1732</v>
      </c>
      <c r="AE20" s="14">
        <v>5.4936075214058596E-3</v>
      </c>
      <c r="AF20" s="8">
        <v>1732</v>
      </c>
      <c r="AG20" s="14">
        <v>1.52784962718268E-2</v>
      </c>
      <c r="AH20" s="8">
        <v>1732</v>
      </c>
      <c r="AI20" s="14">
        <v>7.7480508958056096E-2</v>
      </c>
      <c r="AJ20" s="8">
        <v>1732</v>
      </c>
      <c r="AK20" s="14">
        <v>0.99933536887176999</v>
      </c>
      <c r="AL20" s="10">
        <v>1732</v>
      </c>
    </row>
    <row r="21" spans="1:38" outlineLevel="1" x14ac:dyDescent="0.25">
      <c r="A21" s="6" t="s">
        <v>14</v>
      </c>
      <c r="B21" t="s">
        <v>22</v>
      </c>
      <c r="C21" s="16">
        <v>3.66565092268464E-2</v>
      </c>
      <c r="D21">
        <v>2838</v>
      </c>
      <c r="E21" s="16">
        <v>4.8912816473993599E-2</v>
      </c>
      <c r="F21">
        <v>2838</v>
      </c>
      <c r="G21" s="16">
        <v>1.2843183062347399E-2</v>
      </c>
      <c r="H21">
        <v>2838</v>
      </c>
      <c r="I21" s="16">
        <v>2.9367701027601001E-2</v>
      </c>
      <c r="J21">
        <v>2838</v>
      </c>
      <c r="K21" s="16">
        <v>9.6816749336238406E-2</v>
      </c>
      <c r="L21">
        <v>2838</v>
      </c>
      <c r="M21" s="16">
        <v>0.99948374786169902</v>
      </c>
      <c r="N21">
        <v>2838</v>
      </c>
      <c r="O21" s="16">
        <v>4.3613120624492498E-2</v>
      </c>
      <c r="P21">
        <v>1350</v>
      </c>
      <c r="Q21" s="16">
        <v>5.1955000315381701E-2</v>
      </c>
      <c r="R21">
        <v>1350</v>
      </c>
      <c r="S21" s="16">
        <v>1.83179885867404E-2</v>
      </c>
      <c r="T21">
        <v>1350</v>
      </c>
      <c r="U21" s="16">
        <v>3.4911565787059E-2</v>
      </c>
      <c r="V21">
        <v>1350</v>
      </c>
      <c r="W21" s="16">
        <v>8.0461029805543594E-2</v>
      </c>
      <c r="X21">
        <v>1350</v>
      </c>
      <c r="Y21" s="16">
        <v>0.99890175481847598</v>
      </c>
      <c r="Z21">
        <v>1350</v>
      </c>
      <c r="AA21" s="16">
        <v>3.0485704350074999E-2</v>
      </c>
      <c r="AB21">
        <v>1488</v>
      </c>
      <c r="AC21" s="16">
        <v>4.6214272339298201E-2</v>
      </c>
      <c r="AD21">
        <v>1488</v>
      </c>
      <c r="AE21" s="16">
        <v>7.9868018879252003E-3</v>
      </c>
      <c r="AF21">
        <v>1488</v>
      </c>
      <c r="AG21" s="16">
        <v>2.4450061427177101E-2</v>
      </c>
      <c r="AH21">
        <v>1488</v>
      </c>
      <c r="AI21" s="16">
        <v>0.11132495571345</v>
      </c>
      <c r="AJ21">
        <v>1488</v>
      </c>
      <c r="AK21" s="16">
        <v>1</v>
      </c>
      <c r="AL21" s="11">
        <v>1488</v>
      </c>
    </row>
    <row r="22" spans="1:38" outlineLevel="1" x14ac:dyDescent="0.25">
      <c r="A22" s="6" t="s">
        <v>14</v>
      </c>
      <c r="B22" t="s">
        <v>23</v>
      </c>
      <c r="C22" s="16">
        <v>3.4572982570765097E-2</v>
      </c>
      <c r="D22">
        <v>2764</v>
      </c>
      <c r="E22" s="16">
        <v>4.3790224909413603E-2</v>
      </c>
      <c r="F22">
        <v>2764</v>
      </c>
      <c r="G22" s="16">
        <v>6.1192189149026997E-3</v>
      </c>
      <c r="H22">
        <v>2764</v>
      </c>
      <c r="I22" s="16">
        <v>3.2440614932169203E-2</v>
      </c>
      <c r="J22">
        <v>2764</v>
      </c>
      <c r="K22" s="16">
        <v>7.7769531754744103E-2</v>
      </c>
      <c r="L22">
        <v>2764</v>
      </c>
      <c r="M22" s="16">
        <v>0.99748234619212495</v>
      </c>
      <c r="N22">
        <v>2764</v>
      </c>
      <c r="O22" s="16">
        <v>3.4490594080894499E-2</v>
      </c>
      <c r="P22">
        <v>1390</v>
      </c>
      <c r="Q22" s="16">
        <v>4.2374347133083301E-2</v>
      </c>
      <c r="R22">
        <v>1390</v>
      </c>
      <c r="S22" s="16">
        <v>4.6040888964071196E-3</v>
      </c>
      <c r="T22">
        <v>1390</v>
      </c>
      <c r="U22" s="16">
        <v>3.4111466528026699E-2</v>
      </c>
      <c r="V22">
        <v>1390</v>
      </c>
      <c r="W22" s="16">
        <v>7.6276640825188299E-2</v>
      </c>
      <c r="X22">
        <v>1390</v>
      </c>
      <c r="Y22" s="16">
        <v>0.99614165744918004</v>
      </c>
      <c r="Z22">
        <v>1390</v>
      </c>
      <c r="AA22" s="16">
        <v>3.4651017974452698E-2</v>
      </c>
      <c r="AB22">
        <v>1374</v>
      </c>
      <c r="AC22" s="16">
        <v>4.51312932312362E-2</v>
      </c>
      <c r="AD22">
        <v>1374</v>
      </c>
      <c r="AE22" s="16">
        <v>7.5542953778677899E-3</v>
      </c>
      <c r="AF22">
        <v>1374</v>
      </c>
      <c r="AG22" s="16">
        <v>3.0858044612096101E-2</v>
      </c>
      <c r="AH22">
        <v>1374</v>
      </c>
      <c r="AI22" s="16">
        <v>7.9183544155413704E-2</v>
      </c>
      <c r="AJ22">
        <v>1374</v>
      </c>
      <c r="AK22" s="16">
        <v>0.99875219817556904</v>
      </c>
      <c r="AL22" s="11">
        <v>1374</v>
      </c>
    </row>
    <row r="23" spans="1:38" outlineLevel="1" x14ac:dyDescent="0.25">
      <c r="A23" s="6" t="s">
        <v>14</v>
      </c>
      <c r="B23" t="s">
        <v>24</v>
      </c>
      <c r="C23" s="16">
        <v>3.3647326820368403E-2</v>
      </c>
      <c r="D23">
        <v>1623</v>
      </c>
      <c r="E23" s="16">
        <v>4.7585714916327598E-2</v>
      </c>
      <c r="F23">
        <v>1623</v>
      </c>
      <c r="G23" s="16">
        <v>5.0819773925313803E-3</v>
      </c>
      <c r="H23">
        <v>1623</v>
      </c>
      <c r="I23" s="16">
        <v>3.1961331923341399E-2</v>
      </c>
      <c r="J23">
        <v>1623</v>
      </c>
      <c r="K23" s="16">
        <v>0.13544881127160199</v>
      </c>
      <c r="L23">
        <v>1623</v>
      </c>
      <c r="M23" s="16">
        <v>0.99831027285707796</v>
      </c>
      <c r="N23">
        <v>1623</v>
      </c>
      <c r="O23" s="16">
        <v>3.1290592294991898E-2</v>
      </c>
      <c r="P23">
        <v>830</v>
      </c>
      <c r="Q23" s="16">
        <v>4.1514425740439197E-2</v>
      </c>
      <c r="R23">
        <v>830</v>
      </c>
      <c r="S23" s="16">
        <v>4.2157231895076901E-3</v>
      </c>
      <c r="T23">
        <v>830</v>
      </c>
      <c r="U23" s="16">
        <v>2.95651030676406E-2</v>
      </c>
      <c r="V23">
        <v>830</v>
      </c>
      <c r="W23" s="16">
        <v>0.115538466718573</v>
      </c>
      <c r="X23">
        <v>830</v>
      </c>
      <c r="Y23" s="16">
        <v>1</v>
      </c>
      <c r="Z23">
        <v>830</v>
      </c>
      <c r="AA23" s="16">
        <v>3.6060469776286602E-2</v>
      </c>
      <c r="AB23">
        <v>793</v>
      </c>
      <c r="AC23" s="16">
        <v>5.3802320372046797E-2</v>
      </c>
      <c r="AD23">
        <v>793</v>
      </c>
      <c r="AE23" s="16">
        <v>5.9689653861100004E-3</v>
      </c>
      <c r="AF23">
        <v>793</v>
      </c>
      <c r="AG23" s="16">
        <v>3.4414914506207199E-2</v>
      </c>
      <c r="AH23">
        <v>793</v>
      </c>
      <c r="AI23" s="16">
        <v>0.15583570983429501</v>
      </c>
      <c r="AJ23">
        <v>793</v>
      </c>
      <c r="AK23" s="16">
        <v>0.99658010210239101</v>
      </c>
      <c r="AL23" s="11">
        <v>793</v>
      </c>
    </row>
    <row r="24" spans="1:38" outlineLevel="1" x14ac:dyDescent="0.25">
      <c r="A24" s="7" t="s">
        <v>14</v>
      </c>
      <c r="B24" s="9" t="s">
        <v>25</v>
      </c>
      <c r="C24" s="15">
        <v>1.3476455653683699E-2</v>
      </c>
      <c r="D24" s="9">
        <v>1979</v>
      </c>
      <c r="E24" s="15">
        <v>2.0472910080070999E-2</v>
      </c>
      <c r="F24" s="9">
        <v>1979</v>
      </c>
      <c r="G24" s="15">
        <v>7.1888317959914799E-3</v>
      </c>
      <c r="H24" s="9">
        <v>1979</v>
      </c>
      <c r="I24" s="15">
        <v>8.3402661724389492E-3</v>
      </c>
      <c r="J24" s="9">
        <v>1979</v>
      </c>
      <c r="K24" s="15">
        <v>5.3033967707952302E-2</v>
      </c>
      <c r="L24" s="9">
        <v>1979</v>
      </c>
      <c r="M24" s="15">
        <v>0.99945986628940398</v>
      </c>
      <c r="N24" s="9">
        <v>1979</v>
      </c>
      <c r="O24" s="15">
        <v>1.13542160322388E-2</v>
      </c>
      <c r="P24" s="9">
        <v>940</v>
      </c>
      <c r="Q24" s="15">
        <v>1.49205314987632E-2</v>
      </c>
      <c r="R24" s="9">
        <v>940</v>
      </c>
      <c r="S24" s="15">
        <v>4.5392791113187296E-3</v>
      </c>
      <c r="T24" s="9">
        <v>940</v>
      </c>
      <c r="U24" s="15">
        <v>8.9856824905126999E-3</v>
      </c>
      <c r="V24" s="9">
        <v>940</v>
      </c>
      <c r="W24" s="15">
        <v>4.95489096758596E-2</v>
      </c>
      <c r="X24" s="9">
        <v>940</v>
      </c>
      <c r="Y24" s="15">
        <v>0.999113349644559</v>
      </c>
      <c r="Z24" s="9">
        <v>940</v>
      </c>
      <c r="AA24" s="15">
        <v>1.5433280728226299E-2</v>
      </c>
      <c r="AB24" s="9">
        <v>1039</v>
      </c>
      <c r="AC24" s="15">
        <v>2.5592517461569101E-2</v>
      </c>
      <c r="AD24" s="9">
        <v>1039</v>
      </c>
      <c r="AE24" s="15">
        <v>9.6318693669136708E-3</v>
      </c>
      <c r="AF24" s="9">
        <v>1039</v>
      </c>
      <c r="AG24" s="15">
        <v>7.7451557890667504E-3</v>
      </c>
      <c r="AH24" s="9">
        <v>1039</v>
      </c>
      <c r="AI24" s="15">
        <v>5.6247388508565102E-2</v>
      </c>
      <c r="AJ24" s="9">
        <v>1039</v>
      </c>
      <c r="AK24" s="15">
        <v>0.99977937425284402</v>
      </c>
      <c r="AL24" s="12">
        <v>1039</v>
      </c>
    </row>
    <row r="25" spans="1:38" x14ac:dyDescent="0.25">
      <c r="C25" s="16"/>
      <c r="E25" s="16"/>
      <c r="G25" s="16"/>
      <c r="I25" s="16"/>
      <c r="K25" s="16"/>
      <c r="M25" s="16"/>
      <c r="O25" s="16"/>
      <c r="Q25" s="16"/>
      <c r="S25" s="16"/>
      <c r="U25" s="16"/>
      <c r="W25" s="16"/>
      <c r="Y25" s="16"/>
      <c r="AA25" s="16"/>
      <c r="AC25" s="16"/>
      <c r="AE25" s="16"/>
      <c r="AG25" s="16"/>
      <c r="AI25" s="16"/>
      <c r="AK25" s="16"/>
    </row>
    <row r="26" spans="1:38" x14ac:dyDescent="0.25">
      <c r="A26" s="19" t="s">
        <v>26</v>
      </c>
      <c r="B26" s="19"/>
      <c r="C26" s="20"/>
      <c r="D26" s="19"/>
      <c r="E26" s="20"/>
      <c r="F26" s="19"/>
      <c r="G26" s="20"/>
      <c r="H26" s="19"/>
      <c r="I26" s="20"/>
      <c r="J26" s="19"/>
      <c r="K26" s="20"/>
      <c r="L26" s="19"/>
      <c r="M26" s="20"/>
      <c r="N26" s="19"/>
      <c r="O26" s="20"/>
      <c r="P26" s="19"/>
      <c r="Q26" s="20"/>
      <c r="R26" s="19"/>
      <c r="S26" s="20"/>
      <c r="T26" s="19"/>
      <c r="U26" s="20"/>
      <c r="V26" s="19"/>
      <c r="W26" s="20"/>
      <c r="X26" s="19"/>
      <c r="Y26" s="20"/>
      <c r="Z26" s="19"/>
      <c r="AA26" s="20"/>
      <c r="AB26" s="19"/>
      <c r="AC26" s="20"/>
      <c r="AD26" s="19"/>
      <c r="AE26" s="20"/>
      <c r="AF26" s="19"/>
      <c r="AG26" s="20"/>
      <c r="AH26" s="19"/>
      <c r="AI26" s="20"/>
      <c r="AJ26" s="19"/>
      <c r="AK26" s="20"/>
      <c r="AL26" s="19"/>
    </row>
    <row r="27" spans="1:38" outlineLevel="1" x14ac:dyDescent="0.25">
      <c r="A27" s="5" t="s">
        <v>14</v>
      </c>
      <c r="B27" s="8" t="s">
        <v>27</v>
      </c>
      <c r="C27" s="14">
        <v>6.1516646513893797E-2</v>
      </c>
      <c r="D27" s="8">
        <v>337</v>
      </c>
      <c r="E27" s="14">
        <v>7.1482511757984604E-2</v>
      </c>
      <c r="F27" s="8">
        <v>337</v>
      </c>
      <c r="G27" s="14">
        <v>9.1473554222062103E-3</v>
      </c>
      <c r="H27" s="8">
        <v>337</v>
      </c>
      <c r="I27" s="14">
        <v>5.7009562204358502E-2</v>
      </c>
      <c r="J27" s="8">
        <v>337</v>
      </c>
      <c r="K27" s="14">
        <v>0.11668985919684401</v>
      </c>
      <c r="L27" s="8">
        <v>337</v>
      </c>
      <c r="M27" s="14">
        <v>0.99549291569046505</v>
      </c>
      <c r="N27" s="8">
        <v>337</v>
      </c>
      <c r="O27" s="14">
        <v>6.7833665465932502E-2</v>
      </c>
      <c r="P27" s="8">
        <v>178</v>
      </c>
      <c r="Q27" s="14">
        <v>6.9328813197747599E-2</v>
      </c>
      <c r="R27" s="8">
        <v>178</v>
      </c>
      <c r="S27" s="14">
        <v>8.4635073188409696E-3</v>
      </c>
      <c r="T27" s="8">
        <v>178</v>
      </c>
      <c r="U27" s="14">
        <v>5.9370158147091498E-2</v>
      </c>
      <c r="V27" s="8">
        <v>178</v>
      </c>
      <c r="W27" s="14">
        <v>7.4331633802854194E-2</v>
      </c>
      <c r="X27" s="8">
        <v>178</v>
      </c>
      <c r="Y27" s="14">
        <v>0.99153649268115895</v>
      </c>
      <c r="Z27" s="8">
        <v>178</v>
      </c>
      <c r="AA27" s="14">
        <v>5.4320414732103903E-2</v>
      </c>
      <c r="AB27" s="8">
        <v>159</v>
      </c>
      <c r="AC27" s="14">
        <v>7.3935965538200296E-2</v>
      </c>
      <c r="AD27" s="8">
        <v>159</v>
      </c>
      <c r="AE27" s="14">
        <v>9.9263826014369307E-3</v>
      </c>
      <c r="AF27" s="8">
        <v>159</v>
      </c>
      <c r="AG27" s="14">
        <v>5.4320414732103903E-2</v>
      </c>
      <c r="AH27" s="8">
        <v>159</v>
      </c>
      <c r="AI27" s="14">
        <v>0.164943570340463</v>
      </c>
      <c r="AJ27" s="8">
        <v>159</v>
      </c>
      <c r="AK27" s="14">
        <v>1</v>
      </c>
      <c r="AL27" s="10">
        <v>159</v>
      </c>
    </row>
    <row r="28" spans="1:38" outlineLevel="1" x14ac:dyDescent="0.25">
      <c r="A28" s="6" t="s">
        <v>14</v>
      </c>
      <c r="B28" t="s">
        <v>28</v>
      </c>
      <c r="C28" s="16">
        <v>3.4745816908023301E-2</v>
      </c>
      <c r="D28">
        <v>451</v>
      </c>
      <c r="E28" s="16">
        <v>5.2577700127741399E-2</v>
      </c>
      <c r="F28">
        <v>451</v>
      </c>
      <c r="G28" s="16">
        <v>6.0033537358224198E-3</v>
      </c>
      <c r="H28">
        <v>451</v>
      </c>
      <c r="I28" s="16">
        <v>2.9890432269935801E-2</v>
      </c>
      <c r="J28">
        <v>451</v>
      </c>
      <c r="K28" s="16">
        <v>0.105626930948977</v>
      </c>
      <c r="L28">
        <v>451</v>
      </c>
      <c r="M28" s="16">
        <v>1</v>
      </c>
      <c r="N28">
        <v>451</v>
      </c>
      <c r="O28" s="16">
        <v>4.5827489648879498E-2</v>
      </c>
      <c r="P28">
        <v>204</v>
      </c>
      <c r="Q28" s="16">
        <v>6.14464424406184E-2</v>
      </c>
      <c r="R28">
        <v>204</v>
      </c>
      <c r="S28" s="16">
        <v>1.1751254507959399E-2</v>
      </c>
      <c r="T28">
        <v>204</v>
      </c>
      <c r="U28" s="16">
        <v>3.5365467902179898E-2</v>
      </c>
      <c r="V28">
        <v>204</v>
      </c>
      <c r="W28" s="16">
        <v>0.132028446568971</v>
      </c>
      <c r="X28">
        <v>204</v>
      </c>
      <c r="Y28" s="16">
        <v>1</v>
      </c>
      <c r="Z28">
        <v>204</v>
      </c>
      <c r="AA28" s="16">
        <v>2.5149015376563801E-2</v>
      </c>
      <c r="AB28">
        <v>247</v>
      </c>
      <c r="AC28" s="16">
        <v>4.48973109120821E-2</v>
      </c>
      <c r="AD28">
        <v>247</v>
      </c>
      <c r="AE28" s="16">
        <v>1.0256338353464599E-3</v>
      </c>
      <c r="AF28">
        <v>247</v>
      </c>
      <c r="AG28" s="16">
        <v>2.5149015376563801E-2</v>
      </c>
      <c r="AH28">
        <v>247</v>
      </c>
      <c r="AI28" s="16">
        <v>8.2763044651317494E-2</v>
      </c>
      <c r="AJ28">
        <v>247</v>
      </c>
      <c r="AK28" s="16">
        <v>1</v>
      </c>
      <c r="AL28" s="11">
        <v>247</v>
      </c>
    </row>
    <row r="29" spans="1:38" outlineLevel="1" x14ac:dyDescent="0.25">
      <c r="A29" s="6" t="s">
        <v>14</v>
      </c>
      <c r="B29" t="s">
        <v>29</v>
      </c>
      <c r="C29" s="16">
        <v>6.7924279377291697E-3</v>
      </c>
      <c r="D29">
        <v>752</v>
      </c>
      <c r="E29" s="16">
        <v>3.2815885918940302E-2</v>
      </c>
      <c r="F29">
        <v>752</v>
      </c>
      <c r="G29" s="16">
        <v>2.50713595122618E-3</v>
      </c>
      <c r="H29">
        <v>752</v>
      </c>
      <c r="I29" s="16">
        <v>6.0259636339236797E-3</v>
      </c>
      <c r="J29">
        <v>752</v>
      </c>
      <c r="K29" s="16">
        <v>7.9309974426639104E-2</v>
      </c>
      <c r="L29">
        <v>752</v>
      </c>
      <c r="M29" s="16">
        <v>0.99864984364944998</v>
      </c>
      <c r="N29">
        <v>752</v>
      </c>
      <c r="O29" s="16">
        <v>8.2365452510917304E-3</v>
      </c>
      <c r="P29">
        <v>347</v>
      </c>
      <c r="Q29" s="16">
        <v>3.6474673903597002E-2</v>
      </c>
      <c r="R29">
        <v>347</v>
      </c>
      <c r="S29" s="16"/>
      <c r="U29" s="16">
        <v>8.2365452510917304E-3</v>
      </c>
      <c r="V29">
        <v>347</v>
      </c>
      <c r="W29" s="16">
        <v>8.8202630761613596E-2</v>
      </c>
      <c r="X29">
        <v>347</v>
      </c>
      <c r="Y29" s="16">
        <v>1</v>
      </c>
      <c r="Z29">
        <v>347</v>
      </c>
      <c r="AA29" s="16">
        <v>5.6233280761488601E-3</v>
      </c>
      <c r="AB29">
        <v>405</v>
      </c>
      <c r="AC29" s="16">
        <v>2.98538768862712E-2</v>
      </c>
      <c r="AD29">
        <v>405</v>
      </c>
      <c r="AE29" s="16">
        <v>4.5368133648406002E-3</v>
      </c>
      <c r="AF29">
        <v>405</v>
      </c>
      <c r="AG29" s="16">
        <v>4.23636479819925E-3</v>
      </c>
      <c r="AH29">
        <v>405</v>
      </c>
      <c r="AI29" s="16">
        <v>7.2110834028486503E-2</v>
      </c>
      <c r="AJ29">
        <v>405</v>
      </c>
      <c r="AK29" s="16">
        <v>0.99755681084115</v>
      </c>
      <c r="AL29" s="11">
        <v>405</v>
      </c>
    </row>
    <row r="30" spans="1:38" outlineLevel="1" x14ac:dyDescent="0.25">
      <c r="A30" s="6" t="s">
        <v>14</v>
      </c>
      <c r="B30" t="s">
        <v>30</v>
      </c>
      <c r="C30" s="16">
        <v>1.17415201266998E-2</v>
      </c>
      <c r="D30">
        <v>432</v>
      </c>
      <c r="E30" s="16">
        <v>1.34555204373787E-2</v>
      </c>
      <c r="F30">
        <v>432</v>
      </c>
      <c r="G30" s="16">
        <v>8.8506925195732896E-4</v>
      </c>
      <c r="H30">
        <v>432</v>
      </c>
      <c r="I30" s="16">
        <v>1.08564508747424E-2</v>
      </c>
      <c r="J30">
        <v>432</v>
      </c>
      <c r="K30" s="16">
        <v>5.6764175544011003E-2</v>
      </c>
      <c r="L30">
        <v>432</v>
      </c>
      <c r="M30" s="16">
        <v>1</v>
      </c>
      <c r="N30">
        <v>432</v>
      </c>
      <c r="O30" s="16">
        <v>1.9405246268306701E-2</v>
      </c>
      <c r="P30">
        <v>208</v>
      </c>
      <c r="Q30" s="16">
        <v>1.9405246268306701E-2</v>
      </c>
      <c r="R30">
        <v>208</v>
      </c>
      <c r="S30" s="16"/>
      <c r="U30" s="16">
        <v>1.9405246268306701E-2</v>
      </c>
      <c r="V30">
        <v>208</v>
      </c>
      <c r="W30" s="16">
        <v>6.2053749171919102E-2</v>
      </c>
      <c r="X30">
        <v>208</v>
      </c>
      <c r="Y30" s="16">
        <v>1</v>
      </c>
      <c r="Z30">
        <v>208</v>
      </c>
      <c r="AA30" s="16">
        <v>4.3009964628651001E-3</v>
      </c>
      <c r="AB30">
        <v>224</v>
      </c>
      <c r="AC30" s="16">
        <v>7.67907761826391E-3</v>
      </c>
      <c r="AD30">
        <v>224</v>
      </c>
      <c r="AE30" s="16">
        <v>1.74436127148403E-3</v>
      </c>
      <c r="AF30">
        <v>224</v>
      </c>
      <c r="AG30" s="16">
        <v>2.5566351913810701E-3</v>
      </c>
      <c r="AH30">
        <v>224</v>
      </c>
      <c r="AI30" s="16">
        <v>5.1628658300463801E-2</v>
      </c>
      <c r="AJ30">
        <v>224</v>
      </c>
      <c r="AK30" s="16">
        <v>1</v>
      </c>
      <c r="AL30" s="11">
        <v>224</v>
      </c>
    </row>
    <row r="31" spans="1:38" outlineLevel="1" x14ac:dyDescent="0.25">
      <c r="A31" s="6" t="s">
        <v>14</v>
      </c>
      <c r="B31" t="s">
        <v>31</v>
      </c>
      <c r="C31" s="16">
        <v>9.3981980085141303E-3</v>
      </c>
      <c r="D31">
        <v>517</v>
      </c>
      <c r="E31" s="16">
        <v>1.19909282125113E-2</v>
      </c>
      <c r="F31">
        <v>517</v>
      </c>
      <c r="G31" s="16">
        <v>5.2498296821186898E-3</v>
      </c>
      <c r="H31">
        <v>517</v>
      </c>
      <c r="I31" s="16">
        <v>5.1854604079943E-3</v>
      </c>
      <c r="J31">
        <v>517</v>
      </c>
      <c r="K31" s="16">
        <v>2.7547084255186899E-2</v>
      </c>
      <c r="L31">
        <v>517</v>
      </c>
      <c r="M31" s="16">
        <v>0.99948145395920096</v>
      </c>
      <c r="N31">
        <v>517</v>
      </c>
      <c r="O31" s="16">
        <v>6.9821878503294804E-3</v>
      </c>
      <c r="P31">
        <v>239</v>
      </c>
      <c r="Q31" s="16">
        <v>8.1458858253843896E-3</v>
      </c>
      <c r="R31">
        <v>239</v>
      </c>
      <c r="S31" s="16">
        <v>1.1636979750549101E-3</v>
      </c>
      <c r="T31">
        <v>239</v>
      </c>
      <c r="U31" s="16">
        <v>6.9821878503294804E-3</v>
      </c>
      <c r="V31">
        <v>239</v>
      </c>
      <c r="W31" s="16">
        <v>2.35929957795224E-2</v>
      </c>
      <c r="X31">
        <v>239</v>
      </c>
      <c r="Y31" s="16">
        <v>1</v>
      </c>
      <c r="Z31">
        <v>239</v>
      </c>
      <c r="AA31" s="16">
        <v>1.1340085547770501E-2</v>
      </c>
      <c r="AB31">
        <v>278</v>
      </c>
      <c r="AC31" s="16">
        <v>1.5081411865562E-2</v>
      </c>
      <c r="AD31">
        <v>278</v>
      </c>
      <c r="AE31" s="16">
        <v>8.5340908094268305E-3</v>
      </c>
      <c r="AF31">
        <v>278</v>
      </c>
      <c r="AG31" s="16">
        <v>3.7413263177915402E-3</v>
      </c>
      <c r="AH31">
        <v>278</v>
      </c>
      <c r="AI31" s="16">
        <v>3.07252145763687E-2</v>
      </c>
      <c r="AJ31">
        <v>278</v>
      </c>
      <c r="AK31" s="16">
        <v>0.99906466842055197</v>
      </c>
      <c r="AL31" s="11">
        <v>278</v>
      </c>
    </row>
    <row r="32" spans="1:38" outlineLevel="1" x14ac:dyDescent="0.25">
      <c r="A32" s="6" t="s">
        <v>14</v>
      </c>
      <c r="B32" t="s">
        <v>32</v>
      </c>
      <c r="C32" s="16">
        <v>6.2980536379301597E-3</v>
      </c>
      <c r="D32">
        <v>544</v>
      </c>
      <c r="E32" s="16">
        <v>1.7074595625185599E-2</v>
      </c>
      <c r="F32">
        <v>544</v>
      </c>
      <c r="G32" s="16"/>
      <c r="I32" s="16">
        <v>6.2980536379301597E-3</v>
      </c>
      <c r="J32">
        <v>544</v>
      </c>
      <c r="K32" s="16">
        <v>7.5732613406185395E-2</v>
      </c>
      <c r="L32">
        <v>544</v>
      </c>
      <c r="M32" s="16">
        <v>1</v>
      </c>
      <c r="N32">
        <v>544</v>
      </c>
      <c r="O32" s="16">
        <v>1.0975305583369099E-3</v>
      </c>
      <c r="P32">
        <v>276</v>
      </c>
      <c r="Q32" s="16">
        <v>1.16674317885407E-2</v>
      </c>
      <c r="R32">
        <v>276</v>
      </c>
      <c r="S32" s="16"/>
      <c r="U32" s="16">
        <v>1.0975305583369099E-3</v>
      </c>
      <c r="V32">
        <v>276</v>
      </c>
      <c r="W32" s="16">
        <v>5.8485271355084599E-2</v>
      </c>
      <c r="X32">
        <v>276</v>
      </c>
      <c r="Y32" s="16">
        <v>1</v>
      </c>
      <c r="Z32">
        <v>276</v>
      </c>
      <c r="AA32" s="16">
        <v>1.1705970911467601E-2</v>
      </c>
      <c r="AB32">
        <v>268</v>
      </c>
      <c r="AC32" s="16">
        <v>2.2697394383214799E-2</v>
      </c>
      <c r="AD32">
        <v>268</v>
      </c>
      <c r="AE32" s="16"/>
      <c r="AG32" s="16">
        <v>1.1705970911467601E-2</v>
      </c>
      <c r="AH32">
        <v>268</v>
      </c>
      <c r="AI32" s="16">
        <v>9.3667770615035395E-2</v>
      </c>
      <c r="AJ32">
        <v>268</v>
      </c>
      <c r="AK32" s="16">
        <v>1</v>
      </c>
      <c r="AL32" s="11">
        <v>268</v>
      </c>
    </row>
    <row r="33" spans="1:38" outlineLevel="1" x14ac:dyDescent="0.25">
      <c r="A33" s="6" t="s">
        <v>14</v>
      </c>
      <c r="B33" t="s">
        <v>33</v>
      </c>
      <c r="C33" s="16">
        <v>2.69058671866549E-2</v>
      </c>
      <c r="D33">
        <v>325</v>
      </c>
      <c r="E33" s="16">
        <v>3.1358804307858902E-2</v>
      </c>
      <c r="F33">
        <v>325</v>
      </c>
      <c r="G33" s="16">
        <v>1.6126874388199701E-2</v>
      </c>
      <c r="H33">
        <v>325</v>
      </c>
      <c r="I33" s="16">
        <v>2.1071763717386401E-2</v>
      </c>
      <c r="J33">
        <v>325</v>
      </c>
      <c r="K33" s="16">
        <v>5.3414300564813597E-2</v>
      </c>
      <c r="L33">
        <v>325</v>
      </c>
      <c r="M33" s="16">
        <v>1</v>
      </c>
      <c r="N33">
        <v>325</v>
      </c>
      <c r="O33" s="16">
        <v>2.5282142616010101E-2</v>
      </c>
      <c r="P33">
        <v>174</v>
      </c>
      <c r="Q33" s="16">
        <v>2.8028009327495801E-2</v>
      </c>
      <c r="R33">
        <v>174</v>
      </c>
      <c r="S33" s="16">
        <v>1.0807014783311E-2</v>
      </c>
      <c r="T33">
        <v>174</v>
      </c>
      <c r="U33" s="16">
        <v>1.44751278326991E-2</v>
      </c>
      <c r="V33">
        <v>174</v>
      </c>
      <c r="W33" s="16">
        <v>3.5077820116383399E-2</v>
      </c>
      <c r="X33">
        <v>174</v>
      </c>
      <c r="Y33" s="16">
        <v>1</v>
      </c>
      <c r="Z33">
        <v>174</v>
      </c>
      <c r="AA33" s="16">
        <v>2.8810782949778301E-2</v>
      </c>
      <c r="AB33">
        <v>151</v>
      </c>
      <c r="AC33" s="16">
        <v>3.5266415226936701E-2</v>
      </c>
      <c r="AD33">
        <v>151</v>
      </c>
      <c r="AE33" s="16">
        <v>2.2368009493356399E-2</v>
      </c>
      <c r="AF33">
        <v>151</v>
      </c>
      <c r="AG33" s="16">
        <v>2.8810782949778301E-2</v>
      </c>
      <c r="AH33">
        <v>151</v>
      </c>
      <c r="AI33" s="16">
        <v>7.4926231392189499E-2</v>
      </c>
      <c r="AJ33">
        <v>151</v>
      </c>
      <c r="AK33" s="16">
        <v>1</v>
      </c>
      <c r="AL33" s="11">
        <v>151</v>
      </c>
    </row>
    <row r="34" spans="1:38" outlineLevel="1" x14ac:dyDescent="0.25">
      <c r="A34" s="6" t="s">
        <v>14</v>
      </c>
      <c r="B34" t="s">
        <v>34</v>
      </c>
      <c r="C34" s="16">
        <v>5.4689299606682298E-2</v>
      </c>
      <c r="D34">
        <v>687</v>
      </c>
      <c r="E34" s="16">
        <v>6.33058152979869E-2</v>
      </c>
      <c r="F34">
        <v>687</v>
      </c>
      <c r="G34" s="16">
        <v>1.8957642111471801E-2</v>
      </c>
      <c r="H34">
        <v>687</v>
      </c>
      <c r="I34" s="16">
        <v>4.30735874933698E-2</v>
      </c>
      <c r="J34">
        <v>687</v>
      </c>
      <c r="K34" s="16">
        <v>9.8149942526368605E-2</v>
      </c>
      <c r="L34">
        <v>687</v>
      </c>
      <c r="M34" s="16">
        <v>1</v>
      </c>
      <c r="N34">
        <v>687</v>
      </c>
      <c r="O34" s="16">
        <v>4.5453722294882398E-2</v>
      </c>
      <c r="P34">
        <v>324</v>
      </c>
      <c r="Q34" s="16">
        <v>5.8708890849605302E-2</v>
      </c>
      <c r="R34">
        <v>324</v>
      </c>
      <c r="S34" s="16">
        <v>1.6072067797761502E-2</v>
      </c>
      <c r="T34">
        <v>324</v>
      </c>
      <c r="U34" s="16">
        <v>3.9905880391136697E-2</v>
      </c>
      <c r="V34">
        <v>324</v>
      </c>
      <c r="W34" s="16">
        <v>9.7731053738646698E-2</v>
      </c>
      <c r="X34">
        <v>324</v>
      </c>
      <c r="Y34" s="16">
        <v>1</v>
      </c>
      <c r="Z34">
        <v>324</v>
      </c>
      <c r="AA34" s="16">
        <v>6.24117239475998E-2</v>
      </c>
      <c r="AB34">
        <v>363</v>
      </c>
      <c r="AC34" s="16">
        <v>6.7149581643614703E-2</v>
      </c>
      <c r="AD34">
        <v>363</v>
      </c>
      <c r="AE34" s="16">
        <v>2.13704451843508E-2</v>
      </c>
      <c r="AF34">
        <v>363</v>
      </c>
      <c r="AG34" s="16">
        <v>4.57222988413791E-2</v>
      </c>
      <c r="AH34">
        <v>363</v>
      </c>
      <c r="AI34" s="16">
        <v>9.8500200757254394E-2</v>
      </c>
      <c r="AJ34">
        <v>363</v>
      </c>
      <c r="AK34" s="16">
        <v>1</v>
      </c>
      <c r="AL34" s="11">
        <v>363</v>
      </c>
    </row>
    <row r="35" spans="1:38" outlineLevel="1" x14ac:dyDescent="0.25">
      <c r="A35" s="6" t="s">
        <v>14</v>
      </c>
      <c r="B35" t="s">
        <v>35</v>
      </c>
      <c r="C35" s="16">
        <v>2.7591230769037901E-2</v>
      </c>
      <c r="D35">
        <v>1049</v>
      </c>
      <c r="E35" s="16">
        <v>3.6855150711484402E-2</v>
      </c>
      <c r="F35">
        <v>1049</v>
      </c>
      <c r="G35" s="16">
        <v>1.08700936467599E-2</v>
      </c>
      <c r="H35">
        <v>1049</v>
      </c>
      <c r="I35" s="16">
        <v>2.1922006587221401E-2</v>
      </c>
      <c r="J35">
        <v>1049</v>
      </c>
      <c r="K35" s="16">
        <v>8.8457105627472304E-2</v>
      </c>
      <c r="L35">
        <v>1049</v>
      </c>
      <c r="M35" s="16">
        <v>0.99941759880567105</v>
      </c>
      <c r="N35">
        <v>1049</v>
      </c>
      <c r="O35" s="16">
        <v>4.3735261002768998E-2</v>
      </c>
      <c r="P35">
        <v>509</v>
      </c>
      <c r="Q35" s="16">
        <v>4.59813786439194E-2</v>
      </c>
      <c r="R35">
        <v>509</v>
      </c>
      <c r="S35" s="16">
        <v>2.0909850679416399E-2</v>
      </c>
      <c r="T35">
        <v>509</v>
      </c>
      <c r="U35" s="16">
        <v>3.3003283614248098E-2</v>
      </c>
      <c r="V35">
        <v>509</v>
      </c>
      <c r="W35" s="16">
        <v>6.3902135707546603E-2</v>
      </c>
      <c r="X35">
        <v>509</v>
      </c>
      <c r="Y35" s="16">
        <v>0.99877762278021598</v>
      </c>
      <c r="Z35">
        <v>509</v>
      </c>
      <c r="AA35" s="16">
        <v>1.2899582776897499E-2</v>
      </c>
      <c r="AB35">
        <v>540</v>
      </c>
      <c r="AC35" s="16">
        <v>2.8549955147663598E-2</v>
      </c>
      <c r="AD35">
        <v>540</v>
      </c>
      <c r="AE35" s="16">
        <v>1.7335537546195E-3</v>
      </c>
      <c r="AF35">
        <v>540</v>
      </c>
      <c r="AG35" s="16">
        <v>1.18376460510085E-2</v>
      </c>
      <c r="AH35">
        <v>540</v>
      </c>
      <c r="AI35" s="16">
        <v>0.11080301116024301</v>
      </c>
      <c r="AJ35">
        <v>540</v>
      </c>
      <c r="AK35" s="16">
        <v>1</v>
      </c>
      <c r="AL35" s="11">
        <v>540</v>
      </c>
    </row>
    <row r="36" spans="1:38" outlineLevel="1" x14ac:dyDescent="0.25">
      <c r="A36" s="6" t="s">
        <v>14</v>
      </c>
      <c r="B36" t="s">
        <v>36</v>
      </c>
      <c r="C36" s="16">
        <v>5.1162956330396303E-2</v>
      </c>
      <c r="D36">
        <v>608</v>
      </c>
      <c r="E36" s="16">
        <v>9.5356507705304502E-2</v>
      </c>
      <c r="F36">
        <v>608</v>
      </c>
      <c r="G36" s="16">
        <v>1.53817556595779E-2</v>
      </c>
      <c r="H36">
        <v>608</v>
      </c>
      <c r="I36" s="16">
        <v>4.1582487659252099E-2</v>
      </c>
      <c r="J36">
        <v>608</v>
      </c>
      <c r="K36" s="16">
        <v>0.16312730873463399</v>
      </c>
      <c r="L36">
        <v>608</v>
      </c>
      <c r="M36" s="16">
        <v>0.99821668722754897</v>
      </c>
      <c r="N36">
        <v>608</v>
      </c>
      <c r="O36" s="16">
        <v>4.7049311662898601E-2</v>
      </c>
      <c r="P36">
        <v>280</v>
      </c>
      <c r="Q36" s="16">
        <v>8.6801072265974194E-2</v>
      </c>
      <c r="R36">
        <v>280</v>
      </c>
      <c r="S36" s="16">
        <v>1.7182186651785E-2</v>
      </c>
      <c r="T36">
        <v>280</v>
      </c>
      <c r="U36" s="16">
        <v>3.8517885427347E-2</v>
      </c>
      <c r="V36">
        <v>280</v>
      </c>
      <c r="W36" s="16">
        <v>0.159389621479986</v>
      </c>
      <c r="X36">
        <v>280</v>
      </c>
      <c r="Y36" s="16">
        <v>0.99616050011462998</v>
      </c>
      <c r="Z36">
        <v>280</v>
      </c>
      <c r="AA36" s="16">
        <v>5.4730683718037403E-2</v>
      </c>
      <c r="AB36">
        <v>328</v>
      </c>
      <c r="AC36" s="16">
        <v>0.102776560674697</v>
      </c>
      <c r="AD36">
        <v>328</v>
      </c>
      <c r="AE36" s="16">
        <v>1.3820257893082199E-2</v>
      </c>
      <c r="AF36">
        <v>328</v>
      </c>
      <c r="AG36" s="16">
        <v>4.4240389884347399E-2</v>
      </c>
      <c r="AH36">
        <v>328</v>
      </c>
      <c r="AI36" s="16">
        <v>0.16636897160605399</v>
      </c>
      <c r="AJ36">
        <v>328</v>
      </c>
      <c r="AK36" s="16">
        <v>1</v>
      </c>
      <c r="AL36" s="11">
        <v>328</v>
      </c>
    </row>
    <row r="37" spans="1:38" outlineLevel="1" x14ac:dyDescent="0.25">
      <c r="A37" s="6" t="s">
        <v>14</v>
      </c>
      <c r="B37" t="s">
        <v>37</v>
      </c>
      <c r="C37" s="16">
        <v>2.52822280070071E-2</v>
      </c>
      <c r="D37">
        <v>494</v>
      </c>
      <c r="E37" s="16">
        <v>3.2410685580315998E-2</v>
      </c>
      <c r="F37">
        <v>494</v>
      </c>
      <c r="G37" s="16"/>
      <c r="I37" s="16">
        <v>2.52822280070071E-2</v>
      </c>
      <c r="J37">
        <v>494</v>
      </c>
      <c r="K37" s="16">
        <v>6.5676463891743198E-2</v>
      </c>
      <c r="L37">
        <v>494</v>
      </c>
      <c r="M37" s="16">
        <v>1</v>
      </c>
      <c r="N37">
        <v>494</v>
      </c>
      <c r="O37" s="16">
        <v>2.653377528288E-2</v>
      </c>
      <c r="P37">
        <v>237</v>
      </c>
      <c r="Q37" s="16">
        <v>2.653377528288E-2</v>
      </c>
      <c r="R37">
        <v>237</v>
      </c>
      <c r="S37" s="16"/>
      <c r="U37" s="16">
        <v>2.653377528288E-2</v>
      </c>
      <c r="V37">
        <v>237</v>
      </c>
      <c r="W37" s="16">
        <v>5.0007697692004999E-2</v>
      </c>
      <c r="X37">
        <v>237</v>
      </c>
      <c r="Y37" s="16">
        <v>1</v>
      </c>
      <c r="Z37">
        <v>237</v>
      </c>
      <c r="AA37" s="16">
        <v>2.4127962706938899E-2</v>
      </c>
      <c r="AB37">
        <v>257</v>
      </c>
      <c r="AC37" s="16">
        <v>3.78307873684905E-2</v>
      </c>
      <c r="AD37">
        <v>257</v>
      </c>
      <c r="AE37" s="16"/>
      <c r="AG37" s="16">
        <v>2.4127962706938899E-2</v>
      </c>
      <c r="AH37">
        <v>257</v>
      </c>
      <c r="AI37" s="16">
        <v>8.0127306834631207E-2</v>
      </c>
      <c r="AJ37">
        <v>257</v>
      </c>
      <c r="AK37" s="16">
        <v>1</v>
      </c>
      <c r="AL37" s="11">
        <v>257</v>
      </c>
    </row>
    <row r="38" spans="1:38" outlineLevel="1" x14ac:dyDescent="0.25">
      <c r="A38" s="6" t="s">
        <v>14</v>
      </c>
      <c r="B38" t="s">
        <v>38</v>
      </c>
      <c r="C38" s="16">
        <v>3.1722567472135102E-2</v>
      </c>
      <c r="D38">
        <v>1412</v>
      </c>
      <c r="E38" s="16">
        <v>3.7965977842159201E-2</v>
      </c>
      <c r="F38">
        <v>1412</v>
      </c>
      <c r="G38" s="16">
        <v>3.9691250460793196E-3</v>
      </c>
      <c r="H38">
        <v>1412</v>
      </c>
      <c r="I38" s="16">
        <v>3.07418496887353E-2</v>
      </c>
      <c r="J38">
        <v>1412</v>
      </c>
      <c r="K38" s="16">
        <v>7.9842212949793004E-2</v>
      </c>
      <c r="L38">
        <v>1412</v>
      </c>
      <c r="M38" s="16">
        <v>0.99929249957517396</v>
      </c>
      <c r="N38">
        <v>1412</v>
      </c>
      <c r="O38" s="16">
        <v>3.4602168406258599E-2</v>
      </c>
      <c r="P38">
        <v>741</v>
      </c>
      <c r="Q38" s="16">
        <v>4.18467682916513E-2</v>
      </c>
      <c r="R38">
        <v>741</v>
      </c>
      <c r="S38" s="16">
        <v>2.1203835618129E-3</v>
      </c>
      <c r="T38">
        <v>741</v>
      </c>
      <c r="U38" s="16">
        <v>3.4602168406258599E-2</v>
      </c>
      <c r="V38">
        <v>741</v>
      </c>
      <c r="W38" s="16">
        <v>9.1115299730495494E-2</v>
      </c>
      <c r="X38">
        <v>741</v>
      </c>
      <c r="Y38" s="16">
        <v>0.99929501607502202</v>
      </c>
      <c r="Z38">
        <v>741</v>
      </c>
      <c r="AA38" s="16">
        <v>2.8822334932746399E-2</v>
      </c>
      <c r="AB38">
        <v>671</v>
      </c>
      <c r="AC38" s="16">
        <v>3.4057382520220399E-2</v>
      </c>
      <c r="AD38">
        <v>671</v>
      </c>
      <c r="AE38" s="16">
        <v>5.8311122909261801E-3</v>
      </c>
      <c r="AF38">
        <v>671</v>
      </c>
      <c r="AG38" s="16">
        <v>2.6853872773496601E-2</v>
      </c>
      <c r="AH38">
        <v>671</v>
      </c>
      <c r="AI38" s="16">
        <v>6.8488357381366202E-2</v>
      </c>
      <c r="AJ38">
        <v>671</v>
      </c>
      <c r="AK38" s="16">
        <v>0.99928996504524703</v>
      </c>
      <c r="AL38" s="11">
        <v>671</v>
      </c>
    </row>
    <row r="39" spans="1:38" outlineLevel="1" x14ac:dyDescent="0.25">
      <c r="A39" s="6" t="s">
        <v>14</v>
      </c>
      <c r="B39" t="s">
        <v>39</v>
      </c>
      <c r="C39" s="16">
        <v>4.0365913724887598E-2</v>
      </c>
      <c r="D39">
        <v>545</v>
      </c>
      <c r="E39" s="16">
        <v>6.0903967414264598E-2</v>
      </c>
      <c r="F39">
        <v>545</v>
      </c>
      <c r="G39" s="16">
        <v>9.5095470555336802E-3</v>
      </c>
      <c r="H39">
        <v>545</v>
      </c>
      <c r="I39" s="16">
        <v>3.8576992078218297E-2</v>
      </c>
      <c r="J39">
        <v>545</v>
      </c>
      <c r="K39" s="16">
        <v>7.66076080873134E-2</v>
      </c>
      <c r="L39">
        <v>545</v>
      </c>
      <c r="M39" s="16">
        <v>0.99247115220396298</v>
      </c>
      <c r="N39">
        <v>545</v>
      </c>
      <c r="O39" s="16">
        <v>4.99695533415161E-2</v>
      </c>
      <c r="P39">
        <v>261</v>
      </c>
      <c r="Q39" s="16">
        <v>6.4553241568319097E-2</v>
      </c>
      <c r="R39">
        <v>261</v>
      </c>
      <c r="S39" s="16">
        <v>1.2755236071650499E-2</v>
      </c>
      <c r="T39">
        <v>261</v>
      </c>
      <c r="U39" s="16">
        <v>4.99695533415161E-2</v>
      </c>
      <c r="V39">
        <v>261</v>
      </c>
      <c r="W39" s="16">
        <v>5.9171860656426503E-2</v>
      </c>
      <c r="X39">
        <v>261</v>
      </c>
      <c r="Y39" s="16">
        <v>0.985416311773197</v>
      </c>
      <c r="Z39">
        <v>261</v>
      </c>
      <c r="AA39" s="16">
        <v>3.2508216377902903E-2</v>
      </c>
      <c r="AB39">
        <v>284</v>
      </c>
      <c r="AC39" s="16">
        <v>5.7918131524600097E-2</v>
      </c>
      <c r="AD39">
        <v>284</v>
      </c>
      <c r="AE39" s="16">
        <v>6.8539245010472297E-3</v>
      </c>
      <c r="AF39">
        <v>284</v>
      </c>
      <c r="AG39" s="16">
        <v>2.9255599149336099E-2</v>
      </c>
      <c r="AH39">
        <v>284</v>
      </c>
      <c r="AI39" s="16">
        <v>9.0873535568926994E-2</v>
      </c>
      <c r="AJ39">
        <v>284</v>
      </c>
      <c r="AK39" s="16">
        <v>0.99824342221295403</v>
      </c>
      <c r="AL39" s="11">
        <v>284</v>
      </c>
    </row>
    <row r="40" spans="1:38" outlineLevel="1" x14ac:dyDescent="0.25">
      <c r="A40" s="6" t="s">
        <v>14</v>
      </c>
      <c r="B40" t="s">
        <v>40</v>
      </c>
      <c r="C40" s="16">
        <v>2.5311377052291199E-2</v>
      </c>
      <c r="D40">
        <v>489</v>
      </c>
      <c r="E40" s="16">
        <v>2.64800454324009E-2</v>
      </c>
      <c r="F40">
        <v>489</v>
      </c>
      <c r="G40" s="16"/>
      <c r="I40" s="16">
        <v>2.5311377052291199E-2</v>
      </c>
      <c r="J40">
        <v>489</v>
      </c>
      <c r="K40" s="16">
        <v>5.8475344681477998E-2</v>
      </c>
      <c r="L40">
        <v>489</v>
      </c>
      <c r="M40" s="16">
        <v>1</v>
      </c>
      <c r="N40">
        <v>489</v>
      </c>
      <c r="O40" s="16">
        <v>1.0901550960381701E-2</v>
      </c>
      <c r="P40">
        <v>239</v>
      </c>
      <c r="Q40" s="16">
        <v>1.3229476834125601E-2</v>
      </c>
      <c r="R40">
        <v>239</v>
      </c>
      <c r="S40" s="16"/>
      <c r="U40" s="16">
        <v>1.0901550960381701E-2</v>
      </c>
      <c r="V40">
        <v>239</v>
      </c>
      <c r="W40" s="16">
        <v>4.96511229417997E-2</v>
      </c>
      <c r="X40">
        <v>239</v>
      </c>
      <c r="Y40" s="16">
        <v>1</v>
      </c>
      <c r="Z40">
        <v>239</v>
      </c>
      <c r="AA40" s="16">
        <v>3.9838182536810998E-2</v>
      </c>
      <c r="AB40">
        <v>250</v>
      </c>
      <c r="AC40" s="16">
        <v>3.9838182536810998E-2</v>
      </c>
      <c r="AD40">
        <v>250</v>
      </c>
      <c r="AE40" s="16"/>
      <c r="AG40" s="16">
        <v>3.9838182536810998E-2</v>
      </c>
      <c r="AH40">
        <v>250</v>
      </c>
      <c r="AI40" s="16">
        <v>6.7371201713128701E-2</v>
      </c>
      <c r="AJ40">
        <v>250</v>
      </c>
      <c r="AK40" s="16">
        <v>1</v>
      </c>
      <c r="AL40" s="11">
        <v>250</v>
      </c>
    </row>
    <row r="41" spans="1:38" outlineLevel="1" x14ac:dyDescent="0.25">
      <c r="A41" s="6" t="s">
        <v>14</v>
      </c>
      <c r="B41" t="s">
        <v>41</v>
      </c>
      <c r="C41" s="16">
        <v>5.7222106532108102E-2</v>
      </c>
      <c r="D41">
        <v>318</v>
      </c>
      <c r="E41" s="16">
        <v>6.3460708932742804E-2</v>
      </c>
      <c r="F41">
        <v>318</v>
      </c>
      <c r="G41" s="16">
        <v>2.5453350284067901E-2</v>
      </c>
      <c r="H41">
        <v>318</v>
      </c>
      <c r="I41" s="16">
        <v>3.8007358648675001E-2</v>
      </c>
      <c r="J41">
        <v>318</v>
      </c>
      <c r="K41" s="16">
        <v>0.108060307212111</v>
      </c>
      <c r="L41">
        <v>318</v>
      </c>
      <c r="M41" s="16">
        <v>0.99663122845891805</v>
      </c>
      <c r="N41">
        <v>318</v>
      </c>
      <c r="O41" s="16">
        <v>2.7116199607931199E-2</v>
      </c>
      <c r="P41">
        <v>149</v>
      </c>
      <c r="Q41" s="16">
        <v>2.7116199607931199E-2</v>
      </c>
      <c r="R41">
        <v>149</v>
      </c>
      <c r="S41" s="16">
        <v>6.6915591077943296E-3</v>
      </c>
      <c r="T41">
        <v>149</v>
      </c>
      <c r="U41" s="16">
        <v>2.0424640500136901E-2</v>
      </c>
      <c r="V41">
        <v>149</v>
      </c>
      <c r="W41" s="16">
        <v>6.5883514682701302E-2</v>
      </c>
      <c r="X41">
        <v>149</v>
      </c>
      <c r="Y41" s="16">
        <v>1</v>
      </c>
      <c r="Z41">
        <v>149</v>
      </c>
      <c r="AA41" s="16">
        <v>8.3510631615548697E-2</v>
      </c>
      <c r="AB41">
        <v>169</v>
      </c>
      <c r="AC41" s="16">
        <v>9.51967914044312E-2</v>
      </c>
      <c r="AD41">
        <v>169</v>
      </c>
      <c r="AE41" s="16">
        <v>4.1836175727258701E-2</v>
      </c>
      <c r="AF41">
        <v>169</v>
      </c>
      <c r="AG41" s="16">
        <v>5.3360615677172499E-2</v>
      </c>
      <c r="AH41">
        <v>169</v>
      </c>
      <c r="AI41" s="16">
        <v>0.144889148513619</v>
      </c>
      <c r="AJ41">
        <v>169</v>
      </c>
      <c r="AK41" s="16">
        <v>0.99368961187247395</v>
      </c>
      <c r="AL41" s="11">
        <v>169</v>
      </c>
    </row>
    <row r="42" spans="1:38" outlineLevel="1" x14ac:dyDescent="0.25">
      <c r="A42" s="6" t="s">
        <v>14</v>
      </c>
      <c r="B42" t="s">
        <v>42</v>
      </c>
      <c r="C42" s="16">
        <v>3.6076428464664502E-2</v>
      </c>
      <c r="D42">
        <v>890</v>
      </c>
      <c r="E42" s="16">
        <v>4.9780549350669001E-2</v>
      </c>
      <c r="F42">
        <v>890</v>
      </c>
      <c r="G42" s="16">
        <v>5.64950569384331E-3</v>
      </c>
      <c r="H42">
        <v>890</v>
      </c>
      <c r="I42" s="16">
        <v>3.3304576543846401E-2</v>
      </c>
      <c r="J42">
        <v>890</v>
      </c>
      <c r="K42" s="16">
        <v>0.12576387674429501</v>
      </c>
      <c r="L42">
        <v>890</v>
      </c>
      <c r="M42" s="16">
        <v>1</v>
      </c>
      <c r="N42">
        <v>890</v>
      </c>
      <c r="O42" s="16">
        <v>2.72293840145214E-2</v>
      </c>
      <c r="P42">
        <v>446</v>
      </c>
      <c r="Q42" s="16">
        <v>3.7854267847831302E-2</v>
      </c>
      <c r="R42">
        <v>446</v>
      </c>
      <c r="S42" s="16">
        <v>2.8931341551439302E-3</v>
      </c>
      <c r="T42">
        <v>446</v>
      </c>
      <c r="U42" s="16">
        <v>2.43362498593775E-2</v>
      </c>
      <c r="V42">
        <v>446</v>
      </c>
      <c r="W42" s="16">
        <v>0.100556996154397</v>
      </c>
      <c r="X42">
        <v>446</v>
      </c>
      <c r="Y42" s="16">
        <v>1</v>
      </c>
      <c r="Z42">
        <v>446</v>
      </c>
      <c r="AA42" s="16">
        <v>4.4785096487006598E-2</v>
      </c>
      <c r="AB42">
        <v>444</v>
      </c>
      <c r="AC42" s="16">
        <v>6.1520292146641002E-2</v>
      </c>
      <c r="AD42">
        <v>444</v>
      </c>
      <c r="AE42" s="16">
        <v>8.3627648858864406E-3</v>
      </c>
      <c r="AF42">
        <v>444</v>
      </c>
      <c r="AG42" s="16">
        <v>4.2132629827752899E-2</v>
      </c>
      <c r="AH42">
        <v>444</v>
      </c>
      <c r="AI42" s="16">
        <v>0.15057649706889201</v>
      </c>
      <c r="AJ42">
        <v>444</v>
      </c>
      <c r="AK42" s="16">
        <v>1</v>
      </c>
      <c r="AL42" s="11">
        <v>444</v>
      </c>
    </row>
    <row r="43" spans="1:38" outlineLevel="1" x14ac:dyDescent="0.25">
      <c r="A43" s="6" t="s">
        <v>14</v>
      </c>
      <c r="B43" t="s">
        <v>43</v>
      </c>
      <c r="C43" s="16">
        <v>3.1743770908237101E-2</v>
      </c>
      <c r="D43">
        <v>450</v>
      </c>
      <c r="E43" s="16">
        <v>4.3477933081323597E-2</v>
      </c>
      <c r="F43">
        <v>450</v>
      </c>
      <c r="G43" s="16">
        <v>3.0697303872621999E-3</v>
      </c>
      <c r="H43">
        <v>450</v>
      </c>
      <c r="I43" s="16">
        <v>3.1743770908237101E-2</v>
      </c>
      <c r="J43">
        <v>450</v>
      </c>
      <c r="K43" s="16">
        <v>0.16184667905067801</v>
      </c>
      <c r="L43">
        <v>450</v>
      </c>
      <c r="M43" s="16">
        <v>0.99406555176146505</v>
      </c>
      <c r="N43">
        <v>450</v>
      </c>
      <c r="O43" s="16">
        <v>4.2494994168843697E-2</v>
      </c>
      <c r="P43">
        <v>247</v>
      </c>
      <c r="Q43" s="16">
        <v>5.0453726905645001E-2</v>
      </c>
      <c r="R43">
        <v>247</v>
      </c>
      <c r="S43" s="16">
        <v>5.7366101065658703E-3</v>
      </c>
      <c r="T43">
        <v>247</v>
      </c>
      <c r="U43" s="16">
        <v>4.2494994168843697E-2</v>
      </c>
      <c r="V43">
        <v>247</v>
      </c>
      <c r="W43" s="16">
        <v>0.15469719918754299</v>
      </c>
      <c r="X43">
        <v>247</v>
      </c>
      <c r="Y43" s="16">
        <v>1</v>
      </c>
      <c r="Z43">
        <v>247</v>
      </c>
      <c r="AA43" s="16">
        <v>1.93685008484605E-2</v>
      </c>
      <c r="AB43">
        <v>203</v>
      </c>
      <c r="AC43" s="16">
        <v>3.54483972448194E-2</v>
      </c>
      <c r="AD43">
        <v>203</v>
      </c>
      <c r="AE43" s="16"/>
      <c r="AG43" s="16">
        <v>1.93685008484605E-2</v>
      </c>
      <c r="AH43">
        <v>203</v>
      </c>
      <c r="AI43" s="16">
        <v>0.17007613740612099</v>
      </c>
      <c r="AJ43">
        <v>203</v>
      </c>
      <c r="AK43" s="16">
        <v>0.98723466397991</v>
      </c>
      <c r="AL43" s="11">
        <v>203</v>
      </c>
    </row>
    <row r="44" spans="1:38" outlineLevel="1" x14ac:dyDescent="0.25">
      <c r="A44" s="6" t="s">
        <v>14</v>
      </c>
      <c r="B44" t="s">
        <v>44</v>
      </c>
      <c r="C44" s="16">
        <v>2.4905227908908201E-2</v>
      </c>
      <c r="D44">
        <v>283</v>
      </c>
      <c r="E44" s="16">
        <v>4.6040061591187599E-2</v>
      </c>
      <c r="F44">
        <v>283</v>
      </c>
      <c r="G44" s="16">
        <v>7.2102258582590001E-3</v>
      </c>
      <c r="H44">
        <v>283</v>
      </c>
      <c r="I44" s="16">
        <v>2.4905227908908201E-2</v>
      </c>
      <c r="J44">
        <v>283</v>
      </c>
      <c r="K44" s="16">
        <v>0.120259901425415</v>
      </c>
      <c r="L44">
        <v>283</v>
      </c>
      <c r="M44" s="16">
        <v>1</v>
      </c>
      <c r="N44">
        <v>283</v>
      </c>
      <c r="O44" s="16">
        <v>2.1993730584381501E-2</v>
      </c>
      <c r="P44">
        <v>137</v>
      </c>
      <c r="Q44" s="16">
        <v>3.6542441969118399E-2</v>
      </c>
      <c r="R44">
        <v>137</v>
      </c>
      <c r="S44" s="16">
        <v>7.4450191996445802E-3</v>
      </c>
      <c r="T44">
        <v>137</v>
      </c>
      <c r="U44" s="16">
        <v>2.1993730584381501E-2</v>
      </c>
      <c r="V44">
        <v>137</v>
      </c>
      <c r="W44" s="16">
        <v>8.7633595322973601E-2</v>
      </c>
      <c r="X44">
        <v>137</v>
      </c>
      <c r="Y44" s="16">
        <v>1</v>
      </c>
      <c r="Z44">
        <v>137</v>
      </c>
      <c r="AA44" s="16">
        <v>2.76387000064886E-2</v>
      </c>
      <c r="AB44">
        <v>146</v>
      </c>
      <c r="AC44" s="16">
        <v>5.49569436407287E-2</v>
      </c>
      <c r="AD44">
        <v>146</v>
      </c>
      <c r="AE44" s="16">
        <v>6.9897890946842697E-3</v>
      </c>
      <c r="AF44">
        <v>146</v>
      </c>
      <c r="AG44" s="16">
        <v>2.76387000064886E-2</v>
      </c>
      <c r="AH44">
        <v>146</v>
      </c>
      <c r="AI44" s="16">
        <v>0.150891252732818</v>
      </c>
      <c r="AJ44">
        <v>146</v>
      </c>
      <c r="AK44" s="16">
        <v>1</v>
      </c>
      <c r="AL44" s="11">
        <v>146</v>
      </c>
    </row>
    <row r="45" spans="1:38" outlineLevel="1" x14ac:dyDescent="0.25">
      <c r="A45" s="6" t="s">
        <v>14</v>
      </c>
      <c r="B45" t="s">
        <v>45</v>
      </c>
      <c r="C45" s="16">
        <v>1.1602674253237501E-2</v>
      </c>
      <c r="D45">
        <v>813</v>
      </c>
      <c r="E45" s="16">
        <v>1.7053002299880101E-2</v>
      </c>
      <c r="F45">
        <v>813</v>
      </c>
      <c r="G45" s="16">
        <v>9.1813619331907199E-3</v>
      </c>
      <c r="H45">
        <v>813</v>
      </c>
      <c r="I45" s="16">
        <v>4.9392851018639503E-3</v>
      </c>
      <c r="J45">
        <v>813</v>
      </c>
      <c r="K45" s="16">
        <v>4.1720215242986199E-2</v>
      </c>
      <c r="L45">
        <v>813</v>
      </c>
      <c r="M45" s="16">
        <v>1</v>
      </c>
      <c r="N45">
        <v>813</v>
      </c>
      <c r="O45" s="16">
        <v>8.5585336367700396E-3</v>
      </c>
      <c r="P45">
        <v>375</v>
      </c>
      <c r="Q45" s="16">
        <v>1.01513655445387E-2</v>
      </c>
      <c r="R45">
        <v>375</v>
      </c>
      <c r="S45" s="16">
        <v>5.2653301166049101E-3</v>
      </c>
      <c r="T45">
        <v>375</v>
      </c>
      <c r="U45" s="16">
        <v>6.4788673357025197E-3</v>
      </c>
      <c r="V45">
        <v>375</v>
      </c>
      <c r="W45" s="16">
        <v>3.5452476311853602E-2</v>
      </c>
      <c r="X45">
        <v>375</v>
      </c>
      <c r="Y45" s="16">
        <v>1</v>
      </c>
      <c r="Z45">
        <v>375</v>
      </c>
      <c r="AA45" s="16">
        <v>1.43926510499331E-2</v>
      </c>
      <c r="AB45">
        <v>438</v>
      </c>
      <c r="AC45" s="16">
        <v>2.33784020867564E-2</v>
      </c>
      <c r="AD45">
        <v>438</v>
      </c>
      <c r="AE45" s="16">
        <v>1.2770433293525899E-2</v>
      </c>
      <c r="AF45">
        <v>438</v>
      </c>
      <c r="AG45" s="16">
        <v>3.5282468975910402E-3</v>
      </c>
      <c r="AH45">
        <v>438</v>
      </c>
      <c r="AI45" s="16">
        <v>4.74646431091005E-2</v>
      </c>
      <c r="AJ45">
        <v>438</v>
      </c>
      <c r="AK45" s="16">
        <v>1</v>
      </c>
      <c r="AL45" s="11">
        <v>438</v>
      </c>
    </row>
    <row r="46" spans="1:38" outlineLevel="1" x14ac:dyDescent="0.25">
      <c r="A46" s="6" t="s">
        <v>14</v>
      </c>
      <c r="B46" t="s">
        <v>46</v>
      </c>
      <c r="C46" s="16">
        <v>1.83846005520041E-2</v>
      </c>
      <c r="D46">
        <v>612</v>
      </c>
      <c r="E46" s="16">
        <v>3.4965119436795297E-2</v>
      </c>
      <c r="F46">
        <v>612</v>
      </c>
      <c r="G46" s="16">
        <v>2.1377321444677301E-3</v>
      </c>
      <c r="H46">
        <v>612</v>
      </c>
      <c r="I46" s="16">
        <v>1.6246868407536402E-2</v>
      </c>
      <c r="J46">
        <v>612</v>
      </c>
      <c r="K46" s="16">
        <v>9.8010712567522598E-2</v>
      </c>
      <c r="L46">
        <v>612</v>
      </c>
      <c r="M46" s="16">
        <v>0.99537982657603497</v>
      </c>
      <c r="N46">
        <v>612</v>
      </c>
      <c r="O46" s="16">
        <v>2.2213994908812901E-2</v>
      </c>
      <c r="P46">
        <v>306</v>
      </c>
      <c r="Q46" s="16">
        <v>3.6857127874944301E-2</v>
      </c>
      <c r="R46">
        <v>306</v>
      </c>
      <c r="S46" s="16">
        <v>2.09758728469909E-3</v>
      </c>
      <c r="T46">
        <v>306</v>
      </c>
      <c r="U46" s="16">
        <v>2.0116407624113802E-2</v>
      </c>
      <c r="V46">
        <v>306</v>
      </c>
      <c r="W46" s="16">
        <v>0.104390464136057</v>
      </c>
      <c r="X46">
        <v>306</v>
      </c>
      <c r="Y46" s="16">
        <v>0.99286001091304099</v>
      </c>
      <c r="Z46">
        <v>306</v>
      </c>
      <c r="AA46" s="16">
        <v>1.4405767749103199E-2</v>
      </c>
      <c r="AB46">
        <v>306</v>
      </c>
      <c r="AC46" s="16">
        <v>3.29992771819521E-2</v>
      </c>
      <c r="AD46">
        <v>306</v>
      </c>
      <c r="AE46" s="16">
        <v>2.1794436189287898E-3</v>
      </c>
      <c r="AF46">
        <v>306</v>
      </c>
      <c r="AG46" s="16">
        <v>1.2226324130174399E-2</v>
      </c>
      <c r="AH46">
        <v>306</v>
      </c>
      <c r="AI46" s="16">
        <v>9.1381997306031706E-2</v>
      </c>
      <c r="AJ46">
        <v>306</v>
      </c>
      <c r="AK46" s="16">
        <v>0.99799797563121395</v>
      </c>
      <c r="AL46" s="11">
        <v>306</v>
      </c>
    </row>
    <row r="47" spans="1:38" outlineLevel="1" x14ac:dyDescent="0.25">
      <c r="A47" s="7" t="s">
        <v>14</v>
      </c>
      <c r="B47" s="9" t="s">
        <v>47</v>
      </c>
      <c r="C47" s="15">
        <v>1.7019881146025699E-2</v>
      </c>
      <c r="D47" s="9">
        <v>554</v>
      </c>
      <c r="E47" s="15">
        <v>2.3697671750194198E-2</v>
      </c>
      <c r="F47" s="9">
        <v>554</v>
      </c>
      <c r="G47" s="15">
        <v>3.32235983597404E-3</v>
      </c>
      <c r="H47" s="9">
        <v>554</v>
      </c>
      <c r="I47" s="15">
        <v>1.53587012280387E-2</v>
      </c>
      <c r="J47" s="9">
        <v>554</v>
      </c>
      <c r="K47" s="15">
        <v>6.5440175942549694E-2</v>
      </c>
      <c r="L47" s="9">
        <v>554</v>
      </c>
      <c r="M47" s="15">
        <v>1</v>
      </c>
      <c r="N47" s="9">
        <v>554</v>
      </c>
      <c r="O47" s="15">
        <v>1.4216391592134401E-2</v>
      </c>
      <c r="P47" s="9">
        <v>259</v>
      </c>
      <c r="Q47" s="15">
        <v>1.7624399107170501E-2</v>
      </c>
      <c r="R47" s="9">
        <v>259</v>
      </c>
      <c r="S47" s="15">
        <v>3.5540978980335902E-3</v>
      </c>
      <c r="T47" s="9">
        <v>259</v>
      </c>
      <c r="U47" s="15">
        <v>1.0662293694100799E-2</v>
      </c>
      <c r="V47" s="9">
        <v>259</v>
      </c>
      <c r="W47" s="15">
        <v>6.3926826875421894E-2</v>
      </c>
      <c r="X47" s="9">
        <v>259</v>
      </c>
      <c r="Y47" s="15">
        <v>1</v>
      </c>
      <c r="Z47" s="9">
        <v>259</v>
      </c>
      <c r="AA47" s="15">
        <v>1.9480157077841901E-2</v>
      </c>
      <c r="AB47" s="9">
        <v>295</v>
      </c>
      <c r="AC47" s="15">
        <v>2.90274317595542E-2</v>
      </c>
      <c r="AD47" s="9">
        <v>295</v>
      </c>
      <c r="AE47" s="15">
        <v>3.1189920096950101E-3</v>
      </c>
      <c r="AF47" s="9">
        <v>295</v>
      </c>
      <c r="AG47" s="15">
        <v>1.9480157077841901E-2</v>
      </c>
      <c r="AH47" s="9">
        <v>295</v>
      </c>
      <c r="AI47" s="15">
        <v>6.6768255186191894E-2</v>
      </c>
      <c r="AJ47" s="9">
        <v>295</v>
      </c>
      <c r="AK47" s="15">
        <v>1</v>
      </c>
      <c r="AL47" s="12">
        <v>295</v>
      </c>
    </row>
    <row r="48" spans="1:38" x14ac:dyDescent="0.25">
      <c r="C48" s="16"/>
      <c r="E48" s="16"/>
      <c r="G48" s="16"/>
      <c r="I48" s="16"/>
      <c r="K48" s="16"/>
      <c r="M48" s="16"/>
      <c r="O48" s="16"/>
      <c r="Q48" s="16"/>
      <c r="S48" s="16"/>
      <c r="U48" s="16"/>
      <c r="W48" s="16"/>
      <c r="Y48" s="16"/>
      <c r="AA48" s="16"/>
      <c r="AC48" s="16"/>
      <c r="AE48" s="16"/>
      <c r="AG48" s="16"/>
      <c r="AI48" s="16"/>
      <c r="AK48" s="16"/>
    </row>
    <row r="49" spans="1:38" x14ac:dyDescent="0.25">
      <c r="A49" s="19" t="s">
        <v>48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L49" s="19"/>
      <c r="M49" s="20"/>
      <c r="N49" s="19"/>
      <c r="O49" s="20"/>
      <c r="P49" s="19"/>
      <c r="Q49" s="20"/>
      <c r="R49" s="19"/>
      <c r="S49" s="20"/>
      <c r="T49" s="19"/>
      <c r="U49" s="20"/>
      <c r="V49" s="19"/>
      <c r="W49" s="20"/>
      <c r="X49" s="19"/>
      <c r="Y49" s="20"/>
      <c r="Z49" s="19"/>
      <c r="AA49" s="20"/>
      <c r="AB49" s="19"/>
      <c r="AC49" s="20"/>
      <c r="AD49" s="19"/>
      <c r="AE49" s="20"/>
      <c r="AF49" s="19"/>
      <c r="AG49" s="20"/>
      <c r="AH49" s="19"/>
      <c r="AI49" s="20"/>
      <c r="AJ49" s="19"/>
      <c r="AK49" s="20"/>
      <c r="AL49" s="19"/>
    </row>
    <row r="50" spans="1:38" outlineLevel="1" x14ac:dyDescent="0.25">
      <c r="A50" s="5" t="s">
        <v>14</v>
      </c>
      <c r="B50" s="8" t="s">
        <v>49</v>
      </c>
      <c r="C50" s="14">
        <v>3.2901803940760303E-2</v>
      </c>
      <c r="D50" s="8">
        <v>2000</v>
      </c>
      <c r="E50" s="14">
        <v>4.2275670799798201E-2</v>
      </c>
      <c r="F50" s="8">
        <v>2000</v>
      </c>
      <c r="G50" s="14">
        <v>7.75805824683667E-3</v>
      </c>
      <c r="H50" s="8">
        <v>2000</v>
      </c>
      <c r="I50" s="14">
        <v>3.0335612267572799E-2</v>
      </c>
      <c r="J50" s="8">
        <v>2000</v>
      </c>
      <c r="K50" s="14">
        <v>8.3370870539896599E-2</v>
      </c>
      <c r="L50" s="8">
        <v>2000</v>
      </c>
      <c r="M50" s="14">
        <v>0.99908960611997799</v>
      </c>
      <c r="N50" s="8">
        <v>2000</v>
      </c>
      <c r="O50" s="14">
        <v>4.1121747706950998E-2</v>
      </c>
      <c r="P50" s="8">
        <v>994</v>
      </c>
      <c r="Q50" s="14">
        <v>4.43265123080945E-2</v>
      </c>
      <c r="R50" s="8">
        <v>994</v>
      </c>
      <c r="S50" s="14">
        <v>1.1862846370037599E-2</v>
      </c>
      <c r="T50" s="8">
        <v>994</v>
      </c>
      <c r="U50" s="14">
        <v>3.7640121164516198E-2</v>
      </c>
      <c r="V50" s="8">
        <v>994</v>
      </c>
      <c r="W50" s="14">
        <v>5.9967034083541197E-2</v>
      </c>
      <c r="X50" s="8">
        <v>994</v>
      </c>
      <c r="Y50" s="14">
        <v>0.99840711473687505</v>
      </c>
      <c r="Z50" s="8">
        <v>994</v>
      </c>
      <c r="AA50" s="14">
        <v>2.4919236281607901E-2</v>
      </c>
      <c r="AB50" s="8">
        <v>1006</v>
      </c>
      <c r="AC50" s="14">
        <v>4.0284053635030098E-2</v>
      </c>
      <c r="AD50" s="8">
        <v>1006</v>
      </c>
      <c r="AE50" s="14">
        <v>3.7718084801766499E-3</v>
      </c>
      <c r="AF50" s="8">
        <v>1006</v>
      </c>
      <c r="AG50" s="14">
        <v>2.3242043485927299E-2</v>
      </c>
      <c r="AH50" s="8">
        <v>1006</v>
      </c>
      <c r="AI50" s="14">
        <v>0.10609884938143201</v>
      </c>
      <c r="AJ50" s="8">
        <v>1006</v>
      </c>
      <c r="AK50" s="14">
        <v>0.99975238846951497</v>
      </c>
      <c r="AL50" s="10">
        <v>1006</v>
      </c>
    </row>
    <row r="51" spans="1:38" outlineLevel="1" x14ac:dyDescent="0.25">
      <c r="A51" s="6" t="s">
        <v>14</v>
      </c>
      <c r="B51" t="s">
        <v>50</v>
      </c>
      <c r="C51" s="16">
        <v>2.8206943859720501E-2</v>
      </c>
      <c r="D51">
        <v>2809</v>
      </c>
      <c r="E51" s="16">
        <v>3.89995034979582E-2</v>
      </c>
      <c r="F51">
        <v>2809</v>
      </c>
      <c r="G51" s="16">
        <v>1.0390877494266201E-2</v>
      </c>
      <c r="H51">
        <v>2809</v>
      </c>
      <c r="I51" s="16">
        <v>1.9473885115585701E-2</v>
      </c>
      <c r="J51">
        <v>2809</v>
      </c>
      <c r="K51" s="16">
        <v>9.4427544388527004E-2</v>
      </c>
      <c r="L51">
        <v>2809</v>
      </c>
      <c r="M51" s="16">
        <v>0.99958251370826701</v>
      </c>
      <c r="N51">
        <v>2809</v>
      </c>
      <c r="O51" s="16">
        <v>3.6013513970597003E-2</v>
      </c>
      <c r="P51">
        <v>1324</v>
      </c>
      <c r="Q51" s="16">
        <v>4.7866293153876402E-2</v>
      </c>
      <c r="R51">
        <v>1324</v>
      </c>
      <c r="S51" s="16">
        <v>1.6961866793013401E-2</v>
      </c>
      <c r="T51">
        <v>1324</v>
      </c>
      <c r="U51" s="16">
        <v>2.1906327988739299E-2</v>
      </c>
      <c r="V51">
        <v>1324</v>
      </c>
      <c r="W51" s="16">
        <v>9.2377713333734804E-2</v>
      </c>
      <c r="X51">
        <v>1324</v>
      </c>
      <c r="Y51" s="16">
        <v>0.999693188120648</v>
      </c>
      <c r="Z51">
        <v>1324</v>
      </c>
      <c r="AA51" s="16">
        <v>2.1180201878314299E-2</v>
      </c>
      <c r="AB51">
        <v>1485</v>
      </c>
      <c r="AC51" s="16">
        <v>3.10184513546191E-2</v>
      </c>
      <c r="AD51">
        <v>1485</v>
      </c>
      <c r="AE51" s="16">
        <v>4.4762894345819898E-3</v>
      </c>
      <c r="AF51">
        <v>1485</v>
      </c>
      <c r="AG51" s="16">
        <v>1.7284428259194101E-2</v>
      </c>
      <c r="AH51">
        <v>1485</v>
      </c>
      <c r="AI51" s="16">
        <v>9.6272609983650503E-2</v>
      </c>
      <c r="AJ51">
        <v>1485</v>
      </c>
      <c r="AK51" s="16">
        <v>0.99948289498599896</v>
      </c>
      <c r="AL51" s="11">
        <v>1485</v>
      </c>
    </row>
    <row r="52" spans="1:38" outlineLevel="1" x14ac:dyDescent="0.25">
      <c r="A52" s="7" t="s">
        <v>14</v>
      </c>
      <c r="B52" s="9" t="s">
        <v>51</v>
      </c>
      <c r="C52" s="15">
        <v>2.75403445149589E-2</v>
      </c>
      <c r="D52" s="9">
        <v>7753</v>
      </c>
      <c r="E52" s="15">
        <v>3.9489441259660099E-2</v>
      </c>
      <c r="F52" s="9">
        <v>7753</v>
      </c>
      <c r="G52" s="15">
        <v>7.84684448990749E-3</v>
      </c>
      <c r="H52" s="9">
        <v>7753</v>
      </c>
      <c r="I52" s="15">
        <v>2.37151358286797E-2</v>
      </c>
      <c r="J52" s="9">
        <v>7753</v>
      </c>
      <c r="K52" s="15">
        <v>8.1350713909128999E-2</v>
      </c>
      <c r="L52" s="9">
        <v>7753</v>
      </c>
      <c r="M52" s="15">
        <v>0.99853486066782404</v>
      </c>
      <c r="N52" s="9">
        <v>7753</v>
      </c>
      <c r="O52" s="15">
        <v>2.48595659529325E-2</v>
      </c>
      <c r="P52" s="9">
        <v>3818</v>
      </c>
      <c r="Q52" s="15">
        <v>3.4095842386333897E-2</v>
      </c>
      <c r="R52" s="9">
        <v>3818</v>
      </c>
      <c r="S52" s="15">
        <v>4.5374243786023404E-3</v>
      </c>
      <c r="T52" s="9">
        <v>3818</v>
      </c>
      <c r="U52" s="15">
        <v>2.4031188463351099E-2</v>
      </c>
      <c r="V52" s="9">
        <v>3818</v>
      </c>
      <c r="W52" s="15">
        <v>7.6956378219834407E-2</v>
      </c>
      <c r="X52" s="9">
        <v>3818</v>
      </c>
      <c r="Y52" s="15">
        <v>0.99790450529062202</v>
      </c>
      <c r="Z52" s="9">
        <v>3818</v>
      </c>
      <c r="AA52" s="15">
        <v>2.9966268722263999E-2</v>
      </c>
      <c r="AB52" s="9">
        <v>3935</v>
      </c>
      <c r="AC52" s="15">
        <v>4.4370285301252498E-2</v>
      </c>
      <c r="AD52" s="9">
        <v>3935</v>
      </c>
      <c r="AE52" s="15">
        <v>1.0841646997612E-2</v>
      </c>
      <c r="AF52" s="9">
        <v>3935</v>
      </c>
      <c r="AG52" s="15">
        <v>2.3429129461688899E-2</v>
      </c>
      <c r="AH52" s="9">
        <v>3935</v>
      </c>
      <c r="AI52" s="15">
        <v>8.5327292010240793E-2</v>
      </c>
      <c r="AJ52" s="9">
        <v>3935</v>
      </c>
      <c r="AK52" s="15">
        <v>0.99910528986716796</v>
      </c>
      <c r="AL52" s="12">
        <v>3935</v>
      </c>
    </row>
    <row r="53" spans="1:38" x14ac:dyDescent="0.25">
      <c r="C53" s="16"/>
      <c r="E53" s="16"/>
      <c r="G53" s="16"/>
      <c r="I53" s="16"/>
      <c r="K53" s="16"/>
      <c r="M53" s="16"/>
      <c r="O53" s="16"/>
      <c r="Q53" s="16"/>
      <c r="S53" s="16"/>
      <c r="U53" s="16"/>
      <c r="W53" s="16"/>
      <c r="Y53" s="16"/>
      <c r="AA53" s="16"/>
      <c r="AC53" s="16"/>
      <c r="AE53" s="16"/>
      <c r="AG53" s="16"/>
      <c r="AI53" s="16"/>
      <c r="AK53" s="16"/>
    </row>
    <row r="54" spans="1:38" x14ac:dyDescent="0.25">
      <c r="A54" s="19" t="s">
        <v>52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  <c r="U54" s="20"/>
      <c r="V54" s="19"/>
      <c r="W54" s="20"/>
      <c r="X54" s="19"/>
      <c r="Y54" s="20"/>
      <c r="Z54" s="19"/>
      <c r="AA54" s="20"/>
      <c r="AB54" s="19"/>
      <c r="AC54" s="20"/>
      <c r="AD54" s="19"/>
      <c r="AE54" s="20"/>
      <c r="AF54" s="19"/>
      <c r="AG54" s="20"/>
      <c r="AH54" s="19"/>
      <c r="AI54" s="20"/>
      <c r="AJ54" s="19"/>
      <c r="AK54" s="20"/>
      <c r="AL54" s="19"/>
    </row>
    <row r="55" spans="1:38" outlineLevel="1" x14ac:dyDescent="0.25">
      <c r="A55" s="5" t="s">
        <v>14</v>
      </c>
      <c r="B55" s="8" t="s">
        <v>53</v>
      </c>
      <c r="C55" s="14">
        <v>0.115538575550596</v>
      </c>
      <c r="D55" s="8">
        <v>3274</v>
      </c>
      <c r="E55" s="14">
        <v>0.12950593900108301</v>
      </c>
      <c r="F55" s="8">
        <v>3274</v>
      </c>
      <c r="G55" s="14">
        <v>3.3168780742308002E-2</v>
      </c>
      <c r="H55" s="8">
        <v>3274</v>
      </c>
      <c r="I55" s="14">
        <v>9.7464269821424795E-2</v>
      </c>
      <c r="J55" s="8">
        <v>3274</v>
      </c>
      <c r="K55" s="14">
        <v>0.111191999607599</v>
      </c>
      <c r="L55" s="8">
        <v>3274</v>
      </c>
      <c r="M55" s="14">
        <v>0.99617561595967197</v>
      </c>
      <c r="N55" s="8">
        <v>3274</v>
      </c>
      <c r="O55" s="14">
        <v>0.123652561501187</v>
      </c>
      <c r="P55" s="8">
        <v>1623</v>
      </c>
      <c r="Q55" s="14">
        <v>0.13740068445999101</v>
      </c>
      <c r="R55" s="8">
        <v>1623</v>
      </c>
      <c r="S55" s="14">
        <v>3.6621450077441199E-2</v>
      </c>
      <c r="T55" s="8">
        <v>1623</v>
      </c>
      <c r="U55" s="14">
        <v>0.105900614687329</v>
      </c>
      <c r="V55" s="8">
        <v>1623</v>
      </c>
      <c r="W55" s="14">
        <v>0.105938327622951</v>
      </c>
      <c r="X55" s="8">
        <v>1623</v>
      </c>
      <c r="Y55" s="14">
        <v>0.99411286911267505</v>
      </c>
      <c r="Z55" s="8">
        <v>1623</v>
      </c>
      <c r="AA55" s="14">
        <v>0.10758719118226399</v>
      </c>
      <c r="AB55" s="8">
        <v>1651</v>
      </c>
      <c r="AC55" s="14">
        <v>0.12176940161783099</v>
      </c>
      <c r="AD55" s="8">
        <v>1651</v>
      </c>
      <c r="AE55" s="14">
        <v>2.97853017533652E-2</v>
      </c>
      <c r="AF55" s="8">
        <v>1651</v>
      </c>
      <c r="AG55" s="14">
        <v>8.9196986503324804E-2</v>
      </c>
      <c r="AH55" s="8">
        <v>1651</v>
      </c>
      <c r="AI55" s="14">
        <v>0.116340389751414</v>
      </c>
      <c r="AJ55" s="8">
        <v>1651</v>
      </c>
      <c r="AK55" s="14">
        <v>0.99819702604528304</v>
      </c>
      <c r="AL55" s="10">
        <v>1651</v>
      </c>
    </row>
    <row r="56" spans="1:38" outlineLevel="1" x14ac:dyDescent="0.25">
      <c r="A56" s="7" t="s">
        <v>14</v>
      </c>
      <c r="B56" s="9" t="s">
        <v>54</v>
      </c>
      <c r="C56" s="15"/>
      <c r="D56" s="9"/>
      <c r="E56" s="15">
        <v>9.8912591131296995E-3</v>
      </c>
      <c r="F56" s="9">
        <v>9288</v>
      </c>
      <c r="G56" s="15"/>
      <c r="H56" s="9"/>
      <c r="I56" s="15"/>
      <c r="J56" s="9"/>
      <c r="K56" s="15">
        <v>7.6039669646692995E-2</v>
      </c>
      <c r="L56" s="9">
        <v>9288</v>
      </c>
      <c r="M56" s="15">
        <v>0.99987659911782401</v>
      </c>
      <c r="N56" s="9">
        <v>9288</v>
      </c>
      <c r="O56" s="15"/>
      <c r="P56" s="9"/>
      <c r="Q56" s="15">
        <v>5.9696237235494299E-3</v>
      </c>
      <c r="R56" s="9">
        <v>4513</v>
      </c>
      <c r="S56" s="15"/>
      <c r="T56" s="9"/>
      <c r="U56" s="15"/>
      <c r="V56" s="9"/>
      <c r="W56" s="15">
        <v>6.4466632077468597E-2</v>
      </c>
      <c r="X56" s="9">
        <v>4513</v>
      </c>
      <c r="Y56" s="15">
        <v>1</v>
      </c>
      <c r="Z56" s="9">
        <v>4513</v>
      </c>
      <c r="AA56" s="15"/>
      <c r="AB56" s="9"/>
      <c r="AC56" s="15">
        <v>1.34372982555303E-2</v>
      </c>
      <c r="AD56" s="9">
        <v>4775</v>
      </c>
      <c r="AE56" s="15"/>
      <c r="AF56" s="9"/>
      <c r="AG56" s="15"/>
      <c r="AH56" s="9"/>
      <c r="AI56" s="15">
        <v>8.6504294768646101E-2</v>
      </c>
      <c r="AJ56" s="9">
        <v>4775</v>
      </c>
      <c r="AK56" s="15">
        <v>0.99976501700604303</v>
      </c>
      <c r="AL56" s="12">
        <v>4775</v>
      </c>
    </row>
    <row r="57" spans="1:38" x14ac:dyDescent="0.25">
      <c r="C57" s="16"/>
      <c r="E57" s="16"/>
      <c r="G57" s="16"/>
      <c r="I57" s="16"/>
      <c r="K57" s="16"/>
      <c r="M57" s="16"/>
      <c r="O57" s="16"/>
      <c r="Q57" s="16"/>
      <c r="S57" s="16"/>
      <c r="U57" s="16"/>
      <c r="W57" s="16"/>
      <c r="Y57" s="16"/>
      <c r="AA57" s="16"/>
      <c r="AC57" s="16"/>
      <c r="AE57" s="16"/>
      <c r="AG57" s="16"/>
      <c r="AI57" s="16"/>
      <c r="AK57" s="16"/>
    </row>
    <row r="58" spans="1:38" x14ac:dyDescent="0.25">
      <c r="A58" s="19" t="s">
        <v>55</v>
      </c>
      <c r="B58" s="19"/>
      <c r="C58" s="20"/>
      <c r="D58" s="19"/>
      <c r="E58" s="20"/>
      <c r="F58" s="19"/>
      <c r="G58" s="20"/>
      <c r="H58" s="19"/>
      <c r="I58" s="20"/>
      <c r="J58" s="19"/>
      <c r="K58" s="20"/>
      <c r="L58" s="19"/>
      <c r="M58" s="20"/>
      <c r="N58" s="19"/>
      <c r="O58" s="20"/>
      <c r="P58" s="19"/>
      <c r="Q58" s="20"/>
      <c r="R58" s="19"/>
      <c r="S58" s="20"/>
      <c r="T58" s="19"/>
      <c r="U58" s="20"/>
      <c r="V58" s="19"/>
      <c r="W58" s="20"/>
      <c r="X58" s="19"/>
      <c r="Y58" s="20"/>
      <c r="Z58" s="19"/>
      <c r="AA58" s="20"/>
      <c r="AB58" s="19"/>
      <c r="AC58" s="20"/>
      <c r="AD58" s="19"/>
      <c r="AE58" s="20"/>
      <c r="AF58" s="19"/>
      <c r="AG58" s="20"/>
      <c r="AH58" s="19"/>
      <c r="AI58" s="20"/>
      <c r="AJ58" s="19"/>
      <c r="AK58" s="20"/>
      <c r="AL58" s="19"/>
    </row>
    <row r="59" spans="1:38" outlineLevel="1" x14ac:dyDescent="0.25">
      <c r="A59" s="5" t="s">
        <v>14</v>
      </c>
      <c r="B59" s="8" t="s">
        <v>56</v>
      </c>
      <c r="C59" s="14">
        <v>3.2901803940760303E-2</v>
      </c>
      <c r="D59" s="8">
        <v>2000</v>
      </c>
      <c r="E59" s="14">
        <v>4.2275670799798201E-2</v>
      </c>
      <c r="F59" s="8">
        <v>2000</v>
      </c>
      <c r="G59" s="14">
        <v>7.75805824683667E-3</v>
      </c>
      <c r="H59" s="8">
        <v>2000</v>
      </c>
      <c r="I59" s="14">
        <v>3.0335612267572799E-2</v>
      </c>
      <c r="J59" s="8">
        <v>2000</v>
      </c>
      <c r="K59" s="14">
        <v>8.3370870539896599E-2</v>
      </c>
      <c r="L59" s="8">
        <v>2000</v>
      </c>
      <c r="M59" s="14">
        <v>0.99908960611997799</v>
      </c>
      <c r="N59" s="8">
        <v>2000</v>
      </c>
      <c r="O59" s="14">
        <v>4.1121747706950998E-2</v>
      </c>
      <c r="P59" s="8">
        <v>994</v>
      </c>
      <c r="Q59" s="14">
        <v>4.43265123080945E-2</v>
      </c>
      <c r="R59" s="8">
        <v>994</v>
      </c>
      <c r="S59" s="14">
        <v>1.1862846370037599E-2</v>
      </c>
      <c r="T59" s="8">
        <v>994</v>
      </c>
      <c r="U59" s="14">
        <v>3.7640121164516198E-2</v>
      </c>
      <c r="V59" s="8">
        <v>994</v>
      </c>
      <c r="W59" s="14">
        <v>5.9967034083541197E-2</v>
      </c>
      <c r="X59" s="8">
        <v>994</v>
      </c>
      <c r="Y59" s="14">
        <v>0.99840711473687505</v>
      </c>
      <c r="Z59" s="8">
        <v>994</v>
      </c>
      <c r="AA59" s="14">
        <v>2.4919236281607901E-2</v>
      </c>
      <c r="AB59" s="8">
        <v>1006</v>
      </c>
      <c r="AC59" s="14">
        <v>4.0284053635030098E-2</v>
      </c>
      <c r="AD59" s="8">
        <v>1006</v>
      </c>
      <c r="AE59" s="14">
        <v>3.7718084801766499E-3</v>
      </c>
      <c r="AF59" s="8">
        <v>1006</v>
      </c>
      <c r="AG59" s="14">
        <v>2.3242043485927299E-2</v>
      </c>
      <c r="AH59" s="8">
        <v>1006</v>
      </c>
      <c r="AI59" s="14">
        <v>0.10609884938143201</v>
      </c>
      <c r="AJ59" s="8">
        <v>1006</v>
      </c>
      <c r="AK59" s="14">
        <v>0.99975238846951497</v>
      </c>
      <c r="AL59" s="10">
        <v>1006</v>
      </c>
    </row>
    <row r="60" spans="1:38" outlineLevel="1" x14ac:dyDescent="0.25">
      <c r="A60" s="6" t="s">
        <v>14</v>
      </c>
      <c r="B60" t="s">
        <v>57</v>
      </c>
      <c r="C60" s="16">
        <v>2.958565017443E-2</v>
      </c>
      <c r="D60">
        <v>7512</v>
      </c>
      <c r="E60" s="16">
        <v>4.1242176776921699E-2</v>
      </c>
      <c r="F60">
        <v>7512</v>
      </c>
      <c r="G60" s="16">
        <v>7.31219947388976E-3</v>
      </c>
      <c r="H60">
        <v>7512</v>
      </c>
      <c r="I60" s="16">
        <v>2.58405112816502E-2</v>
      </c>
      <c r="J60">
        <v>7512</v>
      </c>
      <c r="K60" s="16">
        <v>9.08669281865742E-2</v>
      </c>
      <c r="L60">
        <v>7512</v>
      </c>
      <c r="M60" s="16">
        <v>0.99903428510432302</v>
      </c>
      <c r="N60">
        <v>7512</v>
      </c>
      <c r="O60" s="16">
        <v>2.98926144697374E-2</v>
      </c>
      <c r="P60">
        <v>3670</v>
      </c>
      <c r="Q60" s="16">
        <v>3.91062203090181E-2</v>
      </c>
      <c r="R60">
        <v>3670</v>
      </c>
      <c r="S60" s="16">
        <v>6.0986208292337103E-3</v>
      </c>
      <c r="T60">
        <v>3670</v>
      </c>
      <c r="U60" s="16">
        <v>2.7193476057075699E-2</v>
      </c>
      <c r="V60">
        <v>3670</v>
      </c>
      <c r="W60" s="16">
        <v>8.6267692577018801E-2</v>
      </c>
      <c r="X60">
        <v>3670</v>
      </c>
      <c r="Y60" s="16">
        <v>0.99936412332740499</v>
      </c>
      <c r="Z60">
        <v>3670</v>
      </c>
      <c r="AA60" s="16">
        <v>2.9300723146244802E-2</v>
      </c>
      <c r="AB60">
        <v>3842</v>
      </c>
      <c r="AC60" s="16">
        <v>4.3224790839978801E-2</v>
      </c>
      <c r="AD60">
        <v>3842</v>
      </c>
      <c r="AE60" s="16">
        <v>8.4386541201693401E-3</v>
      </c>
      <c r="AF60">
        <v>3842</v>
      </c>
      <c r="AG60" s="16">
        <v>2.45846771713173E-2</v>
      </c>
      <c r="AH60">
        <v>3842</v>
      </c>
      <c r="AI60" s="16">
        <v>9.5135980171405801E-2</v>
      </c>
      <c r="AJ60">
        <v>3842</v>
      </c>
      <c r="AK60" s="16">
        <v>0.99872812629001895</v>
      </c>
      <c r="AL60" s="11">
        <v>3842</v>
      </c>
    </row>
    <row r="61" spans="1:38" outlineLevel="1" x14ac:dyDescent="0.25">
      <c r="A61" s="7" t="s">
        <v>14</v>
      </c>
      <c r="B61" s="9" t="s">
        <v>58</v>
      </c>
      <c r="C61" s="15">
        <v>2.56018240913971E-2</v>
      </c>
      <c r="D61" s="9">
        <v>3050</v>
      </c>
      <c r="E61" s="15">
        <v>3.70758429217833E-2</v>
      </c>
      <c r="F61" s="9">
        <v>3050</v>
      </c>
      <c r="G61" s="15">
        <v>1.02808223863773E-2</v>
      </c>
      <c r="H61" s="9">
        <v>3050</v>
      </c>
      <c r="I61" s="15">
        <v>1.8202586961017401E-2</v>
      </c>
      <c r="J61" s="9">
        <v>3050</v>
      </c>
      <c r="K61" s="15">
        <v>7.9403796215087002E-2</v>
      </c>
      <c r="L61" s="9">
        <v>3050</v>
      </c>
      <c r="M61" s="15">
        <v>0.99868888750782203</v>
      </c>
      <c r="N61" s="9">
        <v>3050</v>
      </c>
      <c r="O61" s="15">
        <v>2.6766817461113E-2</v>
      </c>
      <c r="P61" s="9">
        <v>1472</v>
      </c>
      <c r="Q61" s="15">
        <v>3.79139053747648E-2</v>
      </c>
      <c r="R61" s="9">
        <v>1472</v>
      </c>
      <c r="S61" s="15">
        <v>1.15813560580139E-2</v>
      </c>
      <c r="T61" s="9">
        <v>1472</v>
      </c>
      <c r="U61" s="15">
        <v>1.8656045721723101E-2</v>
      </c>
      <c r="V61" s="9">
        <v>1472</v>
      </c>
      <c r="W61" s="15">
        <v>7.6732160843390296E-2</v>
      </c>
      <c r="X61" s="9">
        <v>1472</v>
      </c>
      <c r="Y61" s="15">
        <v>0.997416828430157</v>
      </c>
      <c r="Z61" s="9">
        <v>1472</v>
      </c>
      <c r="AA61" s="15">
        <v>2.45825998806233E-2</v>
      </c>
      <c r="AB61" s="9">
        <v>1578</v>
      </c>
      <c r="AC61" s="15">
        <v>3.6342642575392103E-2</v>
      </c>
      <c r="AD61" s="9">
        <v>1578</v>
      </c>
      <c r="AE61" s="15">
        <v>9.1430172799139998E-3</v>
      </c>
      <c r="AF61" s="9">
        <v>1578</v>
      </c>
      <c r="AG61" s="15">
        <v>1.7805866980017501E-2</v>
      </c>
      <c r="AH61" s="9">
        <v>1578</v>
      </c>
      <c r="AI61" s="15">
        <v>8.1741144670432295E-2</v>
      </c>
      <c r="AJ61" s="9">
        <v>1578</v>
      </c>
      <c r="AK61" s="15">
        <v>0.99980178088832705</v>
      </c>
      <c r="AL61" s="12">
        <v>1578</v>
      </c>
    </row>
    <row r="62" spans="1:38" x14ac:dyDescent="0.25">
      <c r="C62" s="16"/>
      <c r="E62" s="16"/>
      <c r="G62" s="16"/>
      <c r="I62" s="16"/>
      <c r="K62" s="16"/>
      <c r="M62" s="16"/>
      <c r="O62" s="16"/>
      <c r="Q62" s="16"/>
      <c r="S62" s="16"/>
      <c r="U62" s="16"/>
      <c r="W62" s="16"/>
      <c r="Y62" s="16"/>
      <c r="AA62" s="16"/>
      <c r="AC62" s="16"/>
      <c r="AE62" s="16"/>
      <c r="AG62" s="16"/>
      <c r="AI62" s="16"/>
      <c r="AK62" s="16"/>
    </row>
    <row r="63" spans="1:38" x14ac:dyDescent="0.25">
      <c r="A63" s="19" t="s">
        <v>59</v>
      </c>
      <c r="B63" s="19"/>
      <c r="C63" s="20"/>
      <c r="D63" s="19"/>
      <c r="E63" s="20"/>
      <c r="F63" s="19"/>
      <c r="G63" s="20"/>
      <c r="H63" s="19"/>
      <c r="I63" s="20"/>
      <c r="J63" s="19"/>
      <c r="K63" s="20"/>
      <c r="L63" s="19"/>
      <c r="M63" s="20"/>
      <c r="N63" s="19"/>
      <c r="O63" s="20"/>
      <c r="P63" s="19"/>
      <c r="Q63" s="20"/>
      <c r="R63" s="19"/>
      <c r="S63" s="20"/>
      <c r="T63" s="19"/>
      <c r="U63" s="20"/>
      <c r="V63" s="19"/>
      <c r="W63" s="20"/>
      <c r="X63" s="19"/>
      <c r="Y63" s="20"/>
      <c r="Z63" s="19"/>
      <c r="AA63" s="20"/>
      <c r="AB63" s="19"/>
      <c r="AC63" s="20"/>
      <c r="AD63" s="19"/>
      <c r="AE63" s="20"/>
      <c r="AF63" s="19"/>
      <c r="AG63" s="20"/>
      <c r="AH63" s="19"/>
      <c r="AI63" s="20"/>
      <c r="AJ63" s="19"/>
      <c r="AK63" s="20"/>
      <c r="AL63" s="19"/>
    </row>
    <row r="64" spans="1:38" outlineLevel="1" x14ac:dyDescent="0.25">
      <c r="A64" s="5" t="s">
        <v>14</v>
      </c>
      <c r="B64" s="8" t="s">
        <v>60</v>
      </c>
      <c r="C64" s="14">
        <v>3.1063828911966799E-2</v>
      </c>
      <c r="D64" s="8">
        <v>4707</v>
      </c>
      <c r="E64" s="14">
        <v>4.10326658005176E-2</v>
      </c>
      <c r="F64" s="8">
        <v>4707</v>
      </c>
      <c r="G64" s="14">
        <v>9.0275944053304791E-3</v>
      </c>
      <c r="H64" s="8">
        <v>4707</v>
      </c>
      <c r="I64" s="14">
        <v>2.5730390580623801E-2</v>
      </c>
      <c r="J64" s="8">
        <v>4707</v>
      </c>
      <c r="K64" s="14">
        <v>8.7755859938335401E-2</v>
      </c>
      <c r="L64" s="8">
        <v>4707</v>
      </c>
      <c r="M64" s="14">
        <v>0.99929603423485103</v>
      </c>
      <c r="N64" s="8">
        <v>4707</v>
      </c>
      <c r="O64" s="14">
        <v>3.8904125484539601E-2</v>
      </c>
      <c r="P64" s="8">
        <v>2275</v>
      </c>
      <c r="Q64" s="14">
        <v>4.5872946229141197E-2</v>
      </c>
      <c r="R64" s="8">
        <v>2275</v>
      </c>
      <c r="S64" s="14">
        <v>1.4175199341651901E-2</v>
      </c>
      <c r="T64" s="8">
        <v>2275</v>
      </c>
      <c r="U64" s="14">
        <v>3.08019665209729E-2</v>
      </c>
      <c r="V64" s="8">
        <v>2275</v>
      </c>
      <c r="W64" s="14">
        <v>7.3384739465635396E-2</v>
      </c>
      <c r="X64" s="8">
        <v>2275</v>
      </c>
      <c r="Y64" s="14">
        <v>0.99894758166616304</v>
      </c>
      <c r="Z64" s="8">
        <v>2275</v>
      </c>
      <c r="AA64" s="14">
        <v>2.3643135745511201E-2</v>
      </c>
      <c r="AB64" s="8">
        <v>2432</v>
      </c>
      <c r="AC64" s="14">
        <v>3.6451431459706397E-2</v>
      </c>
      <c r="AD64" s="8">
        <v>2432</v>
      </c>
      <c r="AE64" s="14">
        <v>4.1554832012464802E-3</v>
      </c>
      <c r="AF64" s="8">
        <v>2432</v>
      </c>
      <c r="AG64" s="14">
        <v>2.0930239390506401E-2</v>
      </c>
      <c r="AH64" s="8">
        <v>2432</v>
      </c>
      <c r="AI64" s="14">
        <v>0.101357855028564</v>
      </c>
      <c r="AJ64" s="8">
        <v>2432</v>
      </c>
      <c r="AK64" s="14">
        <v>0.99962583803389904</v>
      </c>
      <c r="AL64" s="10">
        <v>2432</v>
      </c>
    </row>
    <row r="65" spans="1:38" outlineLevel="1" x14ac:dyDescent="0.25">
      <c r="A65" s="6" t="s">
        <v>14</v>
      </c>
      <c r="B65" t="s">
        <v>61</v>
      </c>
      <c r="C65" s="16">
        <v>2.6242852432215798E-2</v>
      </c>
      <c r="D65">
        <v>31</v>
      </c>
      <c r="E65" s="16">
        <v>8.2934231535331596E-2</v>
      </c>
      <c r="F65">
        <v>31</v>
      </c>
      <c r="G65" s="16"/>
      <c r="I65" s="16">
        <v>2.6242852432215798E-2</v>
      </c>
      <c r="J65">
        <v>31</v>
      </c>
      <c r="K65" s="16">
        <v>0.31854445308287699</v>
      </c>
      <c r="L65">
        <v>31</v>
      </c>
      <c r="M65" s="16">
        <v>1</v>
      </c>
      <c r="N65">
        <v>31</v>
      </c>
      <c r="O65" s="16">
        <v>6.4900788009756502E-2</v>
      </c>
      <c r="P65">
        <v>15</v>
      </c>
      <c r="Q65" s="16">
        <v>6.4900788009756502E-2</v>
      </c>
      <c r="R65">
        <v>15</v>
      </c>
      <c r="S65" s="16"/>
      <c r="U65" s="16">
        <v>6.4900788009756502E-2</v>
      </c>
      <c r="V65">
        <v>15</v>
      </c>
      <c r="W65" s="16">
        <v>0.29443227951385798</v>
      </c>
      <c r="X65">
        <v>15</v>
      </c>
      <c r="Y65" s="16">
        <v>1</v>
      </c>
      <c r="Z65">
        <v>15</v>
      </c>
      <c r="AA65" s="16"/>
      <c r="AC65" s="16">
        <v>9.5176194025467994E-2</v>
      </c>
      <c r="AD65">
        <v>16</v>
      </c>
      <c r="AE65" s="16"/>
      <c r="AG65" s="16"/>
      <c r="AI65" s="16">
        <v>0.33491294776160901</v>
      </c>
      <c r="AJ65">
        <v>16</v>
      </c>
      <c r="AK65" s="16">
        <v>1</v>
      </c>
      <c r="AL65" s="11">
        <v>16</v>
      </c>
    </row>
    <row r="66" spans="1:38" outlineLevel="1" x14ac:dyDescent="0.25">
      <c r="A66" s="6" t="s">
        <v>14</v>
      </c>
      <c r="B66" t="s">
        <v>62</v>
      </c>
      <c r="C66" s="16">
        <v>1.7125542645332201E-2</v>
      </c>
      <c r="D66">
        <v>42</v>
      </c>
      <c r="E66" s="16">
        <v>1.7125542645332201E-2</v>
      </c>
      <c r="F66">
        <v>42</v>
      </c>
      <c r="G66" s="16"/>
      <c r="I66" s="16">
        <v>1.7125542645332201E-2</v>
      </c>
      <c r="J66">
        <v>42</v>
      </c>
      <c r="K66" s="16">
        <v>0.105102188654194</v>
      </c>
      <c r="L66">
        <v>42</v>
      </c>
      <c r="M66" s="16">
        <v>1</v>
      </c>
      <c r="N66">
        <v>42</v>
      </c>
      <c r="O66" s="16">
        <v>6.9186616985629404E-2</v>
      </c>
      <c r="P66">
        <v>15</v>
      </c>
      <c r="Q66" s="16">
        <v>6.9186616985629404E-2</v>
      </c>
      <c r="R66">
        <v>15</v>
      </c>
      <c r="S66" s="16"/>
      <c r="U66" s="16">
        <v>6.9186616985629404E-2</v>
      </c>
      <c r="V66">
        <v>15</v>
      </c>
      <c r="W66" s="16">
        <v>0.128338607130981</v>
      </c>
      <c r="X66">
        <v>15</v>
      </c>
      <c r="Y66" s="16">
        <v>1</v>
      </c>
      <c r="Z66">
        <v>15</v>
      </c>
      <c r="AA66" s="16"/>
      <c r="AC66" s="16"/>
      <c r="AE66" s="16"/>
      <c r="AG66" s="16"/>
      <c r="AI66" s="16">
        <v>9.7458545479488803E-2</v>
      </c>
      <c r="AJ66">
        <v>27</v>
      </c>
      <c r="AK66" s="16">
        <v>1</v>
      </c>
      <c r="AL66" s="11">
        <v>27</v>
      </c>
    </row>
    <row r="67" spans="1:38" outlineLevel="1" x14ac:dyDescent="0.25">
      <c r="A67" s="6" t="s">
        <v>14</v>
      </c>
      <c r="B67" t="s">
        <v>64</v>
      </c>
      <c r="C67" s="16">
        <v>2.75403445149589E-2</v>
      </c>
      <c r="D67">
        <v>7753</v>
      </c>
      <c r="E67" s="16">
        <v>3.9489441259660099E-2</v>
      </c>
      <c r="F67">
        <v>7753</v>
      </c>
      <c r="G67" s="16">
        <v>7.84684448990749E-3</v>
      </c>
      <c r="H67">
        <v>7753</v>
      </c>
      <c r="I67" s="16">
        <v>2.37151358286797E-2</v>
      </c>
      <c r="J67">
        <v>7753</v>
      </c>
      <c r="K67" s="16">
        <v>8.1350713909128999E-2</v>
      </c>
      <c r="L67">
        <v>7753</v>
      </c>
      <c r="M67" s="16">
        <v>0.99853486066782404</v>
      </c>
      <c r="N67">
        <v>7753</v>
      </c>
      <c r="O67" s="16">
        <v>2.48595659529325E-2</v>
      </c>
      <c r="P67">
        <v>3818</v>
      </c>
      <c r="Q67" s="16">
        <v>3.4095842386333897E-2</v>
      </c>
      <c r="R67">
        <v>3818</v>
      </c>
      <c r="S67" s="16">
        <v>4.5374243786023404E-3</v>
      </c>
      <c r="T67">
        <v>3818</v>
      </c>
      <c r="U67" s="16">
        <v>2.4031188463351099E-2</v>
      </c>
      <c r="V67">
        <v>3818</v>
      </c>
      <c r="W67" s="16">
        <v>7.6956378219834407E-2</v>
      </c>
      <c r="X67">
        <v>3818</v>
      </c>
      <c r="Y67" s="16">
        <v>0.99790450529062202</v>
      </c>
      <c r="Z67">
        <v>3818</v>
      </c>
      <c r="AA67" s="16">
        <v>2.9966268722263999E-2</v>
      </c>
      <c r="AB67">
        <v>3935</v>
      </c>
      <c r="AC67" s="16">
        <v>4.4370285301252498E-2</v>
      </c>
      <c r="AD67">
        <v>3935</v>
      </c>
      <c r="AE67" s="16">
        <v>1.0841646997612E-2</v>
      </c>
      <c r="AF67">
        <v>3935</v>
      </c>
      <c r="AG67" s="16">
        <v>2.3429129461688899E-2</v>
      </c>
      <c r="AH67">
        <v>3935</v>
      </c>
      <c r="AI67" s="16">
        <v>8.5327292010240793E-2</v>
      </c>
      <c r="AJ67">
        <v>3935</v>
      </c>
      <c r="AK67" s="16">
        <v>0.99910528986716796</v>
      </c>
      <c r="AL67" s="11">
        <v>3935</v>
      </c>
    </row>
    <row r="68" spans="1:38" outlineLevel="1" x14ac:dyDescent="0.25">
      <c r="A68" s="7" t="s">
        <v>14</v>
      </c>
      <c r="B68" s="9" t="s">
        <v>63</v>
      </c>
      <c r="C68" s="15"/>
      <c r="D68" s="9"/>
      <c r="E68" s="15"/>
      <c r="F68" s="9"/>
      <c r="G68" s="15"/>
      <c r="H68" s="9"/>
      <c r="I68" s="15"/>
      <c r="J68" s="9"/>
      <c r="K68" s="15"/>
      <c r="L68" s="9"/>
      <c r="M68" s="15">
        <v>1</v>
      </c>
      <c r="N68" s="9">
        <v>29</v>
      </c>
      <c r="O68" s="15"/>
      <c r="P68" s="9"/>
      <c r="Q68" s="15"/>
      <c r="R68" s="9"/>
      <c r="S68" s="15"/>
      <c r="T68" s="9"/>
      <c r="U68" s="15"/>
      <c r="V68" s="9"/>
      <c r="W68" s="15"/>
      <c r="X68" s="9"/>
      <c r="Y68" s="15">
        <v>1</v>
      </c>
      <c r="Z68" s="9">
        <v>13</v>
      </c>
      <c r="AA68" s="15"/>
      <c r="AB68" s="9"/>
      <c r="AC68" s="15"/>
      <c r="AD68" s="9"/>
      <c r="AE68" s="15"/>
      <c r="AF68" s="9"/>
      <c r="AG68" s="15"/>
      <c r="AH68" s="9"/>
      <c r="AI68" s="15"/>
      <c r="AJ68" s="9"/>
      <c r="AK68" s="15">
        <v>1</v>
      </c>
      <c r="AL68" s="12">
        <v>16</v>
      </c>
    </row>
    <row r="69" spans="1:38" x14ac:dyDescent="0.25">
      <c r="C69" s="16"/>
      <c r="E69" s="16"/>
      <c r="G69" s="16"/>
      <c r="I69" s="16"/>
      <c r="K69" s="16"/>
      <c r="M69" s="16"/>
      <c r="O69" s="16"/>
      <c r="Q69" s="16"/>
      <c r="S69" s="16"/>
      <c r="U69" s="16"/>
      <c r="W69" s="16"/>
      <c r="Y69" s="16"/>
      <c r="AA69" s="16"/>
      <c r="AC69" s="16"/>
      <c r="AE69" s="16"/>
      <c r="AG69" s="16"/>
      <c r="AI69" s="16"/>
      <c r="AK69" s="16"/>
    </row>
    <row r="70" spans="1:38" x14ac:dyDescent="0.25">
      <c r="C70" s="16"/>
      <c r="E70" s="16"/>
      <c r="G70" s="16"/>
      <c r="I70" s="16"/>
      <c r="K70" s="16"/>
      <c r="M70" s="16"/>
      <c r="O70" s="16"/>
      <c r="Q70" s="16"/>
      <c r="S70" s="16"/>
      <c r="U70" s="16"/>
      <c r="W70" s="16"/>
      <c r="Y70" s="16"/>
      <c r="AA70" s="16"/>
      <c r="AC70" s="16"/>
      <c r="AE70" s="16"/>
      <c r="AG70" s="16"/>
      <c r="AI70" s="16"/>
      <c r="AK70" s="16"/>
    </row>
  </sheetData>
  <mergeCells count="34">
    <mergeCell ref="A58:AL58"/>
    <mergeCell ref="A63:AL63"/>
    <mergeCell ref="A15:AL15"/>
    <mergeCell ref="A19:AL19"/>
    <mergeCell ref="A26:AL26"/>
    <mergeCell ref="A49:AL49"/>
    <mergeCell ref="A54:AL54"/>
    <mergeCell ref="AI4:AJ4"/>
    <mergeCell ref="AK4:AL4"/>
    <mergeCell ref="AA4:AB4"/>
    <mergeCell ref="A6:AL6"/>
    <mergeCell ref="A9:AL9"/>
    <mergeCell ref="Y4:Z4"/>
    <mergeCell ref="O4:P4"/>
    <mergeCell ref="AC4:AD4"/>
    <mergeCell ref="AE4:AF4"/>
    <mergeCell ref="AG4:AH4"/>
    <mergeCell ref="C4:D4"/>
    <mergeCell ref="Q4:R4"/>
    <mergeCell ref="S4:T4"/>
    <mergeCell ref="U4:V4"/>
    <mergeCell ref="W4:X4"/>
    <mergeCell ref="E4:F4"/>
    <mergeCell ref="G4:H4"/>
    <mergeCell ref="I4:J4"/>
    <mergeCell ref="K4:L4"/>
    <mergeCell ref="M4:N4"/>
    <mergeCell ref="A1:AL1"/>
    <mergeCell ref="C2:N2"/>
    <mergeCell ref="O2:Z2"/>
    <mergeCell ref="AA2:AL2"/>
    <mergeCell ref="E3:N3"/>
    <mergeCell ref="Q3:Z3"/>
    <mergeCell ref="AC3:AL3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Table_of_content</vt:lpstr>
      <vt:lpstr>access</vt:lpstr>
      <vt:lpstr>overaged</vt:lpstr>
      <vt:lpstr>out_of_school</vt:lpstr>
      <vt:lpstr>ece</vt:lpstr>
      <vt:lpstr>level1</vt:lpstr>
      <vt:lpstr>level2</vt:lpstr>
      <vt:lpstr>level3</vt:lpstr>
      <vt:lpstr>non_formal</vt:lpstr>
      <vt:lpstr>wgq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education_results</dc:creator>
  <cp:lastModifiedBy>Martina VIT</cp:lastModifiedBy>
  <dcterms:created xsi:type="dcterms:W3CDTF">2024-11-05T11:30:48Z</dcterms:created>
  <dcterms:modified xsi:type="dcterms:W3CDTF">2024-11-05T10:54:06Z</dcterms:modified>
</cp:coreProperties>
</file>