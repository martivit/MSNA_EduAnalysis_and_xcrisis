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of_content" sheetId="1" state="visible" r:id="rId1"/>
    <sheet name="access" sheetId="2" state="visible" r:id="rId2"/>
    <sheet name="overaged" sheetId="3" state="visible" r:id="rId3"/>
    <sheet name="out_of_school" sheetId="4" state="visible" r:id="rId4"/>
    <sheet name="ece" sheetId="5" state="visible" r:id="rId5"/>
    <sheet name="level1" sheetId="6" state="visible" r:id="rId6"/>
    <sheet name="level2" sheetId="7" state="visible" r:id="rId7"/>
    <sheet name="level3" sheetId="8" state="visible" r:id="rId8"/>
    <sheet name="non_formal" sheetId="9" state="visible" r:id="rId9"/>
    <sheet name="wgq" sheetId="10" state="visible" r:id="rId10"/>
  </sheets>
</workbook>
</file>

<file path=xl/sharedStrings.xml><?xml version="1.0" encoding="utf-8"?>
<sst xmlns="http://schemas.openxmlformats.org/spreadsheetml/2006/main" count="101" uniqueCount="101">
  <si>
    <t xml:space="preserve">Table of Content</t>
  </si>
  <si>
    <t xml:space="preserve">Analysis of Children Accessing Education</t>
  </si>
  <si>
    <t xml:space="preserve">Overall</t>
  </si>
  <si>
    <t xml:space="preserve">Girls</t>
  </si>
  <si>
    <t xml:space="preserve">Boys</t>
  </si>
  <si>
    <t xml:space="preserve">Disruptions</t>
  </si>
  <si>
    <t xml:space="preserve">% of school-aged children whose education was disrupted due to teacher's absence</t>
  </si>
  <si>
    <t xml:space="preserve">% of school-aged children whose education was disrupted due to natural hazards</t>
  </si>
  <si>
    <t xml:space="preserve">% of school-aged children whose education was disrupted due to the school being occupied by displaced persons</t>
  </si>
  <si>
    <t xml:space="preserve">Access</t>
  </si>
  <si>
    <t xml:space="preserve">label_group_var</t>
  </si>
  <si>
    <t xml:space="preserve">label_group_var_value</t>
  </si>
  <si>
    <t xml:space="preserve">stat</t>
  </si>
  <si>
    <t xml:space="preserve">n_total</t>
  </si>
  <si>
    <t xml:space="preserve"/>
  </si>
  <si>
    <t xml:space="preserve">Age-Assigned School Cycle</t>
  </si>
  <si>
    <t xml:space="preserve">ECE – 5 years old</t>
  </si>
  <si>
    <t xml:space="preserve">primary – 6 to 11 years old</t>
  </si>
  <si>
    <t xml:space="preserve">lower secondary – 12 to 14 years old</t>
  </si>
  <si>
    <t xml:space="preserve">upper secondary – 15 to 17 years old</t>
  </si>
  <si>
    <t xml:space="preserve">1.8 Governorate:</t>
  </si>
  <si>
    <t xml:space="preserve">SY02-Aleppo</t>
  </si>
  <si>
    <t xml:space="preserve">SY07-Idleb</t>
  </si>
  <si>
    <t xml:space="preserve">SY08-Al-Hasakeh</t>
  </si>
  <si>
    <t xml:space="preserve">SY09-Deir-ez-Zor</t>
  </si>
  <si>
    <t xml:space="preserve">SY11-Ar-Raqqa</t>
  </si>
  <si>
    <t xml:space="preserve">1.9 District:</t>
  </si>
  <si>
    <t xml:space="preserve">SY0200-Jebel Saman</t>
  </si>
  <si>
    <t xml:space="preserve">SY0202-Al Bab</t>
  </si>
  <si>
    <t xml:space="preserve">SY0203-Afrin</t>
  </si>
  <si>
    <t xml:space="preserve">SY0204-A'zaz</t>
  </si>
  <si>
    <t xml:space="preserve">SY0205-Menbij</t>
  </si>
  <si>
    <t xml:space="preserve">SY0206-Ain Al Arab</t>
  </si>
  <si>
    <t xml:space="preserve">SY0208-Jarablus</t>
  </si>
  <si>
    <t xml:space="preserve">SY0700-Idleb</t>
  </si>
  <si>
    <t xml:space="preserve">SY0703-Harim</t>
  </si>
  <si>
    <t xml:space="preserve">SY0704-Jisr-Ash-Shugur</t>
  </si>
  <si>
    <t xml:space="preserve">SY0705-Ariha</t>
  </si>
  <si>
    <t xml:space="preserve">SY0800-Al-Hasakeh</t>
  </si>
  <si>
    <t xml:space="preserve">SY0802-Quamishli</t>
  </si>
  <si>
    <t xml:space="preserve">SY0803-Al-Malikeyyeh</t>
  </si>
  <si>
    <t xml:space="preserve">SY0804-Ras Al Ain</t>
  </si>
  <si>
    <t xml:space="preserve">SY0901-Deir-ez-Zor</t>
  </si>
  <si>
    <t xml:space="preserve">SY0902-Abu Kamal</t>
  </si>
  <si>
    <t xml:space="preserve">SY0903-Al Mayadin</t>
  </si>
  <si>
    <t xml:space="preserve">SY1101-Ar-Raqqa</t>
  </si>
  <si>
    <t xml:space="preserve">SY1102-Tell Abiad</t>
  </si>
  <si>
    <t xml:space="preserve">SY1103-Ath-Thawrah</t>
  </si>
  <si>
    <t xml:space="preserve">population_group</t>
  </si>
  <si>
    <t xml:space="preserve">IDP in</t>
  </si>
  <si>
    <t xml:space="preserve">IDP out</t>
  </si>
  <si>
    <t xml:space="preserve">Resident</t>
  </si>
  <si>
    <t xml:space="preserve">household_disability</t>
  </si>
  <si>
    <t xml:space="preserve">Disability reported</t>
  </si>
  <si>
    <t xml:space="preserve">No disability reported</t>
  </si>
  <si>
    <t xml:space="preserve">3.6 Do you live in a in a rural area, urban or peri-urban, or camp like setting?</t>
  </si>
  <si>
    <t xml:space="preserve">Formal or non-formal camp or site setting</t>
  </si>
  <si>
    <t xml:space="preserve">Rural</t>
  </si>
  <si>
    <t xml:space="preserve">Urban or Peri-Urban</t>
  </si>
  <si>
    <t xml:space="preserve">idp_year_displacement</t>
  </si>
  <si>
    <t xml:space="preserve">IDPs 2020 and before</t>
  </si>
  <si>
    <t xml:space="preserve">IDPs 2021</t>
  </si>
  <si>
    <t xml:space="preserve">IDPs 2022</t>
  </si>
  <si>
    <t xml:space="preserve">IDPs 2024-2023</t>
  </si>
  <si>
    <t xml:space="preserve">NA</t>
  </si>
  <si>
    <t xml:space="preserve">% of school-aged children with disability 3 -  the level of inclusion is any 1 domain/question is coded A LOT OF DIFFICULTY or CANNOT DO AT ALL</t>
  </si>
  <si>
    <t xml:space="preserve">0</t>
  </si>
  <si>
    <t xml:space="preserve">1</t>
  </si>
  <si>
    <t xml:space="preserve">% of school-aged children with disability 2 -  the level of inclusion is at least 2 domains/questions are coded SOME DIFFICULTY or any 1 domain/question is coded</t>
  </si>
  <si>
    <t xml:space="preserve">Analysis of overaged learners</t>
  </si>
  <si>
    <t xml:space="preserve">Overaged learners</t>
  </si>
  <si>
    <t xml:space="preserve">% of school-aged children attending primary school who are at least 2 years above the intended age for their grade</t>
  </si>
  <si>
    <t xml:space="preserve">% of school-aged children attending secondary school who are at least 2 years above the intended age for their grade</t>
  </si>
  <si>
    <t xml:space="preserve">Analysis of Children Not Accessing Education, OoS</t>
  </si>
  <si>
    <t xml:space="preserve">Barriers</t>
  </si>
  <si>
    <t xml:space="preserve">Cannot afford the direct costs of education</t>
  </si>
  <si>
    <t xml:space="preserve">Child participating in income generating activities outside of the home</t>
  </si>
  <si>
    <t xml:space="preserve">Lack of appropriate and accessible school</t>
  </si>
  <si>
    <t xml:space="preserve">The child's disability or health issues prevents them from accessing school</t>
  </si>
  <si>
    <t xml:space="preserve">There is a lack of interest/Education is not a priority either for the child or the household</t>
  </si>
  <si>
    <t xml:space="preserve">other</t>
  </si>
  <si>
    <t xml:space="preserve">% of OoS children</t>
  </si>
  <si>
    <t xml:space="preserve">Early childhood education and early enrolment</t>
  </si>
  <si>
    <t xml:space="preserve">School Attendance Profile</t>
  </si>
  <si>
    <t xml:space="preserve">% of children one year before primary school entry age attending early childhood education or primary school.</t>
  </si>
  <si>
    <t xml:space="preserve">% of children one year before primary school entry age attending primary school.</t>
  </si>
  <si>
    <t xml:space="preserve">School Attendance Profile: primary</t>
  </si>
  <si>
    <t xml:space="preserve">% of school-aged children of primary school age currently attending primary or higher</t>
  </si>
  <si>
    <t xml:space="preserve">School Attendance Profile: intermediate -- secondary</t>
  </si>
  <si>
    <t xml:space="preserve">% of school-aged children of intermediate school level age currently attending intermediate school level or higher</t>
  </si>
  <si>
    <t xml:space="preserve">School Attendance Profile: secondary</t>
  </si>
  <si>
    <t xml:space="preserve">% of school-aged children of  secondary school age currently attending secondary school or higher</t>
  </si>
  <si>
    <t xml:space="preserve">Analysis of Children Not Accessing Education and following non-formal programs</t>
  </si>
  <si>
    <t xml:space="preserve">non-formal</t>
  </si>
  <si>
    <t xml:space="preserve">WGQ</t>
  </si>
  <si>
    <t xml:space="preserve">other WGQ parameters</t>
  </si>
  <si>
    <t xml:space="preserve">cannot do at all -- % of school-aged children with at least one of WG-SS component is at level 'cannot do at all'</t>
  </si>
  <si>
    <t xml:space="preserve">a lot of difficulty -- % of school-aged children with at least one of WG-SS component is at level 'a lot of difficulty'</t>
  </si>
  <si>
    <t xml:space="preserve">some difficulty -- % of school-aged children with at least one of WG-SS component is at level 'some difficulty'</t>
  </si>
  <si>
    <t xml:space="preserve">no difficulty -- % of school-aged children with at least one of WG-SS component is at level 'no difficulty'</t>
  </si>
  <si>
    <t xml:space="preserve">% of school-aged children who attended school or any early childhood education program at any time during the 2023-2024 school year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</si>
</sst>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6" formatCode="0%"/>
    <numFmt numFmtId="167" formatCode="0%"/>
    <numFmt numFmtId="168" formatCode="0%"/>
    <numFmt numFmtId="169" formatCode="0%"/>
    <numFmt numFmtId="170" formatCode="0%"/>
    <numFmt numFmtId="171" formatCode="0%"/>
    <numFmt numFmtId="172" formatCode="0%"/>
    <numFmt numFmtId="173" formatCode="0%"/>
    <numFmt numFmtId="174" formatCode="0%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</border>
    <border>
      <left style="thin">
        <color rgb="FFD3D3D3"/>
      </left>
    </border>
    <border>
      <left style="thin">
        <color rgb="FFD3D3D3"/>
      </left>
      <bottom style="thin">
        <color rgb="FFD3D3D3"/>
      </bottom>
    </border>
    <border>
      <top style="thin">
        <color rgb="FFD3D3D3"/>
      </top>
    </border>
    <border>
      <bottom style="thin">
        <color rgb="FFD3D3D3"/>
      </bottom>
    </border>
    <border>
      <right style="thin">
        <color rgb="FFD3D3D3"/>
      </right>
      <top style="thin">
        <color rgb="FFD3D3D3"/>
      </top>
    </border>
    <border>
      <right style="thin">
        <color rgb="FFD3D3D3"/>
      </right>
    </border>
    <border>
      <right style="thin">
        <color rgb="FFD3D3D3"/>
      </right>
      <bottom style="thin">
        <color rgb="FFD3D3D3"/>
      </bottom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66" fontId="1" fillId="0" borderId="1" xfId="0" applyFont="1" applyNumberFormat="1" applyBorder="1"/>
    <xf numFmtId="166" fontId="1" fillId="0" borderId="3" xfId="0" applyFont="1" applyNumberFormat="1" applyBorder="1"/>
    <xf numFmtId="166" fontId="1" fillId="0" borderId="8" xfId="0" applyFont="1" applyNumberFormat="1" applyBorder="1"/>
    <xf numFmtId="166" fontId="1" fillId="0" borderId="9" xfId="0" applyFont="1" applyNumberFormat="1" applyBorder="1"/>
    <xf numFmtId="166" fontId="1" fillId="0" borderId="0" xfId="0" applyFont="1" applyNumberFormat="1"/>
    <xf numFmtId="0" fontId="2" fillId="0" borderId="0" xfId="0" applyFont="1"/>
    <xf numFmtId="167" fontId="1" fillId="0" borderId="1" xfId="0" applyFont="1" applyNumberFormat="1" applyBorder="1"/>
    <xf numFmtId="167" fontId="1" fillId="0" borderId="3" xfId="0" applyFont="1" applyNumberFormat="1" applyBorder="1"/>
    <xf numFmtId="167" fontId="1" fillId="0" borderId="8" xfId="0" applyFont="1" applyNumberFormat="1" applyBorder="1"/>
    <xf numFmtId="167" fontId="1" fillId="0" borderId="9" xfId="0" applyFont="1" applyNumberFormat="1" applyBorder="1"/>
    <xf numFmtId="167" fontId="1" fillId="0" borderId="0" xfId="0" applyFont="1" applyNumberFormat="1"/>
    <xf numFmtId="168" fontId="1" fillId="0" borderId="1" xfId="0" applyFont="1" applyNumberFormat="1" applyBorder="1"/>
    <xf numFmtId="168" fontId="1" fillId="0" borderId="3" xfId="0" applyFont="1" applyNumberFormat="1" applyBorder="1"/>
    <xf numFmtId="168" fontId="1" fillId="0" borderId="8" xfId="0" applyFont="1" applyNumberFormat="1" applyBorder="1"/>
    <xf numFmtId="168" fontId="1" fillId="0" borderId="9" xfId="0" applyFont="1" applyNumberFormat="1" applyBorder="1"/>
    <xf numFmtId="168" fontId="1" fillId="0" borderId="0" xfId="0" applyFont="1" applyNumberFormat="1"/>
    <xf numFmtId="169" fontId="1" fillId="0" borderId="1" xfId="0" applyFont="1" applyNumberFormat="1" applyBorder="1"/>
    <xf numFmtId="169" fontId="1" fillId="0" borderId="3" xfId="0" applyFont="1" applyNumberFormat="1" applyBorder="1"/>
    <xf numFmtId="169" fontId="1" fillId="0" borderId="8" xfId="0" applyFont="1" applyNumberFormat="1" applyBorder="1"/>
    <xf numFmtId="169" fontId="1" fillId="0" borderId="9" xfId="0" applyFont="1" applyNumberFormat="1" applyBorder="1"/>
    <xf numFmtId="169" fontId="1" fillId="0" borderId="0" xfId="0" applyFont="1" applyNumberFormat="1"/>
    <xf numFmtId="170" fontId="1" fillId="0" borderId="1" xfId="0" applyFont="1" applyNumberFormat="1" applyBorder="1"/>
    <xf numFmtId="170" fontId="1" fillId="0" borderId="3" xfId="0" applyFont="1" applyNumberFormat="1" applyBorder="1"/>
    <xf numFmtId="170" fontId="1" fillId="0" borderId="8" xfId="0" applyFont="1" applyNumberFormat="1" applyBorder="1"/>
    <xf numFmtId="170" fontId="1" fillId="0" borderId="9" xfId="0" applyFont="1" applyNumberFormat="1" applyBorder="1"/>
    <xf numFmtId="170" fontId="1" fillId="0" borderId="0" xfId="0" applyFont="1" applyNumberFormat="1"/>
    <xf numFmtId="171" fontId="1" fillId="0" borderId="1" xfId="0" applyFont="1" applyNumberFormat="1" applyBorder="1"/>
    <xf numFmtId="171" fontId="1" fillId="0" borderId="3" xfId="0" applyFont="1" applyNumberFormat="1" applyBorder="1"/>
    <xf numFmtId="171" fontId="1" fillId="0" borderId="8" xfId="0" applyFont="1" applyNumberFormat="1" applyBorder="1"/>
    <xf numFmtId="171" fontId="1" fillId="0" borderId="9" xfId="0" applyFont="1" applyNumberFormat="1" applyBorder="1"/>
    <xf numFmtId="171" fontId="1" fillId="0" borderId="0" xfId="0" applyFont="1" applyNumberFormat="1"/>
    <xf numFmtId="172" fontId="1" fillId="0" borderId="1" xfId="0" applyFont="1" applyNumberFormat="1" applyBorder="1"/>
    <xf numFmtId="172" fontId="1" fillId="0" borderId="3" xfId="0" applyFont="1" applyNumberFormat="1" applyBorder="1"/>
    <xf numFmtId="172" fontId="1" fillId="0" borderId="8" xfId="0" applyFont="1" applyNumberFormat="1" applyBorder="1"/>
    <xf numFmtId="172" fontId="1" fillId="0" borderId="9" xfId="0" applyFont="1" applyNumberFormat="1" applyBorder="1"/>
    <xf numFmtId="172" fontId="1" fillId="0" borderId="0" xfId="0" applyFont="1" applyNumberFormat="1"/>
    <xf numFmtId="173" fontId="1" fillId="0" borderId="1" xfId="0" applyFont="1" applyNumberFormat="1" applyBorder="1"/>
    <xf numFmtId="173" fontId="1" fillId="0" borderId="3" xfId="0" applyFont="1" applyNumberFormat="1" applyBorder="1"/>
    <xf numFmtId="173" fontId="1" fillId="0" borderId="8" xfId="0" applyFont="1" applyNumberFormat="1" applyBorder="1"/>
    <xf numFmtId="173" fontId="1" fillId="0" borderId="9" xfId="0" applyFont="1" applyNumberFormat="1" applyBorder="1"/>
    <xf numFmtId="173" fontId="1" fillId="0" borderId="0" xfId="0" applyFont="1" applyNumberFormat="1"/>
    <xf numFmtId="174" fontId="1" fillId="0" borderId="1" xfId="0" applyFont="1" applyNumberFormat="1" applyBorder="1"/>
    <xf numFmtId="174" fontId="1" fillId="0" borderId="3" xfId="0" applyFont="1" applyNumberFormat="1" applyBorder="1"/>
    <xf numFmtId="174" fontId="1" fillId="0" borderId="8" xfId="0" applyFont="1" applyNumberFormat="1" applyBorder="1"/>
    <xf numFmtId="174" fontId="1" fillId="0" borderId="9" xfId="0" applyFont="1" applyNumberFormat="1" applyBorder="1"/>
    <xf numFmtId="17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s="19" t="str">
        <f>=HYPERLINK("#'access'!A1", "Analysis of Children Accessing Education")</f>
      </c>
    </row>
    <row r="3">
      <c r="A3" s="19" t="str">
        <f>=HYPERLINK("#'overaged'!A1", "Analysis of overaged learners")</f>
      </c>
    </row>
    <row r="4">
      <c r="A4" s="19" t="str">
        <f>=HYPERLINK("#'out_of_school'!A1", "Analysis of Children Not Accessing Education, OoS")</f>
      </c>
    </row>
    <row r="5">
      <c r="A5" s="19" t="str">
        <f>=HYPERLINK("#'ece'!A1", "Early childhood education and early enrolment")</f>
      </c>
    </row>
    <row r="6">
      <c r="A6" s="19" t="str">
        <f>=HYPERLINK("#'level1'!A1", "School Attendance Profile: primary")</f>
      </c>
    </row>
    <row r="7">
      <c r="A7" s="19" t="str">
        <f>=HYPERLINK("#'level2'!A1", "School Attendance Profile: intermediate -- secondary")</f>
      </c>
    </row>
    <row r="8">
      <c r="A8" s="19" t="str">
        <f>=HYPERLINK("#'level3'!A1", "School Attendance Profile: secondary")</f>
      </c>
    </row>
    <row r="10">
      <c r="A10" s="19" t="str">
        <f>=HYPERLINK("#'non_formal'!A1", "Analysis of Children Not Accessing Education and following non-formal programs")</f>
      </c>
    </row>
    <row r="11">
      <c r="A11" s="19" t="str">
        <f>=HYPERLINK("#'wgq'!A1", "WGQ")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2" t="s">
        <v>2</v>
      </c>
      <c r="D2" s="2"/>
      <c r="E2" s="2"/>
      <c r="F2" s="2"/>
      <c r="G2" s="2"/>
      <c r="H2" s="2"/>
      <c r="I2" s="2"/>
      <c r="J2" s="2"/>
      <c r="K2" s="2" t="s">
        <v>3</v>
      </c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  <c r="Y2" s="2"/>
      <c r="Z2" s="2"/>
    </row>
    <row r="3">
      <c r="E3" s="2" t="s">
        <v>5</v>
      </c>
      <c r="F3" s="2"/>
      <c r="G3" s="2"/>
      <c r="H3" s="2"/>
      <c r="I3" s="2"/>
      <c r="J3" s="2"/>
      <c r="M3" s="2" t="s">
        <v>5</v>
      </c>
      <c r="N3" s="2"/>
      <c r="O3" s="2"/>
      <c r="P3" s="2"/>
      <c r="Q3" s="2"/>
      <c r="R3" s="2"/>
      <c r="U3" s="2" t="s">
        <v>5</v>
      </c>
      <c r="V3" s="2"/>
      <c r="W3" s="2"/>
      <c r="X3" s="2"/>
      <c r="Y3" s="2"/>
      <c r="Z3" s="2"/>
    </row>
    <row r="4">
      <c r="C4" s="2" t="s">
        <v>9</v>
      </c>
      <c r="D4" s="2"/>
      <c r="E4" s="2" t="s">
        <v>6</v>
      </c>
      <c r="F4" s="2"/>
      <c r="G4" s="2" t="s">
        <v>7</v>
      </c>
      <c r="H4" s="2"/>
      <c r="I4" s="2" t="s">
        <v>8</v>
      </c>
      <c r="J4" s="2"/>
      <c r="K4" s="2" t="s">
        <v>9</v>
      </c>
      <c r="L4" s="2"/>
      <c r="M4" s="2" t="s">
        <v>6</v>
      </c>
      <c r="N4" s="2"/>
      <c r="O4" s="2" t="s">
        <v>7</v>
      </c>
      <c r="P4" s="2"/>
      <c r="Q4" s="2" t="s">
        <v>8</v>
      </c>
      <c r="R4" s="2"/>
      <c r="S4" s="2" t="s">
        <v>9</v>
      </c>
      <c r="T4" s="2"/>
      <c r="U4" s="2" t="s">
        <v>6</v>
      </c>
      <c r="V4" s="2"/>
      <c r="W4" s="2" t="s">
        <v>7</v>
      </c>
      <c r="X4" s="2"/>
      <c r="Y4" s="2" t="s">
        <v>8</v>
      </c>
      <c r="Z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  <c r="U5" s="2" t="s">
        <v>12</v>
      </c>
      <c r="V5" s="2" t="s">
        <v>13</v>
      </c>
      <c r="W5" s="2" t="s">
        <v>12</v>
      </c>
      <c r="X5" s="2" t="s">
        <v>13</v>
      </c>
      <c r="Y5" s="2" t="s">
        <v>12</v>
      </c>
      <c r="Z5" s="2" t="s">
        <v>13</v>
      </c>
    </row>
    <row r="6">
      <c r="A6" s="2" t="s">
        <v>2</v>
      </c>
      <c r="B6" s="2"/>
      <c r="C6" s="14"/>
      <c r="D6" s="2"/>
      <c r="E6" s="14"/>
      <c r="F6" s="2"/>
      <c r="G6" s="14"/>
      <c r="H6" s="2"/>
      <c r="I6" s="14"/>
      <c r="J6" s="2"/>
      <c r="K6" s="14"/>
      <c r="L6" s="2"/>
      <c r="M6" s="14"/>
      <c r="N6" s="2"/>
      <c r="O6" s="14"/>
      <c r="P6" s="2"/>
      <c r="Q6" s="14"/>
      <c r="R6" s="2"/>
      <c r="S6" s="14"/>
      <c r="T6" s="2"/>
      <c r="U6" s="14"/>
      <c r="V6" s="2"/>
      <c r="W6" s="14"/>
      <c r="X6" s="2"/>
      <c r="Y6" s="14"/>
      <c r="Z6" s="2"/>
    </row>
    <row r="7" outlineLevel="1" hidden="0">
      <c r="A7" s="3" t="s">
        <v>14</v>
      </c>
      <c r="B7" s="4" t="s">
        <v>2</v>
      </c>
      <c r="C7" s="15" t="n">
        <v>0.66474850729656</v>
      </c>
      <c r="D7" s="4" t="n">
        <v>12562</v>
      </c>
      <c r="E7" s="15" t="n">
        <v>0.0752587596758727</v>
      </c>
      <c r="F7" s="4" t="n">
        <v>7921</v>
      </c>
      <c r="G7" s="15" t="n">
        <v>0.0576518668394465</v>
      </c>
      <c r="H7" s="4" t="n">
        <v>7930</v>
      </c>
      <c r="I7" s="15" t="n">
        <v>0.0119532115381756</v>
      </c>
      <c r="J7" s="4" t="n">
        <v>7916</v>
      </c>
      <c r="K7" s="15" t="n">
        <v>0.662136220873449</v>
      </c>
      <c r="L7" s="4" t="n">
        <v>6136</v>
      </c>
      <c r="M7" s="15" t="n">
        <v>0.0743821414940134</v>
      </c>
      <c r="N7" s="4" t="n">
        <v>3853</v>
      </c>
      <c r="O7" s="15" t="n">
        <v>0.055929847510898</v>
      </c>
      <c r="P7" s="4" t="n">
        <v>3856</v>
      </c>
      <c r="Q7" s="15" t="n">
        <v>0.00973057600647142</v>
      </c>
      <c r="R7" s="4" t="n">
        <v>3847</v>
      </c>
      <c r="S7" s="15" t="n">
        <v>0.667159284500552</v>
      </c>
      <c r="T7" s="4" t="n">
        <v>6426</v>
      </c>
      <c r="U7" s="15" t="n">
        <v>0.0760612137402185</v>
      </c>
      <c r="V7" s="4" t="n">
        <v>4068</v>
      </c>
      <c r="W7" s="15" t="n">
        <v>0.0592289696431503</v>
      </c>
      <c r="X7" s="4" t="n">
        <v>4074</v>
      </c>
      <c r="Y7" s="15" t="n">
        <v>0.0139890644566478</v>
      </c>
      <c r="Z7" s="5" t="n">
        <v>4069</v>
      </c>
    </row>
    <row r="8">
      <c r="C8" s="18"/>
      <c r="E8" s="18"/>
      <c r="G8" s="18"/>
      <c r="I8" s="18"/>
      <c r="K8" s="18"/>
      <c r="M8" s="18"/>
      <c r="O8" s="18"/>
      <c r="Q8" s="18"/>
      <c r="S8" s="18"/>
      <c r="U8" s="18"/>
      <c r="W8" s="18"/>
      <c r="Y8" s="18"/>
    </row>
    <row r="9">
      <c r="A9" s="2" t="s">
        <v>15</v>
      </c>
      <c r="B9" s="2"/>
      <c r="C9" s="14"/>
      <c r="D9" s="2"/>
      <c r="E9" s="14"/>
      <c r="F9" s="2"/>
      <c r="G9" s="14"/>
      <c r="H9" s="2"/>
      <c r="I9" s="14"/>
      <c r="J9" s="2"/>
      <c r="K9" s="14"/>
      <c r="L9" s="2"/>
      <c r="M9" s="14"/>
      <c r="N9" s="2"/>
      <c r="O9" s="14"/>
      <c r="P9" s="2"/>
      <c r="Q9" s="14"/>
      <c r="R9" s="2"/>
      <c r="S9" s="14"/>
      <c r="T9" s="2"/>
      <c r="U9" s="14"/>
      <c r="V9" s="2"/>
      <c r="W9" s="14"/>
      <c r="X9" s="2"/>
      <c r="Y9" s="14"/>
      <c r="Z9" s="2"/>
    </row>
    <row r="10" outlineLevel="1" hidden="0">
      <c r="A10" s="6" t="s">
        <v>14</v>
      </c>
      <c r="B10" s="9" t="s">
        <v>16</v>
      </c>
      <c r="C10" s="16" t="n">
        <v>0.481042510822803</v>
      </c>
      <c r="D10" s="9" t="n">
        <v>1065</v>
      </c>
      <c r="E10" s="16" t="n">
        <v>0.0894696455560559</v>
      </c>
      <c r="F10" s="9" t="n">
        <v>545</v>
      </c>
      <c r="G10" s="16" t="n">
        <v>0.0576389941571536</v>
      </c>
      <c r="H10" s="9" t="n">
        <v>545</v>
      </c>
      <c r="I10" s="16" t="n">
        <v>0.00944377009444328</v>
      </c>
      <c r="J10" s="9" t="n">
        <v>543</v>
      </c>
      <c r="K10" s="16" t="n">
        <v>0.41931118902598</v>
      </c>
      <c r="L10" s="9" t="n">
        <v>509</v>
      </c>
      <c r="M10" s="16" t="n">
        <v>0.113583024723837</v>
      </c>
      <c r="N10" s="9" t="n">
        <v>256</v>
      </c>
      <c r="O10" s="16" t="n">
        <v>0.0764329411726168</v>
      </c>
      <c r="P10" s="9" t="n">
        <v>256</v>
      </c>
      <c r="Q10" s="16" t="n">
        <v>0.0154739603871168</v>
      </c>
      <c r="R10" s="9" t="n">
        <v>255</v>
      </c>
      <c r="S10" s="16" t="n">
        <v>0.536643898443554</v>
      </c>
      <c r="T10" s="9" t="n">
        <v>556</v>
      </c>
      <c r="U10" s="16" t="n">
        <v>0.072499389909415</v>
      </c>
      <c r="V10" s="9" t="n">
        <v>289</v>
      </c>
      <c r="W10" s="16" t="n">
        <v>0.0444123914797492</v>
      </c>
      <c r="X10" s="9" t="n">
        <v>289</v>
      </c>
      <c r="Y10" s="16" t="n">
        <v>0.00520182122507691</v>
      </c>
      <c r="Z10" s="11" t="n">
        <v>288</v>
      </c>
    </row>
    <row r="11" outlineLevel="1" hidden="0">
      <c r="A11" s="7" t="s">
        <v>14</v>
      </c>
      <c r="B11" t="s">
        <v>17</v>
      </c>
      <c r="C11" s="18" t="n">
        <v>0.831213601519806</v>
      </c>
      <c r="D11" t="n">
        <v>6423</v>
      </c>
      <c r="E11" s="18" t="n">
        <v>0.0782193301638757</v>
      </c>
      <c r="F11" t="n">
        <v>5100</v>
      </c>
      <c r="G11" s="18" t="n">
        <v>0.0618596032834625</v>
      </c>
      <c r="H11" t="n">
        <v>5103</v>
      </c>
      <c r="I11" s="18" t="n">
        <v>0.0114894317351128</v>
      </c>
      <c r="J11" t="n">
        <v>5095</v>
      </c>
      <c r="K11" s="18" t="n">
        <v>0.824719487411758</v>
      </c>
      <c r="L11" t="n">
        <v>3144</v>
      </c>
      <c r="M11" s="18" t="n">
        <v>0.0793138204797125</v>
      </c>
      <c r="N11" t="n">
        <v>2460</v>
      </c>
      <c r="O11" s="18" t="n">
        <v>0.0572952702540007</v>
      </c>
      <c r="P11" t="n">
        <v>2460</v>
      </c>
      <c r="Q11" s="18" t="n">
        <v>0.00655265236413763</v>
      </c>
      <c r="R11" t="n">
        <v>2454</v>
      </c>
      <c r="S11" s="18" t="n">
        <v>0.836869388123325</v>
      </c>
      <c r="T11" t="n">
        <v>3279</v>
      </c>
      <c r="U11" s="18" t="n">
        <v>0.0772795439439252</v>
      </c>
      <c r="V11" t="n">
        <v>2640</v>
      </c>
      <c r="W11" s="18" t="n">
        <v>0.0657735300856373</v>
      </c>
      <c r="X11" t="n">
        <v>2643</v>
      </c>
      <c r="Y11" s="18" t="n">
        <v>0.0157227228289984</v>
      </c>
      <c r="Z11" s="12" t="n">
        <v>2641</v>
      </c>
    </row>
    <row r="12" outlineLevel="1" hidden="0">
      <c r="A12" s="7" t="s">
        <v>14</v>
      </c>
      <c r="B12" t="s">
        <v>18</v>
      </c>
      <c r="C12" s="18" t="n">
        <v>0.596237250022479</v>
      </c>
      <c r="D12" t="n">
        <v>2865</v>
      </c>
      <c r="E12" s="18" t="n">
        <v>0.0634052024305234</v>
      </c>
      <c r="F12" t="n">
        <v>1578</v>
      </c>
      <c r="G12" s="18" t="n">
        <v>0.0450383435858447</v>
      </c>
      <c r="H12" t="n">
        <v>1581</v>
      </c>
      <c r="I12" s="18" t="n">
        <v>0.0114567484138372</v>
      </c>
      <c r="J12" t="n">
        <v>1577</v>
      </c>
      <c r="K12" s="18" t="n">
        <v>0.626615848391362</v>
      </c>
      <c r="L12" t="n">
        <v>1385</v>
      </c>
      <c r="M12" s="18" t="n">
        <v>0.0486810003601238</v>
      </c>
      <c r="N12" t="n">
        <v>775</v>
      </c>
      <c r="O12" s="18" t="n">
        <v>0.050364388529378</v>
      </c>
      <c r="P12" t="n">
        <v>776</v>
      </c>
      <c r="Q12" s="18" t="n">
        <v>0.0159289551919065</v>
      </c>
      <c r="R12" t="n">
        <v>774</v>
      </c>
      <c r="S12" s="18" t="n">
        <v>0.564711179463944</v>
      </c>
      <c r="T12" t="n">
        <v>1480</v>
      </c>
      <c r="U12" s="18" t="n">
        <v>0.0802632869050759</v>
      </c>
      <c r="V12" t="n">
        <v>803</v>
      </c>
      <c r="W12" s="18" t="n">
        <v>0.0388961346316796</v>
      </c>
      <c r="X12" t="n">
        <v>805</v>
      </c>
      <c r="Y12" s="18" t="n">
        <v>0.00629913757238291</v>
      </c>
      <c r="Z12" s="12" t="n">
        <v>803</v>
      </c>
    </row>
    <row r="13" outlineLevel="1" hidden="0">
      <c r="A13" s="8" t="s">
        <v>14</v>
      </c>
      <c r="B13" s="10" t="s">
        <v>19</v>
      </c>
      <c r="C13" s="17" t="n">
        <v>0.338232047832835</v>
      </c>
      <c r="D13" s="10" t="n">
        <v>2209</v>
      </c>
      <c r="E13" s="17" t="n">
        <v>0.0721856011834045</v>
      </c>
      <c r="F13" s="10" t="n">
        <v>698</v>
      </c>
      <c r="G13" s="17" t="n">
        <v>0.0565761447010073</v>
      </c>
      <c r="H13" s="10" t="n">
        <v>701</v>
      </c>
      <c r="I13" s="17" t="n">
        <v>0.0181940698122857</v>
      </c>
      <c r="J13" s="10" t="n">
        <v>701</v>
      </c>
      <c r="K13" s="17" t="n">
        <v>0.349964757694527</v>
      </c>
      <c r="L13" s="10" t="n">
        <v>1098</v>
      </c>
      <c r="M13" s="17" t="n">
        <v>0.0846122679819817</v>
      </c>
      <c r="N13" s="10" t="n">
        <v>362</v>
      </c>
      <c r="O13" s="17" t="n">
        <v>0.0499697933042843</v>
      </c>
      <c r="P13" s="10" t="n">
        <v>364</v>
      </c>
      <c r="Q13" s="17" t="n">
        <v>0.0125656081902856</v>
      </c>
      <c r="R13" s="10" t="n">
        <v>364</v>
      </c>
      <c r="S13" s="17" t="n">
        <v>0.327114446485226</v>
      </c>
      <c r="T13" s="10" t="n">
        <v>1111</v>
      </c>
      <c r="U13" s="17" t="n">
        <v>0.0594652489731237</v>
      </c>
      <c r="V13" s="10" t="n">
        <v>336</v>
      </c>
      <c r="W13" s="17" t="n">
        <v>0.0632887073138265</v>
      </c>
      <c r="X13" s="10" t="n">
        <v>337</v>
      </c>
      <c r="Y13" s="17" t="n">
        <v>0.0239230336863228</v>
      </c>
      <c r="Z13" s="13" t="n">
        <v>337</v>
      </c>
    </row>
    <row r="14">
      <c r="C14" s="18"/>
      <c r="E14" s="18"/>
      <c r="G14" s="18"/>
      <c r="I14" s="18"/>
      <c r="K14" s="18"/>
      <c r="M14" s="18"/>
      <c r="O14" s="18"/>
      <c r="Q14" s="18"/>
      <c r="S14" s="18"/>
      <c r="U14" s="18"/>
      <c r="W14" s="18"/>
      <c r="Y14" s="18"/>
    </row>
    <row r="15">
      <c r="A15" s="2" t="s">
        <v>20</v>
      </c>
      <c r="B15" s="2"/>
      <c r="C15" s="14"/>
      <c r="D15" s="2"/>
      <c r="E15" s="14"/>
      <c r="F15" s="2"/>
      <c r="G15" s="14"/>
      <c r="H15" s="2"/>
      <c r="I15" s="14"/>
      <c r="J15" s="2"/>
      <c r="K15" s="14"/>
      <c r="L15" s="2"/>
      <c r="M15" s="14"/>
      <c r="N15" s="2"/>
      <c r="O15" s="14"/>
      <c r="P15" s="2"/>
      <c r="Q15" s="14"/>
      <c r="R15" s="2"/>
      <c r="S15" s="14"/>
      <c r="T15" s="2"/>
      <c r="U15" s="14"/>
      <c r="V15" s="2"/>
      <c r="W15" s="14"/>
      <c r="X15" s="2"/>
      <c r="Y15" s="14"/>
      <c r="Z15" s="2"/>
    </row>
    <row r="16" outlineLevel="1" hidden="0">
      <c r="A16" s="6" t="s">
        <v>14</v>
      </c>
      <c r="B16" s="9" t="s">
        <v>21</v>
      </c>
      <c r="C16" s="16" t="n">
        <v>0.703564000227431</v>
      </c>
      <c r="D16" s="9" t="n">
        <v>3358</v>
      </c>
      <c r="E16" s="16" t="n">
        <v>0.077361941488364</v>
      </c>
      <c r="F16" s="9" t="n">
        <v>2366</v>
      </c>
      <c r="G16" s="16" t="n">
        <v>0.0649301506117767</v>
      </c>
      <c r="H16" s="9" t="n">
        <v>2371</v>
      </c>
      <c r="I16" s="16" t="n">
        <v>0.00377767525331884</v>
      </c>
      <c r="J16" s="9" t="n">
        <v>2370</v>
      </c>
      <c r="K16" s="16" t="n">
        <v>0.686787919899616</v>
      </c>
      <c r="L16" s="9" t="n">
        <v>1626</v>
      </c>
      <c r="M16" s="16" t="n">
        <v>0.0740171431862575</v>
      </c>
      <c r="N16" s="9" t="n">
        <v>1127</v>
      </c>
      <c r="O16" s="16" t="n">
        <v>0.0674192713025138</v>
      </c>
      <c r="P16" s="9" t="n">
        <v>1130</v>
      </c>
      <c r="Q16" s="16" t="n">
        <v>0.00144871809065981</v>
      </c>
      <c r="R16" s="9" t="n">
        <v>1129</v>
      </c>
      <c r="S16" s="16" t="n">
        <v>0.719305070570827</v>
      </c>
      <c r="T16" s="9" t="n">
        <v>1732</v>
      </c>
      <c r="U16" s="16" t="n">
        <v>0.0803716675434947</v>
      </c>
      <c r="V16" s="9" t="n">
        <v>1239</v>
      </c>
      <c r="W16" s="16" t="n">
        <v>0.062696762722617</v>
      </c>
      <c r="X16" s="9" t="n">
        <v>1241</v>
      </c>
      <c r="Y16" s="16" t="n">
        <v>0.00586772346323557</v>
      </c>
      <c r="Z16" s="11" t="n">
        <v>1241</v>
      </c>
    </row>
    <row r="17" outlineLevel="1" hidden="0">
      <c r="A17" s="7" t="s">
        <v>14</v>
      </c>
      <c r="B17" t="s">
        <v>22</v>
      </c>
      <c r="C17" s="18" t="n">
        <v>0.71543108699881</v>
      </c>
      <c r="D17" t="n">
        <v>2838</v>
      </c>
      <c r="E17" s="18" t="n">
        <v>0.0252377696040851</v>
      </c>
      <c r="F17" t="n">
        <v>2059</v>
      </c>
      <c r="G17" s="18" t="n">
        <v>0.0630349047909459</v>
      </c>
      <c r="H17" t="n">
        <v>2060</v>
      </c>
      <c r="I17" s="18" t="n">
        <v>0.0202444694615351</v>
      </c>
      <c r="J17" t="n">
        <v>2057</v>
      </c>
      <c r="K17" s="18" t="n">
        <v>0.72238439904698</v>
      </c>
      <c r="L17" t="n">
        <v>1350</v>
      </c>
      <c r="M17" s="18" t="n">
        <v>0.0258045037657519</v>
      </c>
      <c r="N17" t="n">
        <v>1000</v>
      </c>
      <c r="O17" s="18" t="n">
        <v>0.0617438669323416</v>
      </c>
      <c r="P17" t="n">
        <v>1000</v>
      </c>
      <c r="Q17" s="18" t="n">
        <v>0.0165368031738176</v>
      </c>
      <c r="R17" t="n">
        <v>998</v>
      </c>
      <c r="S17" s="18" t="n">
        <v>0.709263208782833</v>
      </c>
      <c r="T17" t="n">
        <v>1488</v>
      </c>
      <c r="U17" s="18" t="n">
        <v>0.0247285084554652</v>
      </c>
      <c r="V17" t="n">
        <v>1059</v>
      </c>
      <c r="W17" s="18" t="n">
        <v>0.0642009153533303</v>
      </c>
      <c r="X17" t="n">
        <v>1060</v>
      </c>
      <c r="Y17" s="18" t="n">
        <v>0.0235901402624273</v>
      </c>
      <c r="Z17" s="12" t="n">
        <v>1059</v>
      </c>
    </row>
    <row r="18" outlineLevel="1" hidden="0">
      <c r="A18" s="7" t="s">
        <v>14</v>
      </c>
      <c r="B18" t="s">
        <v>23</v>
      </c>
      <c r="C18" s="18" t="n">
        <v>0.597216192841828</v>
      </c>
      <c r="D18" t="n">
        <v>2764</v>
      </c>
      <c r="E18" s="18" t="n">
        <v>0.116704141473781</v>
      </c>
      <c r="F18" t="n">
        <v>1518</v>
      </c>
      <c r="G18" s="18" t="n">
        <v>0.0359498388850905</v>
      </c>
      <c r="H18" t="n">
        <v>1521</v>
      </c>
      <c r="I18" s="18" t="n">
        <v>0.00256898730338561</v>
      </c>
      <c r="J18" t="n">
        <v>1519</v>
      </c>
      <c r="K18" s="18" t="n">
        <v>0.593553432148793</v>
      </c>
      <c r="L18" t="n">
        <v>1390</v>
      </c>
      <c r="M18" s="18" t="n">
        <v>0.119384198148711</v>
      </c>
      <c r="N18" t="n">
        <v>744</v>
      </c>
      <c r="O18" s="18" t="n">
        <v>0.0306624631117385</v>
      </c>
      <c r="P18" t="n">
        <v>744</v>
      </c>
      <c r="Q18" s="18" t="n">
        <v>0.00400307170716018</v>
      </c>
      <c r="R18" t="n">
        <v>743</v>
      </c>
      <c r="S18" s="18" t="n">
        <v>0.600685427558244</v>
      </c>
      <c r="T18" t="n">
        <v>1374</v>
      </c>
      <c r="U18" s="18" t="n">
        <v>0.114189294552119</v>
      </c>
      <c r="V18" t="n">
        <v>774</v>
      </c>
      <c r="W18" s="18" t="n">
        <v>0.040877233911533</v>
      </c>
      <c r="X18" t="n">
        <v>777</v>
      </c>
      <c r="Y18" s="18" t="n">
        <v>0.00122774508111983</v>
      </c>
      <c r="Z18" s="12" t="n">
        <v>776</v>
      </c>
    </row>
    <row r="19" outlineLevel="1" hidden="0">
      <c r="A19" s="7" t="s">
        <v>14</v>
      </c>
      <c r="B19" t="s">
        <v>24</v>
      </c>
      <c r="C19" s="18" t="n">
        <v>0.516361167652704</v>
      </c>
      <c r="D19" t="n">
        <v>1623</v>
      </c>
      <c r="E19" s="18" t="n">
        <v>0.238666969413056</v>
      </c>
      <c r="F19" t="n">
        <v>852</v>
      </c>
      <c r="G19" s="18" t="n">
        <v>0.0348572988364782</v>
      </c>
      <c r="H19" t="n">
        <v>853</v>
      </c>
      <c r="I19" s="18" t="n">
        <v>0.024088352368171</v>
      </c>
      <c r="J19" t="n">
        <v>850</v>
      </c>
      <c r="K19" s="18" t="n">
        <v>0.514692867542563</v>
      </c>
      <c r="L19" t="n">
        <v>830</v>
      </c>
      <c r="M19" s="18" t="n">
        <v>0.216528763183469</v>
      </c>
      <c r="N19" t="n">
        <v>439</v>
      </c>
      <c r="O19" s="18" t="n">
        <v>0.0211430074263065</v>
      </c>
      <c r="P19" t="n">
        <v>440</v>
      </c>
      <c r="Q19" s="18" t="n">
        <v>0.0209735467141026</v>
      </c>
      <c r="R19" t="n">
        <v>439</v>
      </c>
      <c r="S19" s="18" t="n">
        <v>0.518069398518675</v>
      </c>
      <c r="T19" t="n">
        <v>793</v>
      </c>
      <c r="U19" s="18" t="n">
        <v>0.261186790612493</v>
      </c>
      <c r="V19" t="n">
        <v>413</v>
      </c>
      <c r="W19" s="18" t="n">
        <v>0.0488512800913671</v>
      </c>
      <c r="X19" t="n">
        <v>413</v>
      </c>
      <c r="Y19" s="18" t="n">
        <v>0.0272717994193201</v>
      </c>
      <c r="Z19" s="12" t="n">
        <v>411</v>
      </c>
    </row>
    <row r="20" outlineLevel="1" hidden="0">
      <c r="A20" s="8" t="s">
        <v>14</v>
      </c>
      <c r="B20" s="10" t="s">
        <v>25</v>
      </c>
      <c r="C20" s="17" t="n">
        <v>0.587505765535214</v>
      </c>
      <c r="D20" s="10" t="n">
        <v>1979</v>
      </c>
      <c r="E20" s="17" t="n">
        <v>0.134026723280265</v>
      </c>
      <c r="F20" s="10" t="n">
        <v>1126</v>
      </c>
      <c r="G20" s="17" t="n">
        <v>0.0600757884192295</v>
      </c>
      <c r="H20" s="10" t="n">
        <v>1125</v>
      </c>
      <c r="I20" s="17" t="n">
        <v>0.00756459452134137</v>
      </c>
      <c r="J20" s="10" t="n">
        <v>1120</v>
      </c>
      <c r="K20" s="17" t="n">
        <v>0.595212744665664</v>
      </c>
      <c r="L20" s="10" t="n">
        <v>940</v>
      </c>
      <c r="M20" s="17" t="n">
        <v>0.131284895627388</v>
      </c>
      <c r="N20" s="10" t="n">
        <v>543</v>
      </c>
      <c r="O20" s="17" t="n">
        <v>0.0584339653982524</v>
      </c>
      <c r="P20" s="10" t="n">
        <v>542</v>
      </c>
      <c r="Q20" s="17" t="n">
        <v>0.00654195071728246</v>
      </c>
      <c r="R20" s="10" t="n">
        <v>538</v>
      </c>
      <c r="S20" s="17" t="n">
        <v>0.58039949447183</v>
      </c>
      <c r="T20" s="10" t="n">
        <v>1039</v>
      </c>
      <c r="U20" s="17" t="n">
        <v>0.136621992709873</v>
      </c>
      <c r="V20" s="10" t="n">
        <v>583</v>
      </c>
      <c r="W20" s="17" t="n">
        <v>0.0616309609006286</v>
      </c>
      <c r="X20" s="10" t="n">
        <v>583</v>
      </c>
      <c r="Y20" s="17" t="n">
        <v>0.00853150987084219</v>
      </c>
      <c r="Z20" s="13" t="n">
        <v>582</v>
      </c>
    </row>
    <row r="21">
      <c r="C21" s="18"/>
      <c r="E21" s="18"/>
      <c r="G21" s="18"/>
      <c r="I21" s="18"/>
      <c r="K21" s="18"/>
      <c r="M21" s="18"/>
      <c r="O21" s="18"/>
      <c r="Q21" s="18"/>
      <c r="S21" s="18"/>
      <c r="U21" s="18"/>
      <c r="W21" s="18"/>
      <c r="Y21" s="18"/>
    </row>
    <row r="22">
      <c r="A22" s="2" t="s">
        <v>26</v>
      </c>
      <c r="B22" s="2"/>
      <c r="C22" s="14"/>
      <c r="D22" s="2"/>
      <c r="E22" s="14"/>
      <c r="F22" s="2"/>
      <c r="G22" s="14"/>
      <c r="H22" s="2"/>
      <c r="I22" s="14"/>
      <c r="J22" s="2"/>
      <c r="K22" s="14"/>
      <c r="L22" s="2"/>
      <c r="M22" s="14"/>
      <c r="N22" s="2"/>
      <c r="O22" s="14"/>
      <c r="P22" s="2"/>
      <c r="Q22" s="14"/>
      <c r="R22" s="2"/>
      <c r="S22" s="14"/>
      <c r="T22" s="2"/>
      <c r="U22" s="14"/>
      <c r="V22" s="2"/>
      <c r="W22" s="14"/>
      <c r="X22" s="2"/>
      <c r="Y22" s="14"/>
      <c r="Z22" s="2"/>
    </row>
    <row r="23" outlineLevel="1" hidden="0">
      <c r="A23" s="6" t="s">
        <v>14</v>
      </c>
      <c r="B23" s="9" t="s">
        <v>27</v>
      </c>
      <c r="C23" s="16" t="n">
        <v>0.660716425867194</v>
      </c>
      <c r="D23" s="9" t="n">
        <v>337</v>
      </c>
      <c r="E23" s="16"/>
      <c r="F23" s="9"/>
      <c r="G23" s="16"/>
      <c r="H23" s="9"/>
      <c r="I23" s="16"/>
      <c r="J23" s="9"/>
      <c r="K23" s="16" t="n">
        <v>0.623540302167099</v>
      </c>
      <c r="L23" s="9" t="n">
        <v>178</v>
      </c>
      <c r="M23" s="16"/>
      <c r="N23" s="9"/>
      <c r="O23" s="16"/>
      <c r="P23" s="9"/>
      <c r="Q23" s="16"/>
      <c r="R23" s="9"/>
      <c r="S23" s="16" t="n">
        <v>0.703066782091476</v>
      </c>
      <c r="T23" s="9" t="n">
        <v>159</v>
      </c>
      <c r="U23" s="16"/>
      <c r="V23" s="9"/>
      <c r="W23" s="16"/>
      <c r="X23" s="9"/>
      <c r="Y23" s="16"/>
      <c r="Z23" s="11"/>
    </row>
    <row r="24" outlineLevel="1" hidden="0">
      <c r="A24" s="7" t="s">
        <v>14</v>
      </c>
      <c r="B24" t="s">
        <v>28</v>
      </c>
      <c r="C24" s="18" t="n">
        <v>0.778441383668275</v>
      </c>
      <c r="D24" t="n">
        <v>451</v>
      </c>
      <c r="E24" s="18" t="n">
        <v>0.0272547273350817</v>
      </c>
      <c r="F24" t="n">
        <v>341</v>
      </c>
      <c r="G24" s="18"/>
      <c r="H24"/>
      <c r="I24" s="18"/>
      <c r="J24"/>
      <c r="K24" s="18" t="n">
        <v>0.771586452559131</v>
      </c>
      <c r="L24" t="n">
        <v>204</v>
      </c>
      <c r="M24" s="18" t="n">
        <v>0.0235539914279033</v>
      </c>
      <c r="N24" t="n">
        <v>150</v>
      </c>
      <c r="O24" s="18"/>
      <c r="P24"/>
      <c r="Q24" s="18"/>
      <c r="R24"/>
      <c r="S24" s="18" t="n">
        <v>0.784377799126904</v>
      </c>
      <c r="T24" t="n">
        <v>247</v>
      </c>
      <c r="U24" s="18" t="n">
        <v>0.0304073252754637</v>
      </c>
      <c r="V24" t="n">
        <v>191</v>
      </c>
      <c r="W24" s="18"/>
      <c r="X24"/>
      <c r="Y24" s="18"/>
      <c r="Z24" s="12"/>
    </row>
    <row r="25" outlineLevel="1" hidden="0">
      <c r="A25" s="7" t="s">
        <v>14</v>
      </c>
      <c r="B25" t="s">
        <v>29</v>
      </c>
      <c r="C25" s="18" t="n">
        <v>0.773434227651427</v>
      </c>
      <c r="D25" t="n">
        <v>752</v>
      </c>
      <c r="E25" s="18" t="n">
        <v>0.0597052628649989</v>
      </c>
      <c r="F25" t="n">
        <v>553</v>
      </c>
      <c r="G25" s="18" t="n">
        <v>0.158412722392067</v>
      </c>
      <c r="H25" t="n">
        <v>553</v>
      </c>
      <c r="I25" s="18" t="n">
        <v>0.0156792195331661</v>
      </c>
      <c r="J25" t="n">
        <v>554</v>
      </c>
      <c r="K25" s="18" t="n">
        <v>0.740116731971123</v>
      </c>
      <c r="L25" t="n">
        <v>347</v>
      </c>
      <c r="M25" s="18" t="n">
        <v>0.03209566962595</v>
      </c>
      <c r="N25" t="n">
        <v>246</v>
      </c>
      <c r="O25" s="18" t="n">
        <v>0.148328149198708</v>
      </c>
      <c r="P25" t="n">
        <v>247</v>
      </c>
      <c r="Q25" s="18" t="n">
        <v>0.00462962272758692</v>
      </c>
      <c r="R25" t="n">
        <v>247</v>
      </c>
      <c r="S25" s="18" t="n">
        <v>0.800406745207739</v>
      </c>
      <c r="T25" t="n">
        <v>405</v>
      </c>
      <c r="U25" s="18" t="n">
        <v>0.0802994977573514</v>
      </c>
      <c r="V25" t="n">
        <v>307</v>
      </c>
      <c r="W25" s="18" t="n">
        <v>0.165971814161549</v>
      </c>
      <c r="X25" t="n">
        <v>306</v>
      </c>
      <c r="Y25" s="18" t="n">
        <v>0.0239507342751868</v>
      </c>
      <c r="Z25" s="12" t="n">
        <v>307</v>
      </c>
    </row>
    <row r="26" outlineLevel="1" hidden="0">
      <c r="A26" s="7" t="s">
        <v>14</v>
      </c>
      <c r="B26" t="s">
        <v>30</v>
      </c>
      <c r="C26" s="18" t="n">
        <v>0.824465068635583</v>
      </c>
      <c r="D26" t="n">
        <v>432</v>
      </c>
      <c r="E26" s="18" t="n">
        <v>0.0528663252419339</v>
      </c>
      <c r="F26" t="n">
        <v>368</v>
      </c>
      <c r="G26" s="18" t="n">
        <v>0.0731757047947044</v>
      </c>
      <c r="H26" t="n">
        <v>370</v>
      </c>
      <c r="I26" s="18"/>
      <c r="J26"/>
      <c r="K26" s="18" t="n">
        <v>0.784429882209912</v>
      </c>
      <c r="L26" t="n">
        <v>208</v>
      </c>
      <c r="M26" s="18" t="n">
        <v>0.051046077785005</v>
      </c>
      <c r="N26" t="n">
        <v>174</v>
      </c>
      <c r="O26" s="18" t="n">
        <v>0.0809347779197981</v>
      </c>
      <c r="P26" t="n">
        <v>174</v>
      </c>
      <c r="Q26" s="18"/>
      <c r="R26"/>
      <c r="S26" s="18" t="n">
        <v>0.863334248781388</v>
      </c>
      <c r="T26" t="n">
        <v>224</v>
      </c>
      <c r="U26" s="18" t="n">
        <v>0.0544980015450501</v>
      </c>
      <c r="V26" t="n">
        <v>194</v>
      </c>
      <c r="W26" s="18" t="n">
        <v>0.0663310975983834</v>
      </c>
      <c r="X26" t="n">
        <v>196</v>
      </c>
      <c r="Y26" s="18"/>
      <c r="Z26" s="12"/>
    </row>
    <row r="27" outlineLevel="1" hidden="0">
      <c r="A27" s="7" t="s">
        <v>14</v>
      </c>
      <c r="B27" t="s">
        <v>31</v>
      </c>
      <c r="C27" s="18" t="n">
        <v>0.610636113962454</v>
      </c>
      <c r="D27" t="n">
        <v>517</v>
      </c>
      <c r="E27" s="18" t="n">
        <v>0.257315759933432</v>
      </c>
      <c r="F27" t="n">
        <v>314</v>
      </c>
      <c r="G27" s="18" t="n">
        <v>0.015509416184937</v>
      </c>
      <c r="H27" t="n">
        <v>317</v>
      </c>
      <c r="I27" s="18" t="n">
        <v>0.00365155599916572</v>
      </c>
      <c r="J27" t="n">
        <v>318</v>
      </c>
      <c r="K27" s="18" t="n">
        <v>0.617375827257723</v>
      </c>
      <c r="L27" t="n">
        <v>239</v>
      </c>
      <c r="M27" s="18" t="n">
        <v>0.26749522121021</v>
      </c>
      <c r="N27" t="n">
        <v>147</v>
      </c>
      <c r="O27" s="18" t="n">
        <v>0.00376982033852495</v>
      </c>
      <c r="P27" t="n">
        <v>149</v>
      </c>
      <c r="Q27" s="18" t="n">
        <v>0.00405260046528424</v>
      </c>
      <c r="R27" t="n">
        <v>149</v>
      </c>
      <c r="S27" s="18" t="n">
        <v>0.605219015353864</v>
      </c>
      <c r="T27" t="n">
        <v>278</v>
      </c>
      <c r="U27" s="18" t="n">
        <v>0.248882133435272</v>
      </c>
      <c r="V27" t="n">
        <v>167</v>
      </c>
      <c r="W27" s="18" t="n">
        <v>0.0251496422425849</v>
      </c>
      <c r="X27" t="n">
        <v>168</v>
      </c>
      <c r="Y27" s="18" t="n">
        <v>0.00332273851399498</v>
      </c>
      <c r="Z27" s="12" t="n">
        <v>169</v>
      </c>
    </row>
    <row r="28" outlineLevel="1" hidden="0">
      <c r="A28" s="7" t="s">
        <v>14</v>
      </c>
      <c r="B28" t="s">
        <v>32</v>
      </c>
      <c r="C28" s="18" t="n">
        <v>0.62369510981425</v>
      </c>
      <c r="D28" t="n">
        <v>544</v>
      </c>
      <c r="E28" s="18" t="n">
        <v>0.0907120600636333</v>
      </c>
      <c r="F28" t="n">
        <v>353</v>
      </c>
      <c r="G28" s="18" t="n">
        <v>0.103915796816587</v>
      </c>
      <c r="H28" t="n">
        <v>353</v>
      </c>
      <c r="I28" s="18"/>
      <c r="J28"/>
      <c r="K28" s="18" t="n">
        <v>0.638904869046942</v>
      </c>
      <c r="L28" t="n">
        <v>276</v>
      </c>
      <c r="M28" s="18" t="n">
        <v>0.109615004578786</v>
      </c>
      <c r="N28" t="n">
        <v>184</v>
      </c>
      <c r="O28" s="18" t="n">
        <v>0.132791208940977</v>
      </c>
      <c r="P28" t="n">
        <v>184</v>
      </c>
      <c r="Q28" s="18"/>
      <c r="R28"/>
      <c r="S28" s="18" t="n">
        <v>0.607878793181875</v>
      </c>
      <c r="T28" t="n">
        <v>268</v>
      </c>
      <c r="U28" s="18" t="n">
        <v>0.0700131329355282</v>
      </c>
      <c r="V28" t="n">
        <v>169</v>
      </c>
      <c r="W28" s="18" t="n">
        <v>0.0720984901657951</v>
      </c>
      <c r="X28" t="n">
        <v>169</v>
      </c>
      <c r="Y28" s="18"/>
      <c r="Z28" s="12"/>
    </row>
    <row r="29" outlineLevel="1" hidden="0">
      <c r="A29" s="7" t="s">
        <v>14</v>
      </c>
      <c r="B29" t="s">
        <v>33</v>
      </c>
      <c r="C29" s="18" t="n">
        <v>0.595974449617703</v>
      </c>
      <c r="D29" t="n">
        <v>325</v>
      </c>
      <c r="E29" s="18" t="n">
        <v>0.00497450862441567</v>
      </c>
      <c r="F29" t="n">
        <v>192</v>
      </c>
      <c r="G29" s="18" t="n">
        <v>0.0332010350424504</v>
      </c>
      <c r="H29" t="n">
        <v>192</v>
      </c>
      <c r="I29" s="18"/>
      <c r="J29"/>
      <c r="K29" s="18" t="n">
        <v>0.603087116797228</v>
      </c>
      <c r="L29" t="n">
        <v>174</v>
      </c>
      <c r="M29" s="18" t="n">
        <v>0.00455301835341454</v>
      </c>
      <c r="N29" t="n">
        <v>103</v>
      </c>
      <c r="O29" s="18" t="n">
        <v>0.060775820614199</v>
      </c>
      <c r="P29" t="n">
        <v>103</v>
      </c>
      <c r="Q29" s="18"/>
      <c r="R29"/>
      <c r="S29" s="18" t="n">
        <v>0.587630034516102</v>
      </c>
      <c r="T29" t="n">
        <v>151</v>
      </c>
      <c r="U29" s="18" t="n">
        <v>0.00548199809232643</v>
      </c>
      <c r="V29" t="n">
        <v>89</v>
      </c>
      <c r="W29" s="18"/>
      <c r="X29"/>
      <c r="Y29" s="18"/>
      <c r="Z29" s="12"/>
    </row>
    <row r="30" outlineLevel="1" hidden="0">
      <c r="A30" s="7" t="s">
        <v>14</v>
      </c>
      <c r="B30" t="s">
        <v>34</v>
      </c>
      <c r="C30" s="18" t="n">
        <v>0.655211658623303</v>
      </c>
      <c r="D30" t="n">
        <v>687</v>
      </c>
      <c r="E30" s="18" t="n">
        <v>0.0320909683353839</v>
      </c>
      <c r="F30" t="n">
        <v>477</v>
      </c>
      <c r="G30" s="18" t="n">
        <v>0.0298154886431278</v>
      </c>
      <c r="H30" t="n">
        <v>478</v>
      </c>
      <c r="I30" s="18" t="n">
        <v>0.0204540030776169</v>
      </c>
      <c r="J30" t="n">
        <v>478</v>
      </c>
      <c r="K30" s="18" t="n">
        <v>0.661008299404693</v>
      </c>
      <c r="L30" t="n">
        <v>324</v>
      </c>
      <c r="M30" s="18" t="n">
        <v>0.0308560498221465</v>
      </c>
      <c r="N30" t="n">
        <v>229</v>
      </c>
      <c r="O30" s="18" t="n">
        <v>0.0324950589150703</v>
      </c>
      <c r="P30" t="n">
        <v>229</v>
      </c>
      <c r="Q30" s="18" t="n">
        <v>0.0236588465189168</v>
      </c>
      <c r="R30" t="n">
        <v>229</v>
      </c>
      <c r="S30" s="18" t="n">
        <v>0.650364736946997</v>
      </c>
      <c r="T30" t="n">
        <v>363</v>
      </c>
      <c r="U30" s="18" t="n">
        <v>0.0331481587691813</v>
      </c>
      <c r="V30" t="n">
        <v>248</v>
      </c>
      <c r="W30" s="18" t="n">
        <v>0.0275382702045946</v>
      </c>
      <c r="X30" t="n">
        <v>249</v>
      </c>
      <c r="Y30" s="18" t="n">
        <v>0.0177303840505071</v>
      </c>
      <c r="Z30" s="12" t="n">
        <v>249</v>
      </c>
    </row>
    <row r="31" outlineLevel="1" hidden="0">
      <c r="A31" s="7" t="s">
        <v>14</v>
      </c>
      <c r="B31" t="s">
        <v>35</v>
      </c>
      <c r="C31" s="18" t="n">
        <v>0.730204169259179</v>
      </c>
      <c r="D31" t="n">
        <v>1049</v>
      </c>
      <c r="E31" s="18" t="n">
        <v>0.0135111900677298</v>
      </c>
      <c r="F31" t="n">
        <v>745</v>
      </c>
      <c r="G31" s="18" t="n">
        <v>0.0468534145289071</v>
      </c>
      <c r="H31" t="n">
        <v>746</v>
      </c>
      <c r="I31" s="18" t="n">
        <v>0.0247399284551631</v>
      </c>
      <c r="J31" t="n">
        <v>744</v>
      </c>
      <c r="K31" s="18" t="n">
        <v>0.731476723642816</v>
      </c>
      <c r="L31" t="n">
        <v>509</v>
      </c>
      <c r="M31" s="18" t="n">
        <v>0.0160445408293878</v>
      </c>
      <c r="N31" t="n">
        <v>363</v>
      </c>
      <c r="O31" s="18" t="n">
        <v>0.0368052203479347</v>
      </c>
      <c r="P31" t="n">
        <v>364</v>
      </c>
      <c r="Q31" s="18" t="n">
        <v>0.0174997927410199</v>
      </c>
      <c r="R31" t="n">
        <v>363</v>
      </c>
      <c r="S31" s="18" t="n">
        <v>0.729046099013734</v>
      </c>
      <c r="T31" t="n">
        <v>540</v>
      </c>
      <c r="U31" s="18" t="n">
        <v>0.0112248679583916</v>
      </c>
      <c r="V31" t="n">
        <v>382</v>
      </c>
      <c r="W31" s="18" t="n">
        <v>0.0560281191632406</v>
      </c>
      <c r="X31" t="n">
        <v>382</v>
      </c>
      <c r="Y31" s="18" t="n">
        <v>0.0313497173446049</v>
      </c>
      <c r="Z31" s="12" t="n">
        <v>381</v>
      </c>
    </row>
    <row r="32" outlineLevel="1" hidden="0">
      <c r="A32" s="7" t="s">
        <v>14</v>
      </c>
      <c r="B32" t="s">
        <v>36</v>
      </c>
      <c r="C32" s="18" t="n">
        <v>0.77864046083518</v>
      </c>
      <c r="D32" t="n">
        <v>608</v>
      </c>
      <c r="E32" s="18" t="n">
        <v>0.081560628866746</v>
      </c>
      <c r="F32" t="n">
        <v>476</v>
      </c>
      <c r="G32" s="18" t="n">
        <v>0.26470111990176</v>
      </c>
      <c r="H32" t="n">
        <v>475</v>
      </c>
      <c r="I32" s="18" t="n">
        <v>0.00158567182621024</v>
      </c>
      <c r="J32" t="n">
        <v>474</v>
      </c>
      <c r="K32" s="18" t="n">
        <v>0.812797062178775</v>
      </c>
      <c r="L32" t="n">
        <v>280</v>
      </c>
      <c r="M32" s="18" t="n">
        <v>0.0716377864987369</v>
      </c>
      <c r="N32" t="n">
        <v>232</v>
      </c>
      <c r="O32" s="18" t="n">
        <v>0.301296535837288</v>
      </c>
      <c r="P32" t="n">
        <v>231</v>
      </c>
      <c r="Q32" s="18" t="n">
        <v>0.00328857137602251</v>
      </c>
      <c r="R32" t="n">
        <v>230</v>
      </c>
      <c r="S32" s="18" t="n">
        <v>0.749016744658351</v>
      </c>
      <c r="T32" t="n">
        <v>328</v>
      </c>
      <c r="U32" s="18" t="n">
        <v>0.0908994396910835</v>
      </c>
      <c r="V32" t="n">
        <v>244</v>
      </c>
      <c r="W32" s="18" t="n">
        <v>0.230367627445569</v>
      </c>
      <c r="X32" t="n">
        <v>244</v>
      </c>
      <c r="Y32" s="18"/>
      <c r="Z32" s="12"/>
    </row>
    <row r="33" outlineLevel="1" hidden="0">
      <c r="A33" s="7" t="s">
        <v>14</v>
      </c>
      <c r="B33" t="s">
        <v>37</v>
      </c>
      <c r="C33" s="18" t="n">
        <v>0.730347340386509</v>
      </c>
      <c r="D33" t="n">
        <v>494</v>
      </c>
      <c r="E33" s="18" t="n">
        <v>0.0214167607139745</v>
      </c>
      <c r="F33" t="n">
        <v>361</v>
      </c>
      <c r="G33" s="18" t="n">
        <v>0.0082926508014199</v>
      </c>
      <c r="H33" t="n">
        <v>361</v>
      </c>
      <c r="I33" s="18" t="n">
        <v>0.00193020301999167</v>
      </c>
      <c r="J33" t="n">
        <v>361</v>
      </c>
      <c r="K33" s="18" t="n">
        <v>0.751052899127102</v>
      </c>
      <c r="L33" t="n">
        <v>237</v>
      </c>
      <c r="M33" s="18" t="n">
        <v>0.0264023227490507</v>
      </c>
      <c r="N33" t="n">
        <v>176</v>
      </c>
      <c r="O33" s="18" t="n">
        <v>0.00840385321511915</v>
      </c>
      <c r="P33" t="n">
        <v>176</v>
      </c>
      <c r="Q33" s="18"/>
      <c r="R33"/>
      <c r="S33" s="18" t="n">
        <v>0.711251211591756</v>
      </c>
      <c r="T33" t="n">
        <v>257</v>
      </c>
      <c r="U33" s="18" t="n">
        <v>0.0165614166260533</v>
      </c>
      <c r="V33" t="n">
        <v>185</v>
      </c>
      <c r="W33" s="18" t="n">
        <v>0.00818435288473195</v>
      </c>
      <c r="X33" t="n">
        <v>185</v>
      </c>
      <c r="Y33" s="18" t="n">
        <v>0.00380999104703222</v>
      </c>
      <c r="Z33" s="12" t="n">
        <v>185</v>
      </c>
    </row>
    <row r="34" outlineLevel="1" hidden="0">
      <c r="A34" s="7" t="s">
        <v>14</v>
      </c>
      <c r="B34" t="s">
        <v>38</v>
      </c>
      <c r="C34" s="18" t="n">
        <v>0.509213272394346</v>
      </c>
      <c r="D34" t="n">
        <v>1412</v>
      </c>
      <c r="E34" s="18" t="n">
        <v>0.109418940273823</v>
      </c>
      <c r="F34" t="n">
        <v>656</v>
      </c>
      <c r="G34" s="18" t="n">
        <v>0.0534415852075637</v>
      </c>
      <c r="H34" t="n">
        <v>657</v>
      </c>
      <c r="I34" s="18" t="n">
        <v>0.0027807298241855</v>
      </c>
      <c r="J34" t="n">
        <v>657</v>
      </c>
      <c r="K34" s="18" t="n">
        <v>0.488277829191049</v>
      </c>
      <c r="L34" t="n">
        <v>741</v>
      </c>
      <c r="M34" s="18" t="n">
        <v>0.147765253324917</v>
      </c>
      <c r="N34" t="n">
        <v>328</v>
      </c>
      <c r="O34" s="18" t="n">
        <v>0.0408034556532949</v>
      </c>
      <c r="P34" t="n">
        <v>327</v>
      </c>
      <c r="Q34" s="18" t="n">
        <v>0.00578361926282572</v>
      </c>
      <c r="R34" t="n">
        <v>327</v>
      </c>
      <c r="S34" s="18" t="n">
        <v>0.530298712701443</v>
      </c>
      <c r="T34" t="n">
        <v>671</v>
      </c>
      <c r="U34" s="18" t="n">
        <v>0.0736600355663603</v>
      </c>
      <c r="V34" t="n">
        <v>328</v>
      </c>
      <c r="W34" s="18" t="n">
        <v>0.0650539327669111</v>
      </c>
      <c r="X34" t="n">
        <v>330</v>
      </c>
      <c r="Y34" s="18"/>
      <c r="Z34" s="12"/>
    </row>
    <row r="35" outlineLevel="1" hidden="0">
      <c r="A35" s="7" t="s">
        <v>14</v>
      </c>
      <c r="B35" t="s">
        <v>39</v>
      </c>
      <c r="C35" s="18" t="n">
        <v>0.758494411430955</v>
      </c>
      <c r="D35" t="n">
        <v>545</v>
      </c>
      <c r="E35" s="18" t="n">
        <v>0.124297516250071</v>
      </c>
      <c r="F35" t="n">
        <v>352</v>
      </c>
      <c r="G35" s="18" t="n">
        <v>0.00650879015042149</v>
      </c>
      <c r="H35" t="n">
        <v>353</v>
      </c>
      <c r="I35" s="18"/>
      <c r="J35"/>
      <c r="K35" s="18" t="n">
        <v>0.809050728237561</v>
      </c>
      <c r="L35" t="n">
        <v>261</v>
      </c>
      <c r="M35" s="18" t="n">
        <v>0.0825515738907651</v>
      </c>
      <c r="N35" t="n">
        <v>172</v>
      </c>
      <c r="O35" s="18" t="n">
        <v>0.00903998768599137</v>
      </c>
      <c r="P35" t="n">
        <v>172</v>
      </c>
      <c r="Q35" s="18"/>
      <c r="R35"/>
      <c r="S35" s="18" t="n">
        <v>0.717129236111721</v>
      </c>
      <c r="T35" t="n">
        <v>284</v>
      </c>
      <c r="U35" s="18" t="n">
        <v>0.162912778320937</v>
      </c>
      <c r="V35" t="n">
        <v>180</v>
      </c>
      <c r="W35" s="18" t="n">
        <v>0.00417230079652738</v>
      </c>
      <c r="X35" t="n">
        <v>181</v>
      </c>
      <c r="Y35" s="18"/>
      <c r="Z35" s="12"/>
    </row>
    <row r="36" outlineLevel="1" hidden="0">
      <c r="A36" s="7" t="s">
        <v>14</v>
      </c>
      <c r="B36" t="s">
        <v>40</v>
      </c>
      <c r="C36" s="18" t="n">
        <v>0.620769137658181</v>
      </c>
      <c r="D36" t="n">
        <v>489</v>
      </c>
      <c r="E36" s="18" t="n">
        <v>0.032582805536871</v>
      </c>
      <c r="F36" t="n">
        <v>302</v>
      </c>
      <c r="G36" s="18"/>
      <c r="H36"/>
      <c r="I36" s="18"/>
      <c r="J36"/>
      <c r="K36" s="18" t="n">
        <v>0.632066860922918</v>
      </c>
      <c r="L36" t="n">
        <v>239</v>
      </c>
      <c r="M36" s="18" t="n">
        <v>0.0318715680293064</v>
      </c>
      <c r="N36" t="n">
        <v>149</v>
      </c>
      <c r="O36" s="18"/>
      <c r="P36"/>
      <c r="Q36" s="18"/>
      <c r="R36"/>
      <c r="S36" s="18" t="n">
        <v>0.609379699143242</v>
      </c>
      <c r="T36" t="n">
        <v>250</v>
      </c>
      <c r="U36" s="18" t="n">
        <v>0.033326511171936</v>
      </c>
      <c r="V36" t="n">
        <v>153</v>
      </c>
      <c r="W36" s="18"/>
      <c r="X36"/>
      <c r="Y36" s="18"/>
      <c r="Z36" s="12"/>
    </row>
    <row r="37" outlineLevel="1" hidden="0">
      <c r="A37" s="7" t="s">
        <v>14</v>
      </c>
      <c r="B37" t="s">
        <v>41</v>
      </c>
      <c r="C37" s="18" t="n">
        <v>0.659375037187078</v>
      </c>
      <c r="D37" t="n">
        <v>318</v>
      </c>
      <c r="E37" s="18" t="n">
        <v>0.314414813921706</v>
      </c>
      <c r="F37" t="n">
        <v>208</v>
      </c>
      <c r="G37" s="18" t="n">
        <v>0.136152029734497</v>
      </c>
      <c r="H37" t="n">
        <v>209</v>
      </c>
      <c r="I37" s="18" t="n">
        <v>0.0194175969414793</v>
      </c>
      <c r="J37" t="n">
        <v>209</v>
      </c>
      <c r="K37" s="18" t="n">
        <v>0.646376403795736</v>
      </c>
      <c r="L37" t="n">
        <v>149</v>
      </c>
      <c r="M37" s="18" t="n">
        <v>0.313012798870954</v>
      </c>
      <c r="N37" t="n">
        <v>95</v>
      </c>
      <c r="O37" s="18" t="n">
        <v>0.142650428689281</v>
      </c>
      <c r="P37" t="n">
        <v>96</v>
      </c>
      <c r="Q37" s="18" t="n">
        <v>0.0212462604013658</v>
      </c>
      <c r="R37" t="n">
        <v>96</v>
      </c>
      <c r="S37" s="18" t="n">
        <v>0.67072546422518</v>
      </c>
      <c r="T37" t="n">
        <v>169</v>
      </c>
      <c r="U37" s="18" t="n">
        <v>0.315581421952638</v>
      </c>
      <c r="V37" t="n">
        <v>113</v>
      </c>
      <c r="W37" s="18" t="n">
        <v>0.130683613351948</v>
      </c>
      <c r="X37" t="n">
        <v>113</v>
      </c>
      <c r="Y37" s="18" t="n">
        <v>0.0178787727954412</v>
      </c>
      <c r="Z37" s="12" t="n">
        <v>113</v>
      </c>
    </row>
    <row r="38" outlineLevel="1" hidden="0">
      <c r="A38" s="7" t="s">
        <v>14</v>
      </c>
      <c r="B38" t="s">
        <v>42</v>
      </c>
      <c r="C38" s="18" t="n">
        <v>0.41348975829884</v>
      </c>
      <c r="D38" t="n">
        <v>890</v>
      </c>
      <c r="E38" s="18" t="n">
        <v>0.205456698645261</v>
      </c>
      <c r="F38" t="n">
        <v>350</v>
      </c>
      <c r="G38" s="18" t="n">
        <v>0.0654613769347481</v>
      </c>
      <c r="H38" t="n">
        <v>350</v>
      </c>
      <c r="I38" s="18" t="n">
        <v>0.0231905006772847</v>
      </c>
      <c r="J38" t="n">
        <v>349</v>
      </c>
      <c r="K38" s="18" t="n">
        <v>0.392351223255098</v>
      </c>
      <c r="L38" t="n">
        <v>446</v>
      </c>
      <c r="M38" s="18" t="n">
        <v>0.200353995567855</v>
      </c>
      <c r="N38" t="n">
        <v>170</v>
      </c>
      <c r="O38" s="18" t="n">
        <v>0.0400691124415075</v>
      </c>
      <c r="P38" t="n">
        <v>170</v>
      </c>
      <c r="Q38" s="18" t="n">
        <v>0.0192480822533838</v>
      </c>
      <c r="R38" t="n">
        <v>170</v>
      </c>
      <c r="S38" s="18" t="n">
        <v>0.434297665980554</v>
      </c>
      <c r="T38" t="n">
        <v>444</v>
      </c>
      <c r="U38" s="18" t="n">
        <v>0.210008178570976</v>
      </c>
      <c r="V38" t="n">
        <v>180</v>
      </c>
      <c r="W38" s="18" t="n">
        <v>0.0881106238841088</v>
      </c>
      <c r="X38" t="n">
        <v>180</v>
      </c>
      <c r="Y38" s="18" t="n">
        <v>0.0267177025218498</v>
      </c>
      <c r="Z38" s="12" t="n">
        <v>179</v>
      </c>
    </row>
    <row r="39" outlineLevel="1" hidden="0">
      <c r="A39" s="7" t="s">
        <v>14</v>
      </c>
      <c r="B39" t="s">
        <v>43</v>
      </c>
      <c r="C39" s="18" t="n">
        <v>0.660757160298753</v>
      </c>
      <c r="D39" t="n">
        <v>450</v>
      </c>
      <c r="E39" s="18" t="n">
        <v>0.229154109748021</v>
      </c>
      <c r="F39" t="n">
        <v>300</v>
      </c>
      <c r="G39" s="18"/>
      <c r="H39"/>
      <c r="I39" s="18" t="n">
        <v>0.0068135308754933</v>
      </c>
      <c r="J39" t="n">
        <v>303</v>
      </c>
      <c r="K39" s="18" t="n">
        <v>0.693874082831937</v>
      </c>
      <c r="L39" t="n">
        <v>247</v>
      </c>
      <c r="M39" s="18" t="n">
        <v>0.208781635883041</v>
      </c>
      <c r="N39" t="n">
        <v>173</v>
      </c>
      <c r="O39" s="18"/>
      <c r="P39"/>
      <c r="Q39" s="18" t="n">
        <v>0.0121251896587662</v>
      </c>
      <c r="R39" t="n">
        <v>175</v>
      </c>
      <c r="S39" s="18" t="n">
        <v>0.622637697056044</v>
      </c>
      <c r="T39" t="n">
        <v>203</v>
      </c>
      <c r="U39" s="18" t="n">
        <v>0.255115628798124</v>
      </c>
      <c r="V39" t="n">
        <v>127</v>
      </c>
      <c r="W39" s="18"/>
      <c r="X39"/>
      <c r="Y39" s="18"/>
      <c r="Z39" s="12"/>
    </row>
    <row r="40" outlineLevel="1" hidden="0">
      <c r="A40" s="7" t="s">
        <v>14</v>
      </c>
      <c r="B40" t="s">
        <v>44</v>
      </c>
      <c r="C40" s="18" t="n">
        <v>0.716879967189613</v>
      </c>
      <c r="D40" t="n">
        <v>283</v>
      </c>
      <c r="E40" s="18" t="n">
        <v>0.371151782183811</v>
      </c>
      <c r="F40" t="n">
        <v>202</v>
      </c>
      <c r="G40" s="18" t="n">
        <v>0.0199485187040328</v>
      </c>
      <c r="H40" t="n">
        <v>200</v>
      </c>
      <c r="I40" s="18" t="n">
        <v>0.0705399055299652</v>
      </c>
      <c r="J40" t="n">
        <v>198</v>
      </c>
      <c r="K40" s="18" t="n">
        <v>0.700215445047409</v>
      </c>
      <c r="L40" t="n">
        <v>137</v>
      </c>
      <c r="M40" s="18" t="n">
        <v>0.291615889584269</v>
      </c>
      <c r="N40" t="n">
        <v>96</v>
      </c>
      <c r="O40" s="18" t="n">
        <v>0.0209955963186975</v>
      </c>
      <c r="P40" t="n">
        <v>95</v>
      </c>
      <c r="Q40" s="18" t="n">
        <v>0.0530590619631081</v>
      </c>
      <c r="R40" t="n">
        <v>94</v>
      </c>
      <c r="S40" s="18" t="n">
        <v>0.732525527263289</v>
      </c>
      <c r="T40" t="n">
        <v>146</v>
      </c>
      <c r="U40" s="18" t="n">
        <v>0.443202512289563</v>
      </c>
      <c r="V40" t="n">
        <v>106</v>
      </c>
      <c r="W40" s="18" t="n">
        <v>0.0190009182702625</v>
      </c>
      <c r="X40" t="n">
        <v>105</v>
      </c>
      <c r="Y40" s="18" t="n">
        <v>0.0863436819881322</v>
      </c>
      <c r="Z40" s="12" t="n">
        <v>104</v>
      </c>
    </row>
    <row r="41" outlineLevel="1" hidden="0">
      <c r="A41" s="7" t="s">
        <v>14</v>
      </c>
      <c r="B41" t="s">
        <v>45</v>
      </c>
      <c r="C41" s="18" t="n">
        <v>0.57215496375931</v>
      </c>
      <c r="D41" t="n">
        <v>813</v>
      </c>
      <c r="E41" s="18" t="n">
        <v>0.0483926244405796</v>
      </c>
      <c r="F41" t="n">
        <v>422</v>
      </c>
      <c r="G41" s="18" t="n">
        <v>0.0144470449280993</v>
      </c>
      <c r="H41" t="n">
        <v>421</v>
      </c>
      <c r="I41" s="18" t="n">
        <v>0.00156939737354912</v>
      </c>
      <c r="J41" t="n">
        <v>421</v>
      </c>
      <c r="K41" s="18" t="n">
        <v>0.571626208829206</v>
      </c>
      <c r="L41" t="n">
        <v>375</v>
      </c>
      <c r="M41" s="18" t="n">
        <v>0.0536505539532874</v>
      </c>
      <c r="N41" t="n">
        <v>191</v>
      </c>
      <c r="O41" s="18" t="n">
        <v>0.0138911331620438</v>
      </c>
      <c r="P41" t="n">
        <v>190</v>
      </c>
      <c r="Q41" s="18" t="n">
        <v>0.000155588085254912</v>
      </c>
      <c r="R41" t="n">
        <v>190</v>
      </c>
      <c r="S41" s="18" t="n">
        <v>0.572639571460462</v>
      </c>
      <c r="T41" t="n">
        <v>438</v>
      </c>
      <c r="U41" s="18" t="n">
        <v>0.0435822219226856</v>
      </c>
      <c r="V41" t="n">
        <v>231</v>
      </c>
      <c r="W41" s="18" t="n">
        <v>0.014955565805182</v>
      </c>
      <c r="X41" t="n">
        <v>231</v>
      </c>
      <c r="Y41" s="18" t="n">
        <v>0.0028626710575833</v>
      </c>
      <c r="Z41" s="12" t="n">
        <v>231</v>
      </c>
    </row>
    <row r="42" outlineLevel="1" hidden="0">
      <c r="A42" s="7" t="s">
        <v>14</v>
      </c>
      <c r="B42" t="s">
        <v>46</v>
      </c>
      <c r="C42" s="18" t="n">
        <v>0.715974423723308</v>
      </c>
      <c r="D42" t="n">
        <v>612</v>
      </c>
      <c r="E42" s="18" t="n">
        <v>0.459301319817542</v>
      </c>
      <c r="F42" t="n">
        <v>391</v>
      </c>
      <c r="G42" s="18" t="n">
        <v>0.354071601168167</v>
      </c>
      <c r="H42" t="n">
        <v>393</v>
      </c>
      <c r="I42" s="18" t="n">
        <v>0.0422231657187519</v>
      </c>
      <c r="J42" t="n">
        <v>388</v>
      </c>
      <c r="K42" s="18" t="n">
        <v>0.718938165061631</v>
      </c>
      <c r="L42" t="n">
        <v>306</v>
      </c>
      <c r="M42" s="18" t="n">
        <v>0.431375632104627</v>
      </c>
      <c r="N42" t="n">
        <v>197</v>
      </c>
      <c r="O42" s="18" t="n">
        <v>0.3296679724255</v>
      </c>
      <c r="P42" t="n">
        <v>197</v>
      </c>
      <c r="Q42" s="18" t="n">
        <v>0.0437798269669467</v>
      </c>
      <c r="R42" t="n">
        <v>193</v>
      </c>
      <c r="S42" s="18" t="n">
        <v>0.712895025218615</v>
      </c>
      <c r="T42" t="n">
        <v>306</v>
      </c>
      <c r="U42" s="18" t="n">
        <v>0.488792194851724</v>
      </c>
      <c r="V42" t="n">
        <v>194</v>
      </c>
      <c r="W42" s="18" t="n">
        <v>0.379573965300819</v>
      </c>
      <c r="X42" t="n">
        <v>196</v>
      </c>
      <c r="Y42" s="18" t="n">
        <v>0.040620464503673</v>
      </c>
      <c r="Z42" s="12" t="n">
        <v>195</v>
      </c>
    </row>
    <row r="43" outlineLevel="1" hidden="0">
      <c r="A43" s="8" t="s">
        <v>14</v>
      </c>
      <c r="B43" s="10" t="s">
        <v>47</v>
      </c>
      <c r="C43" s="17" t="n">
        <v>0.564823936867436</v>
      </c>
      <c r="D43" s="10" t="n">
        <v>554</v>
      </c>
      <c r="E43" s="17" t="n">
        <v>0.191179749171321</v>
      </c>
      <c r="F43" s="10" t="n">
        <v>313</v>
      </c>
      <c r="G43" s="17"/>
      <c r="H43" s="10"/>
      <c r="I43" s="17" t="n">
        <v>0.00296241696216941</v>
      </c>
      <c r="J43" s="10" t="n">
        <v>311</v>
      </c>
      <c r="K43" s="17" t="n">
        <v>0.598853450383565</v>
      </c>
      <c r="L43" s="10" t="n">
        <v>259</v>
      </c>
      <c r="M43" s="17" t="n">
        <v>0.161517222902623</v>
      </c>
      <c r="N43" s="10" t="n">
        <v>155</v>
      </c>
      <c r="O43" s="17"/>
      <c r="P43" s="10"/>
      <c r="Q43" s="17"/>
      <c r="R43" s="10"/>
      <c r="S43" s="17" t="n">
        <v>0.534960443008885</v>
      </c>
      <c r="T43" s="10" t="n">
        <v>295</v>
      </c>
      <c r="U43" s="17" t="n">
        <v>0.220319906887872</v>
      </c>
      <c r="V43" s="10" t="n">
        <v>158</v>
      </c>
      <c r="W43" s="17"/>
      <c r="X43" s="10"/>
      <c r="Y43" s="17" t="n">
        <v>0.00591486404240364</v>
      </c>
      <c r="Z43" s="13" t="n">
        <v>156</v>
      </c>
    </row>
    <row r="44">
      <c r="C44" s="18"/>
      <c r="E44" s="18"/>
      <c r="G44" s="18"/>
      <c r="I44" s="18"/>
      <c r="K44" s="18"/>
      <c r="M44" s="18"/>
      <c r="O44" s="18"/>
      <c r="Q44" s="18"/>
      <c r="S44" s="18"/>
      <c r="U44" s="18"/>
      <c r="W44" s="18"/>
      <c r="Y44" s="18"/>
    </row>
    <row r="45">
      <c r="A45" s="2" t="s">
        <v>48</v>
      </c>
      <c r="B45" s="2"/>
      <c r="C45" s="14"/>
      <c r="D45" s="2"/>
      <c r="E45" s="14"/>
      <c r="F45" s="2"/>
      <c r="G45" s="14"/>
      <c r="H45" s="2"/>
      <c r="I45" s="14"/>
      <c r="J45" s="2"/>
      <c r="K45" s="14"/>
      <c r="L45" s="2"/>
      <c r="M45" s="14"/>
      <c r="N45" s="2"/>
      <c r="O45" s="14"/>
      <c r="P45" s="2"/>
      <c r="Q45" s="14"/>
      <c r="R45" s="2"/>
      <c r="S45" s="14"/>
      <c r="T45" s="2"/>
      <c r="U45" s="14"/>
      <c r="V45" s="2"/>
      <c r="W45" s="14"/>
      <c r="X45" s="2"/>
      <c r="Y45" s="14"/>
      <c r="Z45" s="2"/>
    </row>
    <row r="46" outlineLevel="1" hidden="0">
      <c r="A46" s="6" t="s">
        <v>14</v>
      </c>
      <c r="B46" s="9" t="s">
        <v>49</v>
      </c>
      <c r="C46" s="16" t="n">
        <v>0.644801937913169</v>
      </c>
      <c r="D46" s="9" t="n">
        <v>2000</v>
      </c>
      <c r="E46" s="16" t="n">
        <v>0.035316209172048</v>
      </c>
      <c r="F46" s="9" t="n">
        <v>1082</v>
      </c>
      <c r="G46" s="16" t="n">
        <v>0.0548726443689036</v>
      </c>
      <c r="H46" s="9" t="n">
        <v>1086</v>
      </c>
      <c r="I46" s="16" t="n">
        <v>0.00709333698353949</v>
      </c>
      <c r="J46" s="9" t="n">
        <v>1087</v>
      </c>
      <c r="K46" s="16" t="n">
        <v>0.621817585873402</v>
      </c>
      <c r="L46" s="9" t="n">
        <v>994</v>
      </c>
      <c r="M46" s="16" t="n">
        <v>0.0418285423551564</v>
      </c>
      <c r="N46" s="9" t="n">
        <v>513</v>
      </c>
      <c r="O46" s="16" t="n">
        <v>0.0558069919319016</v>
      </c>
      <c r="P46" s="9" t="n">
        <v>514</v>
      </c>
      <c r="Q46" s="16" t="n">
        <v>0.00209193956956759</v>
      </c>
      <c r="R46" s="9" t="n">
        <v>515</v>
      </c>
      <c r="S46" s="16" t="n">
        <v>0.667122546238235</v>
      </c>
      <c r="T46" s="9" t="n">
        <v>1006</v>
      </c>
      <c r="U46" s="16" t="n">
        <v>0.0294654052613027</v>
      </c>
      <c r="V46" s="9" t="n">
        <v>569</v>
      </c>
      <c r="W46" s="16" t="n">
        <v>0.0540269275347507</v>
      </c>
      <c r="X46" s="9" t="n">
        <v>572</v>
      </c>
      <c r="Y46" s="16" t="n">
        <v>0.0116204622210039</v>
      </c>
      <c r="Z46" s="11" t="n">
        <v>572</v>
      </c>
    </row>
    <row r="47" outlineLevel="1" hidden="0">
      <c r="A47" s="7" t="s">
        <v>14</v>
      </c>
      <c r="B47" t="s">
        <v>50</v>
      </c>
      <c r="C47" s="18" t="n">
        <v>0.692308344066395</v>
      </c>
      <c r="D47" t="n">
        <v>2809</v>
      </c>
      <c r="E47" s="18" t="n">
        <v>0.0489731607554945</v>
      </c>
      <c r="F47" t="n">
        <v>1897</v>
      </c>
      <c r="G47" s="18" t="n">
        <v>0.0663745867413102</v>
      </c>
      <c r="H47" t="n">
        <v>1897</v>
      </c>
      <c r="I47" s="18" t="n">
        <v>0.0250657379376996</v>
      </c>
      <c r="J47" t="n">
        <v>1893</v>
      </c>
      <c r="K47" s="18" t="n">
        <v>0.695860057466835</v>
      </c>
      <c r="L47" t="n">
        <v>1324</v>
      </c>
      <c r="M47" s="18" t="n">
        <v>0.0406497018505044</v>
      </c>
      <c r="N47" t="n">
        <v>894</v>
      </c>
      <c r="O47" s="18" t="n">
        <v>0.0637842904069541</v>
      </c>
      <c r="P47" t="n">
        <v>895</v>
      </c>
      <c r="Q47" s="18" t="n">
        <v>0.0210904446009017</v>
      </c>
      <c r="R47" t="n">
        <v>892</v>
      </c>
      <c r="S47" s="18" t="n">
        <v>0.689111424894168</v>
      </c>
      <c r="T47" t="n">
        <v>1485</v>
      </c>
      <c r="U47" s="18" t="n">
        <v>0.0565357318183285</v>
      </c>
      <c r="V47" t="n">
        <v>1003</v>
      </c>
      <c r="W47" s="18" t="n">
        <v>0.0687241584936551</v>
      </c>
      <c r="X47" t="n">
        <v>1002</v>
      </c>
      <c r="Y47" s="18" t="n">
        <v>0.0286801120499848</v>
      </c>
      <c r="Z47" s="12" t="n">
        <v>1001</v>
      </c>
    </row>
    <row r="48" outlineLevel="1" hidden="0">
      <c r="A48" s="8" t="s">
        <v>14</v>
      </c>
      <c r="B48" s="10" t="s">
        <v>51</v>
      </c>
      <c r="C48" s="17" t="n">
        <v>0.663828228067276</v>
      </c>
      <c r="D48" s="10" t="n">
        <v>7753</v>
      </c>
      <c r="E48" s="17" t="n">
        <v>0.112449132060552</v>
      </c>
      <c r="F48" s="10" t="n">
        <v>4942</v>
      </c>
      <c r="G48" s="17" t="n">
        <v>0.0549434185840866</v>
      </c>
      <c r="H48" s="10" t="n">
        <v>4947</v>
      </c>
      <c r="I48" s="17" t="n">
        <v>0.00828345655682604</v>
      </c>
      <c r="J48" s="10" t="n">
        <v>4936</v>
      </c>
      <c r="K48" s="17" t="n">
        <v>0.671853657807948</v>
      </c>
      <c r="L48" s="10" t="n">
        <v>3818</v>
      </c>
      <c r="M48" s="17" t="n">
        <v>0.110355244597462</v>
      </c>
      <c r="N48" s="10" t="n">
        <v>2446</v>
      </c>
      <c r="O48" s="17" t="n">
        <v>0.052098958950899</v>
      </c>
      <c r="P48" s="10" t="n">
        <v>2447</v>
      </c>
      <c r="Q48" s="17" t="n">
        <v>0.00862307431566562</v>
      </c>
      <c r="R48" s="10" t="n">
        <v>2440</v>
      </c>
      <c r="S48" s="17" t="n">
        <v>0.656565754188342</v>
      </c>
      <c r="T48" s="10" t="n">
        <v>3935</v>
      </c>
      <c r="U48" s="17" t="n">
        <v>0.114394796209103</v>
      </c>
      <c r="V48" s="10" t="n">
        <v>2496</v>
      </c>
      <c r="W48" s="17" t="n">
        <v>0.0575797559828313</v>
      </c>
      <c r="X48" s="10" t="n">
        <v>2500</v>
      </c>
      <c r="Y48" s="17" t="n">
        <v>0.007968974132109</v>
      </c>
      <c r="Z48" s="13" t="n">
        <v>2496</v>
      </c>
    </row>
    <row r="49">
      <c r="C49" s="18"/>
      <c r="E49" s="18"/>
      <c r="G49" s="18"/>
      <c r="I49" s="18"/>
      <c r="K49" s="18"/>
      <c r="M49" s="18"/>
      <c r="O49" s="18"/>
      <c r="Q49" s="18"/>
      <c r="S49" s="18"/>
      <c r="U49" s="18"/>
      <c r="W49" s="18"/>
      <c r="Y49" s="18"/>
    </row>
    <row r="50">
      <c r="A50" s="2" t="s">
        <v>52</v>
      </c>
      <c r="B50" s="2"/>
      <c r="C50" s="14"/>
      <c r="D50" s="2"/>
      <c r="E50" s="14"/>
      <c r="F50" s="2"/>
      <c r="G50" s="14"/>
      <c r="H50" s="2"/>
      <c r="I50" s="14"/>
      <c r="J50" s="2"/>
      <c r="K50" s="14"/>
      <c r="L50" s="2"/>
      <c r="M50" s="14"/>
      <c r="N50" s="2"/>
      <c r="O50" s="14"/>
      <c r="P50" s="2"/>
      <c r="Q50" s="14"/>
      <c r="R50" s="2"/>
      <c r="S50" s="14"/>
      <c r="T50" s="2"/>
      <c r="U50" s="14"/>
      <c r="V50" s="2"/>
      <c r="W50" s="14"/>
      <c r="X50" s="2"/>
      <c r="Y50" s="14"/>
      <c r="Z50" s="2"/>
    </row>
    <row r="51" outlineLevel="1" hidden="0">
      <c r="A51" s="6" t="s">
        <v>14</v>
      </c>
      <c r="B51" s="9" t="s">
        <v>53</v>
      </c>
      <c r="C51" s="16" t="n">
        <v>0.62629070620211</v>
      </c>
      <c r="D51" s="9" t="n">
        <v>3274</v>
      </c>
      <c r="E51" s="16" t="n">
        <v>0.0837023382844914</v>
      </c>
      <c r="F51" s="9" t="n">
        <v>1880</v>
      </c>
      <c r="G51" s="16" t="n">
        <v>0.0536830586524661</v>
      </c>
      <c r="H51" s="9" t="n">
        <v>1883</v>
      </c>
      <c r="I51" s="16" t="n">
        <v>0.0104655614211759</v>
      </c>
      <c r="J51" s="9" t="n">
        <v>1877</v>
      </c>
      <c r="K51" s="16" t="n">
        <v>0.658633525381611</v>
      </c>
      <c r="L51" s="9" t="n">
        <v>1623</v>
      </c>
      <c r="M51" s="16" t="n">
        <v>0.0668246523725082</v>
      </c>
      <c r="N51" s="9" t="n">
        <v>951</v>
      </c>
      <c r="O51" s="16" t="n">
        <v>0.0485637406367062</v>
      </c>
      <c r="P51" s="9" t="n">
        <v>953</v>
      </c>
      <c r="Q51" s="16" t="n">
        <v>0.0114070093787531</v>
      </c>
      <c r="R51" s="9" t="n">
        <v>949</v>
      </c>
      <c r="S51" s="16" t="n">
        <v>0.59459602637179</v>
      </c>
      <c r="T51" s="9" t="n">
        <v>1651</v>
      </c>
      <c r="U51" s="16" t="n">
        <v>0.102074893054352</v>
      </c>
      <c r="V51" s="9" t="n">
        <v>929</v>
      </c>
      <c r="W51" s="16" t="n">
        <v>0.0592421466190945</v>
      </c>
      <c r="X51" s="9" t="n">
        <v>930</v>
      </c>
      <c r="Y51" s="16" t="n">
        <v>0.00944340015873794</v>
      </c>
      <c r="Z51" s="11" t="n">
        <v>928</v>
      </c>
    </row>
    <row r="52" outlineLevel="1" hidden="0">
      <c r="A52" s="8" t="s">
        <v>14</v>
      </c>
      <c r="B52" s="10" t="s">
        <v>54</v>
      </c>
      <c r="C52" s="17" t="n">
        <v>0.677799795617223</v>
      </c>
      <c r="D52" s="10" t="n">
        <v>9288</v>
      </c>
      <c r="E52" s="17" t="n">
        <v>0.0726057896808171</v>
      </c>
      <c r="F52" s="10" t="n">
        <v>6041</v>
      </c>
      <c r="G52" s="17" t="n">
        <v>0.0588975619772783</v>
      </c>
      <c r="H52" s="10" t="n">
        <v>6047</v>
      </c>
      <c r="I52" s="17" t="n">
        <v>0.0124186036351549</v>
      </c>
      <c r="J52" s="10" t="n">
        <v>6039</v>
      </c>
      <c r="K52" s="17" t="n">
        <v>0.663375203400384</v>
      </c>
      <c r="L52" s="10" t="n">
        <v>4513</v>
      </c>
      <c r="M52" s="17" t="n">
        <v>0.0770476439547585</v>
      </c>
      <c r="N52" s="10" t="n">
        <v>2902</v>
      </c>
      <c r="O52" s="17" t="n">
        <v>0.0585200418929077</v>
      </c>
      <c r="P52" s="10" t="n">
        <v>2903</v>
      </c>
      <c r="Q52" s="17" t="n">
        <v>0.00914319186061142</v>
      </c>
      <c r="R52" s="10" t="n">
        <v>2898</v>
      </c>
      <c r="S52" s="17" t="n">
        <v>0.690842866564101</v>
      </c>
      <c r="T52" s="10" t="n">
        <v>4775</v>
      </c>
      <c r="U52" s="17" t="n">
        <v>0.068755746229409</v>
      </c>
      <c r="V52" s="10" t="n">
        <v>3139</v>
      </c>
      <c r="W52" s="17" t="n">
        <v>0.0592252657366132</v>
      </c>
      <c r="X52" s="10" t="n">
        <v>3144</v>
      </c>
      <c r="Y52" s="17" t="n">
        <v>0.0152629305947186</v>
      </c>
      <c r="Z52" s="13" t="n">
        <v>3141</v>
      </c>
    </row>
    <row r="53">
      <c r="C53" s="18"/>
      <c r="E53" s="18"/>
      <c r="G53" s="18"/>
      <c r="I53" s="18"/>
      <c r="K53" s="18"/>
      <c r="M53" s="18"/>
      <c r="O53" s="18"/>
      <c r="Q53" s="18"/>
      <c r="S53" s="18"/>
      <c r="U53" s="18"/>
      <c r="W53" s="18"/>
      <c r="Y53" s="18"/>
    </row>
    <row r="54">
      <c r="A54" s="2" t="s">
        <v>55</v>
      </c>
      <c r="B54" s="2"/>
      <c r="C54" s="14"/>
      <c r="D54" s="2"/>
      <c r="E54" s="14"/>
      <c r="F54" s="2"/>
      <c r="G54" s="14"/>
      <c r="H54" s="2"/>
      <c r="I54" s="14"/>
      <c r="J54" s="2"/>
      <c r="K54" s="14"/>
      <c r="L54" s="2"/>
      <c r="M54" s="14"/>
      <c r="N54" s="2"/>
      <c r="O54" s="14"/>
      <c r="P54" s="2"/>
      <c r="Q54" s="14"/>
      <c r="R54" s="2"/>
      <c r="S54" s="14"/>
      <c r="T54" s="2"/>
      <c r="U54" s="14"/>
      <c r="V54" s="2"/>
      <c r="W54" s="14"/>
      <c r="X54" s="2"/>
      <c r="Y54" s="14"/>
      <c r="Z54" s="2"/>
    </row>
    <row r="55" outlineLevel="1" hidden="0">
      <c r="A55" s="6" t="s">
        <v>14</v>
      </c>
      <c r="B55" s="9" t="s">
        <v>56</v>
      </c>
      <c r="C55" s="16" t="n">
        <v>0.644801937913169</v>
      </c>
      <c r="D55" s="9" t="n">
        <v>2000</v>
      </c>
      <c r="E55" s="16" t="n">
        <v>0.035316209172048</v>
      </c>
      <c r="F55" s="9" t="n">
        <v>1082</v>
      </c>
      <c r="G55" s="16" t="n">
        <v>0.0548726443689036</v>
      </c>
      <c r="H55" s="9" t="n">
        <v>1086</v>
      </c>
      <c r="I55" s="16" t="n">
        <v>0.00709333698353949</v>
      </c>
      <c r="J55" s="9" t="n">
        <v>1087</v>
      </c>
      <c r="K55" s="16" t="n">
        <v>0.621817585873402</v>
      </c>
      <c r="L55" s="9" t="n">
        <v>994</v>
      </c>
      <c r="M55" s="16" t="n">
        <v>0.0418285423551564</v>
      </c>
      <c r="N55" s="9" t="n">
        <v>513</v>
      </c>
      <c r="O55" s="16" t="n">
        <v>0.0558069919319016</v>
      </c>
      <c r="P55" s="9" t="n">
        <v>514</v>
      </c>
      <c r="Q55" s="16" t="n">
        <v>0.00209193956956759</v>
      </c>
      <c r="R55" s="9" t="n">
        <v>515</v>
      </c>
      <c r="S55" s="16" t="n">
        <v>0.667122546238235</v>
      </c>
      <c r="T55" s="9" t="n">
        <v>1006</v>
      </c>
      <c r="U55" s="16" t="n">
        <v>0.0294654052613027</v>
      </c>
      <c r="V55" s="9" t="n">
        <v>569</v>
      </c>
      <c r="W55" s="16" t="n">
        <v>0.0540269275347507</v>
      </c>
      <c r="X55" s="9" t="n">
        <v>572</v>
      </c>
      <c r="Y55" s="16" t="n">
        <v>0.0116204622210039</v>
      </c>
      <c r="Z55" s="11" t="n">
        <v>572</v>
      </c>
    </row>
    <row r="56" outlineLevel="1" hidden="0">
      <c r="A56" s="7" t="s">
        <v>14</v>
      </c>
      <c r="B56" t="s">
        <v>57</v>
      </c>
      <c r="C56" s="18" t="n">
        <v>0.646918386912171</v>
      </c>
      <c r="D56" t="n">
        <v>7512</v>
      </c>
      <c r="E56" s="18" t="n">
        <v>0.121475024971674</v>
      </c>
      <c r="F56" t="n">
        <v>4677</v>
      </c>
      <c r="G56" s="18" t="n">
        <v>0.0645432916051629</v>
      </c>
      <c r="H56" t="n">
        <v>4684</v>
      </c>
      <c r="I56" s="18" t="n">
        <v>0.00940196201024949</v>
      </c>
      <c r="J56" t="n">
        <v>4668</v>
      </c>
      <c r="K56" s="18" t="n">
        <v>0.631050050757757</v>
      </c>
      <c r="L56" t="n">
        <v>3670</v>
      </c>
      <c r="M56" s="18" t="n">
        <v>0.121016137736057</v>
      </c>
      <c r="N56" t="n">
        <v>2254</v>
      </c>
      <c r="O56" s="18" t="n">
        <v>0.0587639940575713</v>
      </c>
      <c r="P56" t="n">
        <v>2257</v>
      </c>
      <c r="Q56" s="18" t="n">
        <v>0.00927666977186148</v>
      </c>
      <c r="R56" t="n">
        <v>2246</v>
      </c>
      <c r="S56" s="18" t="n">
        <v>0.661647519687025</v>
      </c>
      <c r="T56" t="n">
        <v>3842</v>
      </c>
      <c r="U56" s="18" t="n">
        <v>0.121882963437796</v>
      </c>
      <c r="V56" t="n">
        <v>2423</v>
      </c>
      <c r="W56" s="18" t="n">
        <v>0.0696592625829556</v>
      </c>
      <c r="X56" t="n">
        <v>2427</v>
      </c>
      <c r="Y56" s="18" t="n">
        <v>0.00951286099984172</v>
      </c>
      <c r="Z56" s="12" t="n">
        <v>2422</v>
      </c>
    </row>
    <row r="57" outlineLevel="1" hidden="0">
      <c r="A57" s="8" t="s">
        <v>14</v>
      </c>
      <c r="B57" s="10" t="s">
        <v>58</v>
      </c>
      <c r="C57" s="17" t="n">
        <v>0.703954853137928</v>
      </c>
      <c r="D57" s="10" t="n">
        <v>3050</v>
      </c>
      <c r="E57" s="17" t="n">
        <v>0.0584859561065657</v>
      </c>
      <c r="F57" s="10" t="n">
        <v>2162</v>
      </c>
      <c r="G57" s="17" t="n">
        <v>0.052519989196409</v>
      </c>
      <c r="H57" s="10" t="n">
        <v>2160</v>
      </c>
      <c r="I57" s="17" t="n">
        <v>0.0187649850940822</v>
      </c>
      <c r="J57" s="10" t="n">
        <v>2161</v>
      </c>
      <c r="K57" s="17" t="n">
        <v>0.738755016206702</v>
      </c>
      <c r="L57" s="10" t="n">
        <v>1472</v>
      </c>
      <c r="M57" s="17" t="n">
        <v>0.0520858210160168</v>
      </c>
      <c r="N57" s="10" t="n">
        <v>1086</v>
      </c>
      <c r="O57" s="17" t="n">
        <v>0.0530897841036664</v>
      </c>
      <c r="P57" s="10" t="n">
        <v>1085</v>
      </c>
      <c r="Q57" s="17" t="n">
        <v>0.0163902568739017</v>
      </c>
      <c r="R57" s="10" t="n">
        <v>1086</v>
      </c>
      <c r="S57" s="17" t="n">
        <v>0.673509041461576</v>
      </c>
      <c r="T57" s="10" t="n">
        <v>1578</v>
      </c>
      <c r="U57" s="17" t="n">
        <v>0.0646270087578495</v>
      </c>
      <c r="V57" s="10" t="n">
        <v>1076</v>
      </c>
      <c r="W57" s="17" t="n">
        <v>0.0519732892127908</v>
      </c>
      <c r="X57" s="10" t="n">
        <v>1075</v>
      </c>
      <c r="Y57" s="17" t="n">
        <v>0.0210443046196418</v>
      </c>
      <c r="Z57" s="13" t="n">
        <v>1075</v>
      </c>
    </row>
    <row r="58">
      <c r="C58" s="18"/>
      <c r="E58" s="18"/>
      <c r="G58" s="18"/>
      <c r="I58" s="18"/>
      <c r="K58" s="18"/>
      <c r="M58" s="18"/>
      <c r="O58" s="18"/>
      <c r="Q58" s="18"/>
      <c r="S58" s="18"/>
      <c r="U58" s="18"/>
      <c r="W58" s="18"/>
      <c r="Y58" s="18"/>
    </row>
    <row r="59">
      <c r="A59" s="2" t="s">
        <v>59</v>
      </c>
      <c r="B59" s="2"/>
      <c r="C59" s="14"/>
      <c r="D59" s="2"/>
      <c r="E59" s="14"/>
      <c r="F59" s="2"/>
      <c r="G59" s="14"/>
      <c r="H59" s="2"/>
      <c r="I59" s="14"/>
      <c r="J59" s="2"/>
      <c r="K59" s="14"/>
      <c r="L59" s="2"/>
      <c r="M59" s="14"/>
      <c r="N59" s="2"/>
      <c r="O59" s="14"/>
      <c r="P59" s="2"/>
      <c r="Q59" s="14"/>
      <c r="R59" s="2"/>
      <c r="S59" s="14"/>
      <c r="T59" s="2"/>
      <c r="U59" s="14"/>
      <c r="V59" s="2"/>
      <c r="W59" s="14"/>
      <c r="X59" s="2"/>
      <c r="Y59" s="14"/>
      <c r="Z59" s="2"/>
    </row>
    <row r="60" outlineLevel="1" hidden="0">
      <c r="A60" s="6" t="s">
        <v>14</v>
      </c>
      <c r="B60" s="9" t="s">
        <v>60</v>
      </c>
      <c r="C60" s="16" t="n">
        <v>0.664972592830522</v>
      </c>
      <c r="D60" s="9" t="n">
        <v>4707</v>
      </c>
      <c r="E60" s="16" t="n">
        <v>0.0405671364399185</v>
      </c>
      <c r="F60" s="9" t="n">
        <v>2911</v>
      </c>
      <c r="G60" s="16" t="n">
        <v>0.0597180858588938</v>
      </c>
      <c r="H60" s="9" t="n">
        <v>2914</v>
      </c>
      <c r="I60" s="16" t="n">
        <v>0.0154809112700328</v>
      </c>
      <c r="J60" s="9" t="n">
        <v>2911</v>
      </c>
      <c r="K60" s="16" t="n">
        <v>0.652698399534071</v>
      </c>
      <c r="L60" s="9" t="n">
        <v>2275</v>
      </c>
      <c r="M60" s="16" t="n">
        <v>0.0410379518116588</v>
      </c>
      <c r="N60" s="9" t="n">
        <v>1376</v>
      </c>
      <c r="O60" s="16" t="n">
        <v>0.0581723520005091</v>
      </c>
      <c r="P60" s="9" t="n">
        <v>1377</v>
      </c>
      <c r="Q60" s="16" t="n">
        <v>0.0108542374589265</v>
      </c>
      <c r="R60" s="9" t="n">
        <v>1375</v>
      </c>
      <c r="S60" s="16" t="n">
        <v>0.676589885808616</v>
      </c>
      <c r="T60" s="9" t="n">
        <v>2432</v>
      </c>
      <c r="U60" s="16" t="n">
        <v>0.0401389312895172</v>
      </c>
      <c r="V60" s="9" t="n">
        <v>1535</v>
      </c>
      <c r="W60" s="16" t="n">
        <v>0.0611280838085739</v>
      </c>
      <c r="X60" s="9" t="n">
        <v>1537</v>
      </c>
      <c r="Y60" s="16" t="n">
        <v>0.0197059691252992</v>
      </c>
      <c r="Z60" s="11" t="n">
        <v>1536</v>
      </c>
    </row>
    <row r="61" outlineLevel="1" hidden="0">
      <c r="A61" s="7" t="s">
        <v>14</v>
      </c>
      <c r="B61" t="s">
        <v>61</v>
      </c>
      <c r="C61" s="18" t="n">
        <v>0.682592159750875</v>
      </c>
      <c r="D61" t="n">
        <v>31</v>
      </c>
      <c r="E61" s="18"/>
      <c r="F61"/>
      <c r="G61" s="18"/>
      <c r="H61"/>
      <c r="I61" s="18"/>
      <c r="J61"/>
      <c r="K61" s="18" t="n">
        <v>0.692939106357846</v>
      </c>
      <c r="L61" t="n">
        <v>15</v>
      </c>
      <c r="M61" s="18"/>
      <c r="N61"/>
      <c r="O61" s="18"/>
      <c r="P61"/>
      <c r="Q61" s="18"/>
      <c r="R61"/>
      <c r="S61" s="18" t="n">
        <v>0.675568158368646</v>
      </c>
      <c r="T61" t="n">
        <v>16</v>
      </c>
      <c r="U61" s="18"/>
      <c r="V61"/>
      <c r="W61" s="18"/>
      <c r="X61"/>
      <c r="Y61" s="18"/>
      <c r="Z61" s="12"/>
    </row>
    <row r="62" outlineLevel="1" hidden="0">
      <c r="A62" s="7" t="s">
        <v>14</v>
      </c>
      <c r="B62" t="s">
        <v>62</v>
      </c>
      <c r="C62" s="18" t="n">
        <v>0.708463741701147</v>
      </c>
      <c r="D62" t="n">
        <v>42</v>
      </c>
      <c r="E62" s="18" t="n">
        <v>0.103512626300031</v>
      </c>
      <c r="F62" t="n">
        <v>30</v>
      </c>
      <c r="G62" s="18" t="n">
        <v>0.0320019981963847</v>
      </c>
      <c r="H62" t="n">
        <v>30</v>
      </c>
      <c r="I62" s="18"/>
      <c r="J62"/>
      <c r="K62" s="18" t="n">
        <v>0.806823454416385</v>
      </c>
      <c r="L62" t="n">
        <v>15</v>
      </c>
      <c r="M62" s="18"/>
      <c r="N62"/>
      <c r="O62" s="18" t="n">
        <v>0.113525641349705</v>
      </c>
      <c r="P62" t="n">
        <v>12</v>
      </c>
      <c r="Q62" s="18"/>
      <c r="R62"/>
      <c r="S62" s="18" t="n">
        <v>0.676108215503648</v>
      </c>
      <c r="T62" t="n">
        <v>27</v>
      </c>
      <c r="U62" s="18" t="n">
        <v>0.14414637072098</v>
      </c>
      <c r="V62" t="n">
        <v>18</v>
      </c>
      <c r="W62" s="18"/>
      <c r="X62"/>
      <c r="Y62" s="18"/>
      <c r="Z62" s="12"/>
    </row>
    <row r="63" outlineLevel="1" hidden="0">
      <c r="A63" s="7" t="s">
        <v>14</v>
      </c>
      <c r="B63" t="s">
        <v>63</v>
      </c>
      <c r="C63" s="18" t="n">
        <v>0.741604914449055</v>
      </c>
      <c r="D63" t="n">
        <v>29</v>
      </c>
      <c r="E63" s="18" t="n">
        <v>0.21359450353328</v>
      </c>
      <c r="F63" t="n">
        <v>22</v>
      </c>
      <c r="G63" s="18" t="n">
        <v>0.256559345385974</v>
      </c>
      <c r="H63" t="n">
        <v>23</v>
      </c>
      <c r="I63" s="18"/>
      <c r="J63"/>
      <c r="K63" s="18" t="n">
        <v>0.699765527286499</v>
      </c>
      <c r="L63" t="n">
        <v>13</v>
      </c>
      <c r="M63" s="18" t="n">
        <v>0.199000314059714</v>
      </c>
      <c r="N63" t="n">
        <v>10</v>
      </c>
      <c r="O63" s="18" t="n">
        <v>0.374376628429228</v>
      </c>
      <c r="P63" t="n">
        <v>11</v>
      </c>
      <c r="Q63" s="18"/>
      <c r="R63"/>
      <c r="S63" s="18" t="n">
        <v>0.780878091793756</v>
      </c>
      <c r="T63" t="n">
        <v>16</v>
      </c>
      <c r="U63" s="18" t="n">
        <v>0.224721621856282</v>
      </c>
      <c r="V63" t="n">
        <v>12</v>
      </c>
      <c r="W63" s="18" t="n">
        <v>0.157455836189795</v>
      </c>
      <c r="X63" t="n">
        <v>12</v>
      </c>
      <c r="Y63" s="18"/>
      <c r="Z63" s="12"/>
    </row>
    <row r="64" outlineLevel="1" hidden="0">
      <c r="A64" s="8" t="s">
        <v>14</v>
      </c>
      <c r="B64" s="10" t="s">
        <v>64</v>
      </c>
      <c r="C64" s="17" t="n">
        <v>0.663828228067276</v>
      </c>
      <c r="D64" s="10" t="n">
        <v>7753</v>
      </c>
      <c r="E64" s="17" t="n">
        <v>0.112449132060552</v>
      </c>
      <c r="F64" s="10" t="n">
        <v>4942</v>
      </c>
      <c r="G64" s="17" t="n">
        <v>0.0549434185840866</v>
      </c>
      <c r="H64" s="10" t="n">
        <v>4947</v>
      </c>
      <c r="I64" s="17" t="n">
        <v>0.00828345655682604</v>
      </c>
      <c r="J64" s="10" t="n">
        <v>4936</v>
      </c>
      <c r="K64" s="17" t="n">
        <v>0.671853657807948</v>
      </c>
      <c r="L64" s="10" t="n">
        <v>3818</v>
      </c>
      <c r="M64" s="17" t="n">
        <v>0.110355244597462</v>
      </c>
      <c r="N64" s="10" t="n">
        <v>2446</v>
      </c>
      <c r="O64" s="17" t="n">
        <v>0.052098958950899</v>
      </c>
      <c r="P64" s="10" t="n">
        <v>2447</v>
      </c>
      <c r="Q64" s="17" t="n">
        <v>0.00862307431566562</v>
      </c>
      <c r="R64" s="10" t="n">
        <v>2440</v>
      </c>
      <c r="S64" s="17" t="n">
        <v>0.656565754188342</v>
      </c>
      <c r="T64" s="10" t="n">
        <v>3935</v>
      </c>
      <c r="U64" s="17" t="n">
        <v>0.114394796209103</v>
      </c>
      <c r="V64" s="10" t="n">
        <v>2496</v>
      </c>
      <c r="W64" s="17" t="n">
        <v>0.0575797559828313</v>
      </c>
      <c r="X64" s="10" t="n">
        <v>2500</v>
      </c>
      <c r="Y64" s="17" t="n">
        <v>0.007968974132109</v>
      </c>
      <c r="Z64" s="13" t="n">
        <v>2496</v>
      </c>
    </row>
    <row r="65">
      <c r="C65" s="18"/>
      <c r="E65" s="18"/>
      <c r="G65" s="18"/>
      <c r="I65" s="18"/>
      <c r="K65" s="18"/>
      <c r="M65" s="18"/>
      <c r="O65" s="18"/>
      <c r="Q65" s="18"/>
      <c r="S65" s="18"/>
      <c r="U65" s="18"/>
      <c r="W65" s="18"/>
      <c r="Y65" s="18"/>
    </row>
    <row r="66">
      <c r="A66" s="2" t="s">
        <v>65</v>
      </c>
      <c r="B66" s="2"/>
      <c r="C66" s="14"/>
      <c r="D66" s="2"/>
      <c r="E66" s="14"/>
      <c r="F66" s="2"/>
      <c r="G66" s="14"/>
      <c r="H66" s="2"/>
      <c r="I66" s="14"/>
      <c r="J66" s="2"/>
      <c r="K66" s="14"/>
      <c r="L66" s="2"/>
      <c r="M66" s="14"/>
      <c r="N66" s="2"/>
      <c r="O66" s="14"/>
      <c r="P66" s="2"/>
      <c r="Q66" s="14"/>
      <c r="R66" s="2"/>
      <c r="S66" s="14"/>
      <c r="T66" s="2"/>
      <c r="U66" s="14"/>
      <c r="V66" s="2"/>
      <c r="W66" s="14"/>
      <c r="X66" s="2"/>
      <c r="Y66" s="14"/>
      <c r="Z66" s="2"/>
    </row>
    <row r="67" outlineLevel="1" hidden="0">
      <c r="A67" s="6" t="s">
        <v>14</v>
      </c>
      <c r="B67" s="9" t="s">
        <v>66</v>
      </c>
      <c r="C67" s="16" t="n">
        <v>0.670975610167873</v>
      </c>
      <c r="D67" s="9" t="n">
        <v>12200</v>
      </c>
      <c r="E67" s="16" t="n">
        <v>0.0750696485927391</v>
      </c>
      <c r="F67" s="9" t="n">
        <v>7775</v>
      </c>
      <c r="G67" s="16" t="n">
        <v>0.0579843372478466</v>
      </c>
      <c r="H67" s="9" t="n">
        <v>7783</v>
      </c>
      <c r="I67" s="16" t="n">
        <v>0.0120536763562061</v>
      </c>
      <c r="J67" s="9" t="n">
        <v>7769</v>
      </c>
      <c r="K67" s="16" t="n">
        <v>0.666851087016214</v>
      </c>
      <c r="L67" s="9" t="n">
        <v>5973</v>
      </c>
      <c r="M67" s="16" t="n">
        <v>0.0751395433804453</v>
      </c>
      <c r="N67" s="9" t="n">
        <v>3777</v>
      </c>
      <c r="O67" s="16" t="n">
        <v>0.0563092179047203</v>
      </c>
      <c r="P67" s="9" t="n">
        <v>3779</v>
      </c>
      <c r="Q67" s="16" t="n">
        <v>0.00967740609985431</v>
      </c>
      <c r="R67" s="9" t="n">
        <v>3770</v>
      </c>
      <c r="S67" s="16" t="n">
        <v>0.674759154291446</v>
      </c>
      <c r="T67" s="9" t="n">
        <v>6227</v>
      </c>
      <c r="U67" s="16" t="n">
        <v>0.0750063173720686</v>
      </c>
      <c r="V67" s="9" t="n">
        <v>3998</v>
      </c>
      <c r="W67" s="16" t="n">
        <v>0.0595028346037206</v>
      </c>
      <c r="X67" s="9" t="n">
        <v>4004</v>
      </c>
      <c r="Y67" s="16" t="n">
        <v>0.0142080329503439</v>
      </c>
      <c r="Z67" s="11" t="n">
        <v>3999</v>
      </c>
    </row>
    <row r="68" outlineLevel="1" hidden="0">
      <c r="A68" s="8" t="s">
        <v>14</v>
      </c>
      <c r="B68" s="10" t="s">
        <v>67</v>
      </c>
      <c r="C68" s="17" t="n">
        <v>0.458264820497256</v>
      </c>
      <c r="D68" s="10" t="n">
        <v>362</v>
      </c>
      <c r="E68" s="17" t="n">
        <v>0.0844243991675706</v>
      </c>
      <c r="F68" s="10" t="n">
        <v>146</v>
      </c>
      <c r="G68" s="17" t="n">
        <v>0.0415251127026858</v>
      </c>
      <c r="H68" s="10" t="n">
        <v>147</v>
      </c>
      <c r="I68" s="17" t="n">
        <v>0.00708432078586081</v>
      </c>
      <c r="J68" s="10" t="n">
        <v>147</v>
      </c>
      <c r="K68" s="17" t="n">
        <v>0.520924935679353</v>
      </c>
      <c r="L68" s="10" t="n">
        <v>163</v>
      </c>
      <c r="M68" s="17" t="n">
        <v>0.0453673998706657</v>
      </c>
      <c r="N68" s="10" t="n">
        <v>76</v>
      </c>
      <c r="O68" s="17" t="n">
        <v>0.0413986331290404</v>
      </c>
      <c r="P68" s="10" t="n">
        <v>77</v>
      </c>
      <c r="Q68" s="17" t="n">
        <v>0.0117655294540304</v>
      </c>
      <c r="R68" s="10" t="n">
        <v>77</v>
      </c>
      <c r="S68" s="17" t="n">
        <v>0.387691226753231</v>
      </c>
      <c r="T68" s="10" t="n">
        <v>199</v>
      </c>
      <c r="U68" s="17" t="n">
        <v>0.14335927580216</v>
      </c>
      <c r="V68" s="10" t="n">
        <v>70</v>
      </c>
      <c r="W68" s="17" t="n">
        <v>0.0417165209342084</v>
      </c>
      <c r="X68" s="10" t="n">
        <v>70</v>
      </c>
      <c r="Y68" s="17"/>
      <c r="Z68" s="13"/>
    </row>
    <row r="69">
      <c r="C69" s="18"/>
      <c r="E69" s="18"/>
      <c r="G69" s="18"/>
      <c r="I69" s="18"/>
      <c r="K69" s="18"/>
      <c r="M69" s="18"/>
      <c r="O69" s="18"/>
      <c r="Q69" s="18"/>
      <c r="S69" s="18"/>
      <c r="U69" s="18"/>
      <c r="W69" s="18"/>
      <c r="Y69" s="18"/>
    </row>
    <row r="70">
      <c r="A70" s="2" t="s">
        <v>68</v>
      </c>
      <c r="B70" s="2"/>
      <c r="C70" s="14"/>
      <c r="D70" s="2"/>
      <c r="E70" s="14"/>
      <c r="F70" s="2"/>
      <c r="G70" s="14"/>
      <c r="H70" s="2"/>
      <c r="I70" s="14"/>
      <c r="J70" s="2"/>
      <c r="K70" s="14"/>
      <c r="L70" s="2"/>
      <c r="M70" s="14"/>
      <c r="N70" s="2"/>
      <c r="O70" s="14"/>
      <c r="P70" s="2"/>
      <c r="Q70" s="14"/>
      <c r="R70" s="2"/>
      <c r="S70" s="14"/>
      <c r="T70" s="2"/>
      <c r="U70" s="14"/>
      <c r="V70" s="2"/>
      <c r="W70" s="14"/>
      <c r="X70" s="2"/>
      <c r="Y70" s="14"/>
      <c r="Z70" s="2"/>
    </row>
    <row r="71" outlineLevel="1" hidden="0">
      <c r="A71" s="6" t="s">
        <v>14</v>
      </c>
      <c r="B71" s="9" t="s">
        <v>66</v>
      </c>
      <c r="C71" s="16" t="n">
        <v>0.670403276396735</v>
      </c>
      <c r="D71" s="9" t="n">
        <v>12064</v>
      </c>
      <c r="E71" s="16" t="n">
        <v>0.0752135711747099</v>
      </c>
      <c r="F71" s="9" t="n">
        <v>7681</v>
      </c>
      <c r="G71" s="16" t="n">
        <v>0.0581306624592274</v>
      </c>
      <c r="H71" s="9" t="n">
        <v>7688</v>
      </c>
      <c r="I71" s="16" t="n">
        <v>0.0121629008516396</v>
      </c>
      <c r="J71" s="9" t="n">
        <v>7674</v>
      </c>
      <c r="K71" s="16" t="n">
        <v>0.667647506390788</v>
      </c>
      <c r="L71" s="9" t="n">
        <v>5917</v>
      </c>
      <c r="M71" s="16" t="n">
        <v>0.0752542376719674</v>
      </c>
      <c r="N71" s="9" t="n">
        <v>3741</v>
      </c>
      <c r="O71" s="16" t="n">
        <v>0.0561511160968946</v>
      </c>
      <c r="P71" s="9" t="n">
        <v>3742</v>
      </c>
      <c r="Q71" s="16" t="n">
        <v>0.00966573306931554</v>
      </c>
      <c r="R71" s="9" t="n">
        <v>3733</v>
      </c>
      <c r="S71" s="16" t="n">
        <v>0.672945893158672</v>
      </c>
      <c r="T71" s="9" t="n">
        <v>6147</v>
      </c>
      <c r="U71" s="16" t="n">
        <v>0.0751763615666555</v>
      </c>
      <c r="V71" s="9" t="n">
        <v>3940</v>
      </c>
      <c r="W71" s="16" t="n">
        <v>0.0599425752536979</v>
      </c>
      <c r="X71" s="9" t="n">
        <v>3946</v>
      </c>
      <c r="Y71" s="16" t="n">
        <v>0.0144489056842682</v>
      </c>
      <c r="Z71" s="11" t="n">
        <v>3941</v>
      </c>
    </row>
    <row r="72" outlineLevel="1" hidden="0">
      <c r="A72" s="8" t="s">
        <v>14</v>
      </c>
      <c r="B72" s="10" t="s">
        <v>67</v>
      </c>
      <c r="C72" s="17" t="n">
        <v>0.529733983716922</v>
      </c>
      <c r="D72" s="10" t="n">
        <v>498</v>
      </c>
      <c r="E72" s="17" t="n">
        <v>0.076622474546834</v>
      </c>
      <c r="F72" s="10" t="n">
        <v>240</v>
      </c>
      <c r="G72" s="17" t="n">
        <v>0.0431976930943177</v>
      </c>
      <c r="H72" s="10" t="n">
        <v>242</v>
      </c>
      <c r="I72" s="17" t="n">
        <v>0.00562855675090688</v>
      </c>
      <c r="J72" s="10" t="n">
        <v>242</v>
      </c>
      <c r="K72" s="17" t="n">
        <v>0.53093196380604</v>
      </c>
      <c r="L72" s="10" t="n">
        <v>219</v>
      </c>
      <c r="M72" s="17" t="n">
        <v>0.0482511882665396</v>
      </c>
      <c r="N72" s="10" t="n">
        <v>112</v>
      </c>
      <c r="O72" s="17" t="n">
        <v>0.0493121808012364</v>
      </c>
      <c r="P72" s="10" t="n">
        <v>114</v>
      </c>
      <c r="Q72" s="17" t="n">
        <v>0.0116683156083341</v>
      </c>
      <c r="R72" s="10" t="n">
        <v>114</v>
      </c>
      <c r="S72" s="17" t="n">
        <v>0.528622421547653</v>
      </c>
      <c r="T72" s="10" t="n">
        <v>279</v>
      </c>
      <c r="U72" s="17" t="n">
        <v>0.102941060384479</v>
      </c>
      <c r="V72" s="10" t="n">
        <v>128</v>
      </c>
      <c r="W72" s="17" t="n">
        <v>0.0374994952235878</v>
      </c>
      <c r="X72" s="10" t="n">
        <v>128</v>
      </c>
      <c r="Y72" s="17"/>
      <c r="Z72" s="13"/>
    </row>
    <row r="73">
      <c r="C73" s="18"/>
      <c r="E73" s="18"/>
      <c r="G73" s="18"/>
      <c r="I73" s="18"/>
      <c r="K73" s="18"/>
      <c r="M73" s="18"/>
      <c r="O73" s="18"/>
      <c r="Q73" s="18"/>
      <c r="S73" s="18"/>
      <c r="U73" s="18"/>
      <c r="W73" s="18"/>
      <c r="Y73" s="18"/>
    </row>
    <row r="74">
      <c r="C74" s="18"/>
      <c r="E74" s="18"/>
      <c r="G74" s="18"/>
      <c r="I74" s="18"/>
      <c r="K74" s="18"/>
      <c r="M74" s="18"/>
      <c r="O74" s="18"/>
      <c r="Q74" s="18"/>
      <c r="S74" s="18"/>
      <c r="U74" s="18"/>
      <c r="W74" s="18"/>
      <c r="Y74" s="18"/>
    </row>
  </sheetData>
  <mergeCells count="29">
    <mergeCell ref="A1:Z1"/>
    <mergeCell ref="C2:J2"/>
    <mergeCell ref="K2:R2"/>
    <mergeCell ref="S2:Z2"/>
    <mergeCell ref="E3:J3"/>
    <mergeCell ref="M3:R3"/>
    <mergeCell ref="U3:Z3"/>
    <mergeCell ref="E4:F4"/>
    <mergeCell ref="G4:H4"/>
    <mergeCell ref="I4:J4"/>
    <mergeCell ref="C4:D4"/>
    <mergeCell ref="M4:N4"/>
    <mergeCell ref="O4:P4"/>
    <mergeCell ref="Q4:R4"/>
    <mergeCell ref="K4:L4"/>
    <mergeCell ref="U4:V4"/>
    <mergeCell ref="W4:X4"/>
    <mergeCell ref="Y4:Z4"/>
    <mergeCell ref="S4:T4"/>
    <mergeCell ref="A6:Z6"/>
    <mergeCell ref="A9:Z9"/>
    <mergeCell ref="A15:Z15"/>
    <mergeCell ref="A22:Z22"/>
    <mergeCell ref="A45:Z45"/>
    <mergeCell ref="A50:Z50"/>
    <mergeCell ref="A54:Z54"/>
    <mergeCell ref="A59:Z59"/>
    <mergeCell ref="A66:Z66"/>
    <mergeCell ref="A70:Z7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C2" s="2" t="s">
        <v>2</v>
      </c>
      <c r="D2" s="2"/>
      <c r="E2" s="2"/>
      <c r="F2" s="2"/>
      <c r="G2" s="2"/>
      <c r="H2" s="2"/>
      <c r="I2" s="2" t="s">
        <v>3</v>
      </c>
      <c r="J2" s="2"/>
      <c r="K2" s="2"/>
      <c r="L2" s="2"/>
      <c r="M2" s="2"/>
      <c r="N2" s="2"/>
      <c r="O2" s="2" t="s">
        <v>4</v>
      </c>
      <c r="P2" s="2"/>
      <c r="Q2" s="2"/>
      <c r="R2" s="2"/>
      <c r="S2" s="2"/>
      <c r="T2" s="2"/>
    </row>
    <row r="3">
      <c r="E3" s="2" t="s">
        <v>70</v>
      </c>
      <c r="F3" s="2"/>
      <c r="G3" s="2"/>
      <c r="H3" s="2"/>
      <c r="K3" s="2" t="s">
        <v>70</v>
      </c>
      <c r="L3" s="2"/>
      <c r="M3" s="2"/>
      <c r="N3" s="2"/>
      <c r="Q3" s="2" t="s">
        <v>70</v>
      </c>
      <c r="R3" s="2"/>
      <c r="S3" s="2"/>
      <c r="T3" s="2"/>
    </row>
    <row r="4">
      <c r="C4" s="2" t="s">
        <v>9</v>
      </c>
      <c r="D4" s="2"/>
      <c r="E4" s="2" t="s">
        <v>71</v>
      </c>
      <c r="F4" s="2"/>
      <c r="G4" s="2" t="s">
        <v>72</v>
      </c>
      <c r="H4" s="2"/>
      <c r="I4" s="2" t="s">
        <v>9</v>
      </c>
      <c r="J4" s="2"/>
      <c r="K4" s="2" t="s">
        <v>71</v>
      </c>
      <c r="L4" s="2"/>
      <c r="M4" s="2" t="s">
        <v>72</v>
      </c>
      <c r="N4" s="2"/>
      <c r="O4" s="2" t="s">
        <v>9</v>
      </c>
      <c r="P4" s="2"/>
      <c r="Q4" s="2" t="s">
        <v>71</v>
      </c>
      <c r="R4" s="2"/>
      <c r="S4" s="2" t="s">
        <v>72</v>
      </c>
      <c r="T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</row>
    <row r="6">
      <c r="A6" s="2" t="s">
        <v>2</v>
      </c>
      <c r="B6" s="2"/>
      <c r="C6" s="20"/>
      <c r="D6" s="2"/>
      <c r="E6" s="20"/>
      <c r="F6" s="2"/>
      <c r="G6" s="20"/>
      <c r="H6" s="2"/>
      <c r="I6" s="20"/>
      <c r="J6" s="2"/>
      <c r="K6" s="20"/>
      <c r="L6" s="2"/>
      <c r="M6" s="20"/>
      <c r="N6" s="2"/>
      <c r="O6" s="20"/>
      <c r="P6" s="2"/>
      <c r="Q6" s="20"/>
      <c r="R6" s="2"/>
      <c r="S6" s="20"/>
      <c r="T6" s="2"/>
    </row>
    <row r="7" outlineLevel="1" hidden="0">
      <c r="A7" s="3" t="s">
        <v>14</v>
      </c>
      <c r="B7" s="4" t="s">
        <v>2</v>
      </c>
      <c r="C7" s="21" t="n">
        <v>0.66474850729656</v>
      </c>
      <c r="D7" s="4" t="n">
        <v>12562</v>
      </c>
      <c r="E7" s="21" t="n">
        <v>0.0238742848181214</v>
      </c>
      <c r="F7" s="4" t="n">
        <v>7927</v>
      </c>
      <c r="G7" s="21" t="n">
        <v>0.0064921066644059</v>
      </c>
      <c r="H7" s="4" t="n">
        <v>7927</v>
      </c>
      <c r="I7" s="21" t="n">
        <v>0.662136220873449</v>
      </c>
      <c r="J7" s="4" t="n">
        <v>6136</v>
      </c>
      <c r="K7" s="21" t="n">
        <v>0.026469037616376</v>
      </c>
      <c r="L7" s="4" t="n">
        <v>3854</v>
      </c>
      <c r="M7" s="21" t="n">
        <v>0.00588245714470018</v>
      </c>
      <c r="N7" s="4" t="n">
        <v>3854</v>
      </c>
      <c r="O7" s="21" t="n">
        <v>0.667159284500552</v>
      </c>
      <c r="P7" s="4" t="n">
        <v>6426</v>
      </c>
      <c r="Q7" s="21" t="n">
        <v>0.0214967550351196</v>
      </c>
      <c r="R7" s="4" t="n">
        <v>4073</v>
      </c>
      <c r="S7" s="21" t="n">
        <v>0.00705071860280254</v>
      </c>
      <c r="T7" s="5" t="n">
        <v>4073</v>
      </c>
    </row>
    <row r="8">
      <c r="C8" s="24"/>
      <c r="E8" s="24"/>
      <c r="G8" s="24"/>
      <c r="I8" s="24"/>
      <c r="K8" s="24"/>
      <c r="M8" s="24"/>
      <c r="O8" s="24"/>
      <c r="Q8" s="24"/>
      <c r="S8" s="24"/>
    </row>
    <row r="9">
      <c r="A9" s="2" t="s">
        <v>15</v>
      </c>
      <c r="B9" s="2"/>
      <c r="C9" s="20"/>
      <c r="D9" s="2"/>
      <c r="E9" s="20"/>
      <c r="F9" s="2"/>
      <c r="G9" s="20"/>
      <c r="H9" s="2"/>
      <c r="I9" s="20"/>
      <c r="J9" s="2"/>
      <c r="K9" s="20"/>
      <c r="L9" s="2"/>
      <c r="M9" s="20"/>
      <c r="N9" s="2"/>
      <c r="O9" s="20"/>
      <c r="P9" s="2"/>
      <c r="Q9" s="20"/>
      <c r="R9" s="2"/>
      <c r="S9" s="20"/>
      <c r="T9" s="2"/>
    </row>
    <row r="10" outlineLevel="1" hidden="0">
      <c r="A10" s="6" t="s">
        <v>14</v>
      </c>
      <c r="B10" s="9" t="s">
        <v>16</v>
      </c>
      <c r="C10" s="22" t="n">
        <v>0.481042510822803</v>
      </c>
      <c r="D10" s="9" t="n">
        <v>1065</v>
      </c>
      <c r="E10" s="22"/>
      <c r="F10" s="9"/>
      <c r="G10" s="22"/>
      <c r="H10" s="9"/>
      <c r="I10" s="22" t="n">
        <v>0.41931118902598</v>
      </c>
      <c r="J10" s="9" t="n">
        <v>509</v>
      </c>
      <c r="K10" s="22"/>
      <c r="L10" s="9"/>
      <c r="M10" s="22"/>
      <c r="N10" s="9"/>
      <c r="O10" s="22" t="n">
        <v>0.536643898443554</v>
      </c>
      <c r="P10" s="9" t="n">
        <v>556</v>
      </c>
      <c r="Q10" s="22"/>
      <c r="R10" s="9"/>
      <c r="S10" s="22"/>
      <c r="T10" s="11"/>
    </row>
    <row r="11" outlineLevel="1" hidden="0">
      <c r="A11" s="7" t="s">
        <v>14</v>
      </c>
      <c r="B11" t="s">
        <v>17</v>
      </c>
      <c r="C11" s="24" t="n">
        <v>0.831213601519806</v>
      </c>
      <c r="D11" t="n">
        <v>6423</v>
      </c>
      <c r="E11" s="24" t="n">
        <v>0.0189905979215156</v>
      </c>
      <c r="F11" t="n">
        <v>5105</v>
      </c>
      <c r="G11" s="24"/>
      <c r="H11"/>
      <c r="I11" s="24" t="n">
        <v>0.824719487411758</v>
      </c>
      <c r="J11" t="n">
        <v>3144</v>
      </c>
      <c r="K11" s="24" t="n">
        <v>0.0205409688797592</v>
      </c>
      <c r="L11" t="n">
        <v>2463</v>
      </c>
      <c r="M11" s="24"/>
      <c r="N11"/>
      <c r="O11" s="24" t="n">
        <v>0.836869388123325</v>
      </c>
      <c r="P11" t="n">
        <v>3279</v>
      </c>
      <c r="Q11" s="24" t="n">
        <v>0.0176589646529375</v>
      </c>
      <c r="R11" t="n">
        <v>2642</v>
      </c>
      <c r="S11" s="24"/>
      <c r="T11" s="12"/>
    </row>
    <row r="12" outlineLevel="1" hidden="0">
      <c r="A12" s="7" t="s">
        <v>14</v>
      </c>
      <c r="B12" t="s">
        <v>18</v>
      </c>
      <c r="C12" s="24" t="n">
        <v>0.596237250022479</v>
      </c>
      <c r="D12" t="n">
        <v>2865</v>
      </c>
      <c r="E12" s="24" t="n">
        <v>0.0495275312473549</v>
      </c>
      <c r="F12" t="n">
        <v>1577</v>
      </c>
      <c r="G12" s="24"/>
      <c r="H12"/>
      <c r="I12" s="24" t="n">
        <v>0.626615848391362</v>
      </c>
      <c r="J12" t="n">
        <v>1385</v>
      </c>
      <c r="K12" s="24" t="n">
        <v>0.0518762173800709</v>
      </c>
      <c r="L12" t="n">
        <v>772</v>
      </c>
      <c r="M12" s="24"/>
      <c r="N12"/>
      <c r="O12" s="24" t="n">
        <v>0.564711179463944</v>
      </c>
      <c r="P12" t="n">
        <v>1480</v>
      </c>
      <c r="Q12" s="24" t="n">
        <v>0.0468276668989084</v>
      </c>
      <c r="R12" t="n">
        <v>805</v>
      </c>
      <c r="S12" s="24"/>
      <c r="T12" s="12"/>
    </row>
    <row r="13" outlineLevel="1" hidden="0">
      <c r="A13" s="8" t="s">
        <v>14</v>
      </c>
      <c r="B13" s="10" t="s">
        <v>19</v>
      </c>
      <c r="C13" s="23" t="n">
        <v>0.338232047832835</v>
      </c>
      <c r="D13" s="10" t="n">
        <v>2209</v>
      </c>
      <c r="E13" s="23" t="n">
        <v>0.0142172794890549</v>
      </c>
      <c r="F13" s="10" t="n">
        <v>700</v>
      </c>
      <c r="G13" s="23" t="n">
        <v>0.0745711621069174</v>
      </c>
      <c r="H13" s="10" t="n">
        <v>700</v>
      </c>
      <c r="I13" s="23" t="n">
        <v>0.349964757694527</v>
      </c>
      <c r="J13" s="10" t="n">
        <v>1098</v>
      </c>
      <c r="K13" s="23" t="n">
        <v>0.0163905447824576</v>
      </c>
      <c r="L13" s="10" t="n">
        <v>363</v>
      </c>
      <c r="M13" s="23" t="n">
        <v>0.0640404088321142</v>
      </c>
      <c r="N13" s="10" t="n">
        <v>363</v>
      </c>
      <c r="O13" s="23" t="n">
        <v>0.327114446485226</v>
      </c>
      <c r="P13" s="10" t="n">
        <v>1111</v>
      </c>
      <c r="Q13" s="23" t="n">
        <v>0.0120045511164474</v>
      </c>
      <c r="R13" s="10" t="n">
        <v>337</v>
      </c>
      <c r="S13" s="23" t="n">
        <v>0.0852931372964273</v>
      </c>
      <c r="T13" s="13" t="n">
        <v>337</v>
      </c>
    </row>
    <row r="14">
      <c r="C14" s="24"/>
      <c r="E14" s="24"/>
      <c r="G14" s="24"/>
      <c r="I14" s="24"/>
      <c r="K14" s="24"/>
      <c r="M14" s="24"/>
      <c r="O14" s="24"/>
      <c r="Q14" s="24"/>
      <c r="S14" s="24"/>
    </row>
    <row r="15">
      <c r="A15" s="2" t="s">
        <v>20</v>
      </c>
      <c r="B15" s="2"/>
      <c r="C15" s="20"/>
      <c r="D15" s="2"/>
      <c r="E15" s="20"/>
      <c r="F15" s="2"/>
      <c r="G15" s="20"/>
      <c r="H15" s="2"/>
      <c r="I15" s="20"/>
      <c r="J15" s="2"/>
      <c r="K15" s="20"/>
      <c r="L15" s="2"/>
      <c r="M15" s="20"/>
      <c r="N15" s="2"/>
      <c r="O15" s="20"/>
      <c r="P15" s="2"/>
      <c r="Q15" s="20"/>
      <c r="R15" s="2"/>
      <c r="S15" s="20"/>
      <c r="T15" s="2"/>
    </row>
    <row r="16" outlineLevel="1" hidden="0">
      <c r="A16" s="6" t="s">
        <v>14</v>
      </c>
      <c r="B16" s="9" t="s">
        <v>21</v>
      </c>
      <c r="C16" s="22" t="n">
        <v>0.703564000227431</v>
      </c>
      <c r="D16" s="9" t="n">
        <v>3358</v>
      </c>
      <c r="E16" s="22" t="n">
        <v>0.00726935272312366</v>
      </c>
      <c r="F16" s="9" t="n">
        <v>2372</v>
      </c>
      <c r="G16" s="22" t="n">
        <v>0.0078402427062997</v>
      </c>
      <c r="H16" s="9" t="n">
        <v>2372</v>
      </c>
      <c r="I16" s="22" t="n">
        <v>0.686787919899616</v>
      </c>
      <c r="J16" s="9" t="n">
        <v>1626</v>
      </c>
      <c r="K16" s="22" t="n">
        <v>0.0085553304130573</v>
      </c>
      <c r="L16" s="9" t="n">
        <v>1130</v>
      </c>
      <c r="M16" s="22" t="n">
        <v>0.00866047344973031</v>
      </c>
      <c r="N16" s="9" t="n">
        <v>1130</v>
      </c>
      <c r="O16" s="22" t="n">
        <v>0.719305070570827</v>
      </c>
      <c r="P16" s="9" t="n">
        <v>1732</v>
      </c>
      <c r="Q16" s="22" t="n">
        <v>0.0061149794795861</v>
      </c>
      <c r="R16" s="9" t="n">
        <v>1242</v>
      </c>
      <c r="S16" s="22" t="n">
        <v>0.00710395277595723</v>
      </c>
      <c r="T16" s="11" t="n">
        <v>1242</v>
      </c>
    </row>
    <row r="17" outlineLevel="1" hidden="0">
      <c r="A17" s="7" t="s">
        <v>14</v>
      </c>
      <c r="B17" t="s">
        <v>22</v>
      </c>
      <c r="C17" s="24" t="n">
        <v>0.71543108699881</v>
      </c>
      <c r="D17" t="n">
        <v>2838</v>
      </c>
      <c r="E17" s="24" t="n">
        <v>0.0240279159854619</v>
      </c>
      <c r="F17" t="n">
        <v>2061</v>
      </c>
      <c r="G17" s="24" t="n">
        <v>0.00482638035093981</v>
      </c>
      <c r="H17" t="n">
        <v>2061</v>
      </c>
      <c r="I17" s="24" t="n">
        <v>0.72238439904698</v>
      </c>
      <c r="J17" t="n">
        <v>1350</v>
      </c>
      <c r="K17" s="24" t="n">
        <v>0.0253106582103788</v>
      </c>
      <c r="L17" t="n">
        <v>1001</v>
      </c>
      <c r="M17" s="24" t="n">
        <v>0.00305490287857684</v>
      </c>
      <c r="N17" t="n">
        <v>1001</v>
      </c>
      <c r="O17" s="24" t="n">
        <v>0.709263208782833</v>
      </c>
      <c r="P17" t="n">
        <v>1488</v>
      </c>
      <c r="Q17" s="24" t="n">
        <v>0.022869020191357</v>
      </c>
      <c r="R17" t="n">
        <v>1060</v>
      </c>
      <c r="S17" s="24" t="n">
        <v>0.00642682489248116</v>
      </c>
      <c r="T17" s="12" t="n">
        <v>1060</v>
      </c>
    </row>
    <row r="18" outlineLevel="1" hidden="0">
      <c r="A18" s="7" t="s">
        <v>14</v>
      </c>
      <c r="B18" t="s">
        <v>23</v>
      </c>
      <c r="C18" s="24" t="n">
        <v>0.597216192841828</v>
      </c>
      <c r="D18" t="n">
        <v>2764</v>
      </c>
      <c r="E18" s="24" t="n">
        <v>0.0307636195322142</v>
      </c>
      <c r="F18" t="n">
        <v>1509</v>
      </c>
      <c r="G18" s="24" t="n">
        <v>0.0100348816092153</v>
      </c>
      <c r="H18" t="n">
        <v>1509</v>
      </c>
      <c r="I18" s="24" t="n">
        <v>0.593553432148793</v>
      </c>
      <c r="J18" t="n">
        <v>1390</v>
      </c>
      <c r="K18" s="24" t="n">
        <v>0.037154786595401</v>
      </c>
      <c r="L18" t="n">
        <v>738</v>
      </c>
      <c r="M18" s="24" t="n">
        <v>0.00938172163758202</v>
      </c>
      <c r="N18" t="n">
        <v>738</v>
      </c>
      <c r="O18" s="24" t="n">
        <v>0.600685427558244</v>
      </c>
      <c r="P18" t="n">
        <v>1374</v>
      </c>
      <c r="Q18" s="24" t="n">
        <v>0.024788280446272</v>
      </c>
      <c r="R18" t="n">
        <v>771</v>
      </c>
      <c r="S18" s="24" t="n">
        <v>0.0106455450873073</v>
      </c>
      <c r="T18" s="12" t="n">
        <v>771</v>
      </c>
    </row>
    <row r="19" outlineLevel="1" hidden="0">
      <c r="A19" s="7" t="s">
        <v>14</v>
      </c>
      <c r="B19" t="s">
        <v>24</v>
      </c>
      <c r="C19" s="24" t="n">
        <v>0.516361167652704</v>
      </c>
      <c r="D19" t="n">
        <v>1623</v>
      </c>
      <c r="E19" s="24" t="n">
        <v>0.0663110350696423</v>
      </c>
      <c r="F19" t="n">
        <v>857</v>
      </c>
      <c r="G19" s="24" t="n">
        <v>0.0137687406867044</v>
      </c>
      <c r="H19" t="n">
        <v>857</v>
      </c>
      <c r="I19" s="24" t="n">
        <v>0.514692867542563</v>
      </c>
      <c r="J19" t="n">
        <v>830</v>
      </c>
      <c r="K19" s="24" t="n">
        <v>0.0799666184420605</v>
      </c>
      <c r="L19" t="n">
        <v>441</v>
      </c>
      <c r="M19" s="24" t="n">
        <v>0.0125768017370653</v>
      </c>
      <c r="N19" t="n">
        <v>441</v>
      </c>
      <c r="O19" s="24" t="n">
        <v>0.518069398518675</v>
      </c>
      <c r="P19" t="n">
        <v>793</v>
      </c>
      <c r="Q19" s="24" t="n">
        <v>0.052419736223575</v>
      </c>
      <c r="R19" t="n">
        <v>416</v>
      </c>
      <c r="S19" s="24" t="n">
        <v>0.0149812542574645</v>
      </c>
      <c r="T19" s="12" t="n">
        <v>416</v>
      </c>
    </row>
    <row r="20" outlineLevel="1" hidden="0">
      <c r="A20" s="8" t="s">
        <v>14</v>
      </c>
      <c r="B20" s="10" t="s">
        <v>25</v>
      </c>
      <c r="C20" s="23" t="n">
        <v>0.587505765535214</v>
      </c>
      <c r="D20" s="10" t="n">
        <v>1979</v>
      </c>
      <c r="E20" s="23" t="n">
        <v>0.0366683129126292</v>
      </c>
      <c r="F20" s="10" t="n">
        <v>1128</v>
      </c>
      <c r="G20" s="23" t="n">
        <v>0.000564297872465867</v>
      </c>
      <c r="H20" s="10" t="n">
        <v>1128</v>
      </c>
      <c r="I20" s="23" t="n">
        <v>0.595212744665664</v>
      </c>
      <c r="J20" s="10" t="n">
        <v>940</v>
      </c>
      <c r="K20" s="23" t="n">
        <v>0.0344551814467241</v>
      </c>
      <c r="L20" s="10" t="n">
        <v>544</v>
      </c>
      <c r="M20" s="23" t="n">
        <v>0.00116083916613566</v>
      </c>
      <c r="N20" s="10" t="n">
        <v>544</v>
      </c>
      <c r="O20" s="23" t="n">
        <v>0.58039949447183</v>
      </c>
      <c r="P20" s="10" t="n">
        <v>1039</v>
      </c>
      <c r="Q20" s="23" t="n">
        <v>0.0387618232713419</v>
      </c>
      <c r="R20" s="10" t="n">
        <v>584</v>
      </c>
      <c r="S20" s="23"/>
      <c r="T20" s="13"/>
    </row>
    <row r="21">
      <c r="C21" s="24"/>
      <c r="E21" s="24"/>
      <c r="G21" s="24"/>
      <c r="I21" s="24"/>
      <c r="K21" s="24"/>
      <c r="M21" s="24"/>
      <c r="O21" s="24"/>
      <c r="Q21" s="24"/>
      <c r="S21" s="24"/>
    </row>
    <row r="22">
      <c r="A22" s="2" t="s">
        <v>26</v>
      </c>
      <c r="B22" s="2"/>
      <c r="C22" s="20"/>
      <c r="D22" s="2"/>
      <c r="E22" s="20"/>
      <c r="F22" s="2"/>
      <c r="G22" s="20"/>
      <c r="H22" s="2"/>
      <c r="I22" s="20"/>
      <c r="J22" s="2"/>
      <c r="K22" s="20"/>
      <c r="L22" s="2"/>
      <c r="M22" s="20"/>
      <c r="N22" s="2"/>
      <c r="O22" s="20"/>
      <c r="P22" s="2"/>
      <c r="Q22" s="20"/>
      <c r="R22" s="2"/>
      <c r="S22" s="20"/>
      <c r="T22" s="2"/>
    </row>
    <row r="23" outlineLevel="1" hidden="0">
      <c r="A23" s="6" t="s">
        <v>14</v>
      </c>
      <c r="B23" s="9" t="s">
        <v>27</v>
      </c>
      <c r="C23" s="22" t="n">
        <v>0.660716425867194</v>
      </c>
      <c r="D23" s="9" t="n">
        <v>337</v>
      </c>
      <c r="E23" s="22" t="n">
        <v>0.0137105138568864</v>
      </c>
      <c r="F23" s="9" t="n">
        <v>245</v>
      </c>
      <c r="G23" s="22" t="n">
        <v>0.0138783472149917</v>
      </c>
      <c r="H23" s="9" t="n">
        <v>245</v>
      </c>
      <c r="I23" s="22" t="n">
        <v>0.623540302167099</v>
      </c>
      <c r="J23" s="9" t="n">
        <v>178</v>
      </c>
      <c r="K23" s="22" t="n">
        <v>0.0272809191675844</v>
      </c>
      <c r="L23" s="9" t="n">
        <v>123</v>
      </c>
      <c r="M23" s="22" t="n">
        <v>0.0276148707848534</v>
      </c>
      <c r="N23" s="9" t="n">
        <v>123</v>
      </c>
      <c r="O23" s="22" t="n">
        <v>0.703066782091476</v>
      </c>
      <c r="P23" s="9" t="n">
        <v>159</v>
      </c>
      <c r="Q23" s="22"/>
      <c r="R23" s="9"/>
      <c r="S23" s="22"/>
      <c r="T23" s="11"/>
    </row>
    <row r="24" outlineLevel="1" hidden="0">
      <c r="A24" s="7" t="s">
        <v>14</v>
      </c>
      <c r="B24" t="s">
        <v>28</v>
      </c>
      <c r="C24" s="24" t="n">
        <v>0.778441383668275</v>
      </c>
      <c r="D24" t="n">
        <v>451</v>
      </c>
      <c r="E24" s="24" t="n">
        <v>0.00796220146761387</v>
      </c>
      <c r="F24" t="n">
        <v>340</v>
      </c>
      <c r="G24" s="24" t="n">
        <v>0.0200333206010788</v>
      </c>
      <c r="H24" t="n">
        <v>340</v>
      </c>
      <c r="I24" s="24" t="n">
        <v>0.771586452559131</v>
      </c>
      <c r="J24" t="n">
        <v>204</v>
      </c>
      <c r="K24" s="24" t="n">
        <v>0.00134071002486492</v>
      </c>
      <c r="L24" t="n">
        <v>150</v>
      </c>
      <c r="M24" s="24" t="n">
        <v>0.0295659502718475</v>
      </c>
      <c r="N24" t="n">
        <v>150</v>
      </c>
      <c r="O24" s="24" t="n">
        <v>0.784377799126904</v>
      </c>
      <c r="P24" t="n">
        <v>247</v>
      </c>
      <c r="Q24" s="24" t="n">
        <v>0.0136719930012276</v>
      </c>
      <c r="R24" t="n">
        <v>190</v>
      </c>
      <c r="S24" s="24" t="n">
        <v>0.0118132196377476</v>
      </c>
      <c r="T24" s="12" t="n">
        <v>190</v>
      </c>
    </row>
    <row r="25" outlineLevel="1" hidden="0">
      <c r="A25" s="7" t="s">
        <v>14</v>
      </c>
      <c r="B25" t="s">
        <v>29</v>
      </c>
      <c r="C25" s="24" t="n">
        <v>0.773434227651427</v>
      </c>
      <c r="D25" t="n">
        <v>752</v>
      </c>
      <c r="E25" s="24" t="n">
        <v>0.00414583744147678</v>
      </c>
      <c r="F25" t="n">
        <v>553</v>
      </c>
      <c r="G25" s="24" t="n">
        <v>0.00707229018151007</v>
      </c>
      <c r="H25" t="n">
        <v>553</v>
      </c>
      <c r="I25" s="24" t="n">
        <v>0.740116731971123</v>
      </c>
      <c r="J25" t="n">
        <v>347</v>
      </c>
      <c r="K25" s="24"/>
      <c r="L25"/>
      <c r="M25" s="24"/>
      <c r="N25"/>
      <c r="O25" s="24" t="n">
        <v>0.800406745207739</v>
      </c>
      <c r="P25" t="n">
        <v>405</v>
      </c>
      <c r="Q25" s="24" t="n">
        <v>0.00725540831692356</v>
      </c>
      <c r="R25" t="n">
        <v>306</v>
      </c>
      <c r="S25" s="24" t="n">
        <v>0.0123768367011387</v>
      </c>
      <c r="T25" s="12" t="n">
        <v>306</v>
      </c>
    </row>
    <row r="26" outlineLevel="1" hidden="0">
      <c r="A26" s="7" t="s">
        <v>14</v>
      </c>
      <c r="B26" t="s">
        <v>30</v>
      </c>
      <c r="C26" s="24" t="n">
        <v>0.824465068635583</v>
      </c>
      <c r="D26" t="n">
        <v>432</v>
      </c>
      <c r="E26" s="24"/>
      <c r="F26"/>
      <c r="G26" s="24" t="n">
        <v>0.00631203393291661</v>
      </c>
      <c r="H26" t="n">
        <v>370</v>
      </c>
      <c r="I26" s="24" t="n">
        <v>0.784429882209912</v>
      </c>
      <c r="J26" t="n">
        <v>208</v>
      </c>
      <c r="K26" s="24"/>
      <c r="L26"/>
      <c r="M26" s="24"/>
      <c r="N26"/>
      <c r="O26" s="24" t="n">
        <v>0.863334248781388</v>
      </c>
      <c r="P26" t="n">
        <v>224</v>
      </c>
      <c r="Q26" s="24"/>
      <c r="R26"/>
      <c r="S26" s="24" t="n">
        <v>0.0118801465391684</v>
      </c>
      <c r="T26" s="12" t="n">
        <v>196</v>
      </c>
    </row>
    <row r="27" outlineLevel="1" hidden="0">
      <c r="A27" s="7" t="s">
        <v>14</v>
      </c>
      <c r="B27" t="s">
        <v>31</v>
      </c>
      <c r="C27" s="24" t="n">
        <v>0.610636113962454</v>
      </c>
      <c r="D27" t="n">
        <v>517</v>
      </c>
      <c r="E27" s="24" t="n">
        <v>0.00547733399874858</v>
      </c>
      <c r="F27" t="n">
        <v>318</v>
      </c>
      <c r="G27" s="24" t="n">
        <v>0.00182577799958286</v>
      </c>
      <c r="H27" t="n">
        <v>318</v>
      </c>
      <c r="I27" s="24" t="n">
        <v>0.617375827257723</v>
      </c>
      <c r="J27" t="n">
        <v>239</v>
      </c>
      <c r="K27" s="24" t="n">
        <v>0.00810520093056849</v>
      </c>
      <c r="L27" t="n">
        <v>149</v>
      </c>
      <c r="M27" s="24"/>
      <c r="N27"/>
      <c r="O27" s="24" t="n">
        <v>0.605219015353864</v>
      </c>
      <c r="P27" t="n">
        <v>278</v>
      </c>
      <c r="Q27" s="24" t="n">
        <v>0.00332273851399498</v>
      </c>
      <c r="R27" t="n">
        <v>169</v>
      </c>
      <c r="S27" s="24" t="n">
        <v>0.00332273851399498</v>
      </c>
      <c r="T27" s="12" t="n">
        <v>169</v>
      </c>
    </row>
    <row r="28" outlineLevel="1" hidden="0">
      <c r="A28" s="7" t="s">
        <v>14</v>
      </c>
      <c r="B28" t="s">
        <v>32</v>
      </c>
      <c r="C28" s="24" t="n">
        <v>0.62369510981425</v>
      </c>
      <c r="D28" t="n">
        <v>544</v>
      </c>
      <c r="E28" s="24" t="n">
        <v>0.0160460514751851</v>
      </c>
      <c r="F28" t="n">
        <v>354</v>
      </c>
      <c r="G28" s="24"/>
      <c r="H28"/>
      <c r="I28" s="24" t="n">
        <v>0.638904869046942</v>
      </c>
      <c r="J28" t="n">
        <v>276</v>
      </c>
      <c r="K28" s="24" t="n">
        <v>0.0159014520543206</v>
      </c>
      <c r="L28" t="n">
        <v>184</v>
      </c>
      <c r="M28" s="24"/>
      <c r="N28"/>
      <c r="O28" s="24" t="n">
        <v>0.607878793181875</v>
      </c>
      <c r="P28" t="n">
        <v>268</v>
      </c>
      <c r="Q28" s="24" t="n">
        <v>0.0162040921117226</v>
      </c>
      <c r="R28" t="n">
        <v>170</v>
      </c>
      <c r="S28" s="24"/>
      <c r="T28" s="12"/>
    </row>
    <row r="29" outlineLevel="1" hidden="0">
      <c r="A29" s="7" t="s">
        <v>14</v>
      </c>
      <c r="B29" t="s">
        <v>33</v>
      </c>
      <c r="C29" s="24" t="n">
        <v>0.595974449617703</v>
      </c>
      <c r="D29" t="n">
        <v>325</v>
      </c>
      <c r="E29" s="24" t="n">
        <v>0.0107924772637148</v>
      </c>
      <c r="F29" t="n">
        <v>192</v>
      </c>
      <c r="G29" s="24" t="n">
        <v>0.00987639018360936</v>
      </c>
      <c r="H29" t="n">
        <v>192</v>
      </c>
      <c r="I29" s="24" t="n">
        <v>0.603087116797228</v>
      </c>
      <c r="J29" t="n">
        <v>174</v>
      </c>
      <c r="K29" s="24" t="n">
        <v>0.0151939551535498</v>
      </c>
      <c r="L29" t="n">
        <v>103</v>
      </c>
      <c r="M29" s="24" t="n">
        <v>0.0180791266702201</v>
      </c>
      <c r="N29" t="n">
        <v>103</v>
      </c>
      <c r="O29" s="24" t="n">
        <v>0.587630034516102</v>
      </c>
      <c r="P29" t="n">
        <v>151</v>
      </c>
      <c r="Q29" s="24" t="n">
        <v>0.00549293934786234</v>
      </c>
      <c r="R29" t="n">
        <v>89</v>
      </c>
      <c r="S29" s="24"/>
      <c r="T29" s="12"/>
    </row>
    <row r="30" outlineLevel="1" hidden="0">
      <c r="A30" s="7" t="s">
        <v>14</v>
      </c>
      <c r="B30" t="s">
        <v>34</v>
      </c>
      <c r="C30" s="24" t="n">
        <v>0.655211658623303</v>
      </c>
      <c r="D30" t="n">
        <v>687</v>
      </c>
      <c r="E30" s="24" t="n">
        <v>0.0365475671990197</v>
      </c>
      <c r="F30" t="n">
        <v>478</v>
      </c>
      <c r="G30" s="24" t="n">
        <v>0.00572076945670431</v>
      </c>
      <c r="H30" t="n">
        <v>478</v>
      </c>
      <c r="I30" s="24" t="n">
        <v>0.661008299404693</v>
      </c>
      <c r="J30" t="n">
        <v>324</v>
      </c>
      <c r="K30" s="24" t="n">
        <v>0.0261157281003216</v>
      </c>
      <c r="L30" t="n">
        <v>229</v>
      </c>
      <c r="M30" s="24" t="n">
        <v>0.0112089598621548</v>
      </c>
      <c r="N30" t="n">
        <v>229</v>
      </c>
      <c r="O30" s="24" t="n">
        <v>0.650364736946997</v>
      </c>
      <c r="P30" t="n">
        <v>363</v>
      </c>
      <c r="Q30" s="24" t="n">
        <v>0.0454130097634897</v>
      </c>
      <c r="R30" t="n">
        <v>249</v>
      </c>
      <c r="S30" s="24" t="n">
        <v>0.00105666024623262</v>
      </c>
      <c r="T30" s="12" t="n">
        <v>249</v>
      </c>
    </row>
    <row r="31" outlineLevel="1" hidden="0">
      <c r="A31" s="7" t="s">
        <v>14</v>
      </c>
      <c r="B31" t="s">
        <v>35</v>
      </c>
      <c r="C31" s="24" t="n">
        <v>0.730204169259179</v>
      </c>
      <c r="D31" t="n">
        <v>1049</v>
      </c>
      <c r="E31" s="24" t="n">
        <v>0.0213917995385336</v>
      </c>
      <c r="F31" t="n">
        <v>746</v>
      </c>
      <c r="G31" s="24" t="n">
        <v>0.00405205391860189</v>
      </c>
      <c r="H31" t="n">
        <v>746</v>
      </c>
      <c r="I31" s="24" t="n">
        <v>0.731476723642816</v>
      </c>
      <c r="J31" t="n">
        <v>509</v>
      </c>
      <c r="K31" s="24" t="n">
        <v>0.0311389891897679</v>
      </c>
      <c r="L31" t="n">
        <v>364</v>
      </c>
      <c r="M31" s="24"/>
      <c r="N31"/>
      <c r="O31" s="24" t="n">
        <v>0.729046099013734</v>
      </c>
      <c r="P31" t="n">
        <v>540</v>
      </c>
      <c r="Q31" s="24" t="n">
        <v>0.0124919331093745</v>
      </c>
      <c r="R31" t="n">
        <v>382</v>
      </c>
      <c r="S31" s="24" t="n">
        <v>0.00775186277937858</v>
      </c>
      <c r="T31" s="12" t="n">
        <v>382</v>
      </c>
    </row>
    <row r="32" outlineLevel="1" hidden="0">
      <c r="A32" s="7" t="s">
        <v>14</v>
      </c>
      <c r="B32" t="s">
        <v>36</v>
      </c>
      <c r="C32" s="24" t="n">
        <v>0.77864046083518</v>
      </c>
      <c r="D32" t="n">
        <v>608</v>
      </c>
      <c r="E32" s="24" t="n">
        <v>0.0171306270628401</v>
      </c>
      <c r="F32" t="n">
        <v>476</v>
      </c>
      <c r="G32" s="24" t="n">
        <v>0.0082487157790826</v>
      </c>
      <c r="H32" t="n">
        <v>476</v>
      </c>
      <c r="I32" s="24" t="n">
        <v>0.812797062178775</v>
      </c>
      <c r="J32" t="n">
        <v>280</v>
      </c>
      <c r="K32" s="24"/>
      <c r="L32"/>
      <c r="M32" s="24" t="n">
        <v>0.00320309982489408</v>
      </c>
      <c r="N32" t="n">
        <v>232</v>
      </c>
      <c r="O32" s="24" t="n">
        <v>0.749016744658351</v>
      </c>
      <c r="P32" t="n">
        <v>328</v>
      </c>
      <c r="Q32" s="24" t="n">
        <v>0.0332529919567853</v>
      </c>
      <c r="R32" t="n">
        <v>244</v>
      </c>
      <c r="S32" s="24" t="n">
        <v>0.0129973604860004</v>
      </c>
      <c r="T32" s="12" t="n">
        <v>244</v>
      </c>
    </row>
    <row r="33" outlineLevel="1" hidden="0">
      <c r="A33" s="7" t="s">
        <v>14</v>
      </c>
      <c r="B33" t="s">
        <v>37</v>
      </c>
      <c r="C33" s="24" t="n">
        <v>0.730347340386509</v>
      </c>
      <c r="D33" t="n">
        <v>494</v>
      </c>
      <c r="E33" s="24" t="n">
        <v>0.0112783577606671</v>
      </c>
      <c r="F33" t="n">
        <v>361</v>
      </c>
      <c r="G33" s="24" t="n">
        <v>0.00313264727960104</v>
      </c>
      <c r="H33" t="n">
        <v>361</v>
      </c>
      <c r="I33" s="24" t="n">
        <v>0.751052899127102</v>
      </c>
      <c r="J33" t="n">
        <v>237</v>
      </c>
      <c r="K33" s="24" t="n">
        <v>0.00317465531142367</v>
      </c>
      <c r="L33" t="n">
        <v>176</v>
      </c>
      <c r="M33" s="24" t="n">
        <v>0.00317465531142367</v>
      </c>
      <c r="N33" t="n">
        <v>176</v>
      </c>
      <c r="O33" s="24" t="n">
        <v>0.711251211591756</v>
      </c>
      <c r="P33" t="n">
        <v>257</v>
      </c>
      <c r="Q33" s="24" t="n">
        <v>0.0191703995205295</v>
      </c>
      <c r="R33" t="n">
        <v>185</v>
      </c>
      <c r="S33" s="24" t="n">
        <v>0.00309173645600277</v>
      </c>
      <c r="T33" s="12" t="n">
        <v>185</v>
      </c>
    </row>
    <row r="34" outlineLevel="1" hidden="0">
      <c r="A34" s="7" t="s">
        <v>14</v>
      </c>
      <c r="B34" t="s">
        <v>38</v>
      </c>
      <c r="C34" s="24" t="n">
        <v>0.509213272394346</v>
      </c>
      <c r="D34" t="n">
        <v>1412</v>
      </c>
      <c r="E34" s="24" t="n">
        <v>0.0473049429029872</v>
      </c>
      <c r="F34" t="n">
        <v>646</v>
      </c>
      <c r="G34" s="24" t="n">
        <v>0.00880675160443781</v>
      </c>
      <c r="H34" t="n">
        <v>646</v>
      </c>
      <c r="I34" s="24" t="n">
        <v>0.488277829191049</v>
      </c>
      <c r="J34" t="n">
        <v>741</v>
      </c>
      <c r="K34" s="24" t="n">
        <v>0.0636690170958362</v>
      </c>
      <c r="L34" t="n">
        <v>322</v>
      </c>
      <c r="M34" s="24" t="n">
        <v>0.0129521596141618</v>
      </c>
      <c r="N34" t="n">
        <v>322</v>
      </c>
      <c r="O34" s="24" t="n">
        <v>0.530298712701443</v>
      </c>
      <c r="P34" t="n">
        <v>671</v>
      </c>
      <c r="Q34" s="24" t="n">
        <v>0.0321428032723724</v>
      </c>
      <c r="R34" t="n">
        <v>324</v>
      </c>
      <c r="S34" s="24" t="n">
        <v>0.00496582211899401</v>
      </c>
      <c r="T34" s="12" t="n">
        <v>324</v>
      </c>
    </row>
    <row r="35" outlineLevel="1" hidden="0">
      <c r="A35" s="7" t="s">
        <v>14</v>
      </c>
      <c r="B35" t="s">
        <v>39</v>
      </c>
      <c r="C35" s="24" t="n">
        <v>0.758494411430955</v>
      </c>
      <c r="D35" t="n">
        <v>545</v>
      </c>
      <c r="E35" s="24" t="n">
        <v>0.0109622208999321</v>
      </c>
      <c r="F35" t="n">
        <v>353</v>
      </c>
      <c r="G35" s="24" t="n">
        <v>0.00235851658194067</v>
      </c>
      <c r="H35" t="n">
        <v>353</v>
      </c>
      <c r="I35" s="24" t="n">
        <v>0.809050728237561</v>
      </c>
      <c r="J35" t="n">
        <v>261</v>
      </c>
      <c r="K35" s="24" t="n">
        <v>0.0137979759730658</v>
      </c>
      <c r="L35" t="n">
        <v>172</v>
      </c>
      <c r="M35" s="24"/>
      <c r="N35"/>
      <c r="O35" s="24" t="n">
        <v>0.717129236111721</v>
      </c>
      <c r="P35" t="n">
        <v>284</v>
      </c>
      <c r="Q35" s="24" t="n">
        <v>0.00834460159305477</v>
      </c>
      <c r="R35" t="n">
        <v>181</v>
      </c>
      <c r="S35" s="24" t="n">
        <v>0.00453560817880271</v>
      </c>
      <c r="T35" s="12" t="n">
        <v>181</v>
      </c>
    </row>
    <row r="36" outlineLevel="1" hidden="0">
      <c r="A36" s="7" t="s">
        <v>14</v>
      </c>
      <c r="B36" t="s">
        <v>40</v>
      </c>
      <c r="C36" s="24" t="n">
        <v>0.620769137658181</v>
      </c>
      <c r="D36" t="n">
        <v>489</v>
      </c>
      <c r="E36" s="24" t="n">
        <v>0.0324452591387621</v>
      </c>
      <c r="F36" t="n">
        <v>302</v>
      </c>
      <c r="G36" s="24" t="n">
        <v>0.0251075801270982</v>
      </c>
      <c r="H36" t="n">
        <v>302</v>
      </c>
      <c r="I36" s="24" t="n">
        <v>0.632066860922918</v>
      </c>
      <c r="J36" t="n">
        <v>239</v>
      </c>
      <c r="K36" s="24" t="n">
        <v>0.0170737671732378</v>
      </c>
      <c r="L36" t="n">
        <v>149</v>
      </c>
      <c r="M36" s="24" t="n">
        <v>0.00499471820279971</v>
      </c>
      <c r="N36" t="n">
        <v>149</v>
      </c>
      <c r="O36" s="24" t="n">
        <v>0.609379699143242</v>
      </c>
      <c r="P36" t="n">
        <v>250</v>
      </c>
      <c r="Q36" s="24" t="n">
        <v>0.048518462636228</v>
      </c>
      <c r="R36" t="n">
        <v>153</v>
      </c>
      <c r="S36" s="24" t="n">
        <v>0.0461385980237826</v>
      </c>
      <c r="T36" s="12" t="n">
        <v>153</v>
      </c>
    </row>
    <row r="37" outlineLevel="1" hidden="0">
      <c r="A37" s="7" t="s">
        <v>14</v>
      </c>
      <c r="B37" t="s">
        <v>41</v>
      </c>
      <c r="C37" s="24" t="n">
        <v>0.659375037187078</v>
      </c>
      <c r="D37" t="n">
        <v>318</v>
      </c>
      <c r="E37" s="24" t="n">
        <v>0.00870445449496481</v>
      </c>
      <c r="F37" t="n">
        <v>208</v>
      </c>
      <c r="G37" s="24" t="n">
        <v>0.0243966395137315</v>
      </c>
      <c r="H37" t="n">
        <v>208</v>
      </c>
      <c r="I37" s="24" t="n">
        <v>0.646376403795736</v>
      </c>
      <c r="J37" t="n">
        <v>149</v>
      </c>
      <c r="K37" s="24" t="n">
        <v>0.0104694711367918</v>
      </c>
      <c r="L37" t="n">
        <v>95</v>
      </c>
      <c r="M37" s="24" t="n">
        <v>0.0429729744414481</v>
      </c>
      <c r="N37" t="n">
        <v>95</v>
      </c>
      <c r="O37" s="24" t="n">
        <v>0.67072546422518</v>
      </c>
      <c r="P37" t="n">
        <v>169</v>
      </c>
      <c r="Q37" s="24" t="n">
        <v>0.00723579509079007</v>
      </c>
      <c r="R37" t="n">
        <v>113</v>
      </c>
      <c r="S37" s="24" t="n">
        <v>0.0089393863977206</v>
      </c>
      <c r="T37" s="12" t="n">
        <v>113</v>
      </c>
    </row>
    <row r="38" outlineLevel="1" hidden="0">
      <c r="A38" s="7" t="s">
        <v>14</v>
      </c>
      <c r="B38" t="s">
        <v>42</v>
      </c>
      <c r="C38" s="24" t="n">
        <v>0.41348975829884</v>
      </c>
      <c r="D38" t="n">
        <v>890</v>
      </c>
      <c r="E38" s="24" t="n">
        <v>0.090026721822425</v>
      </c>
      <c r="F38" t="n">
        <v>351</v>
      </c>
      <c r="G38" s="24" t="n">
        <v>0.00492663858315804</v>
      </c>
      <c r="H38" t="n">
        <v>351</v>
      </c>
      <c r="I38" s="24" t="n">
        <v>0.392351223255098</v>
      </c>
      <c r="J38" t="n">
        <v>446</v>
      </c>
      <c r="K38" s="24" t="n">
        <v>0.112108849088338</v>
      </c>
      <c r="L38" t="n">
        <v>170</v>
      </c>
      <c r="M38" s="24" t="n">
        <v>0.0104666372729138</v>
      </c>
      <c r="N38" t="n">
        <v>170</v>
      </c>
      <c r="O38" s="24" t="n">
        <v>0.434297665980554</v>
      </c>
      <c r="P38" t="n">
        <v>444</v>
      </c>
      <c r="Q38" s="24" t="n">
        <v>0.0703894138953268</v>
      </c>
      <c r="R38" t="n">
        <v>181</v>
      </c>
      <c r="S38" s="24"/>
      <c r="T38" s="12"/>
    </row>
    <row r="39" outlineLevel="1" hidden="0">
      <c r="A39" s="7" t="s">
        <v>14</v>
      </c>
      <c r="B39" t="s">
        <v>43</v>
      </c>
      <c r="C39" s="24" t="n">
        <v>0.660757160298753</v>
      </c>
      <c r="D39" t="n">
        <v>450</v>
      </c>
      <c r="E39" s="24" t="n">
        <v>0.0596426904201827</v>
      </c>
      <c r="F39" t="n">
        <v>303</v>
      </c>
      <c r="G39" s="24" t="n">
        <v>0.0271962182172817</v>
      </c>
      <c r="H39" t="n">
        <v>303</v>
      </c>
      <c r="I39" s="24" t="n">
        <v>0.693874082831937</v>
      </c>
      <c r="J39" t="n">
        <v>247</v>
      </c>
      <c r="K39" s="24" t="n">
        <v>0.0714195172915337</v>
      </c>
      <c r="L39" t="n">
        <v>175</v>
      </c>
      <c r="M39" s="24" t="n">
        <v>0.0121251896587662</v>
      </c>
      <c r="N39" t="n">
        <v>175</v>
      </c>
      <c r="O39" s="24" t="n">
        <v>0.622637697056044</v>
      </c>
      <c r="P39" t="n">
        <v>203</v>
      </c>
      <c r="Q39" s="24" t="n">
        <v>0.0445359644844014</v>
      </c>
      <c r="R39" t="n">
        <v>128</v>
      </c>
      <c r="S39" s="24" t="n">
        <v>0.0465285817215531</v>
      </c>
      <c r="T39" s="12" t="n">
        <v>128</v>
      </c>
    </row>
    <row r="40" outlineLevel="1" hidden="0">
      <c r="A40" s="7" t="s">
        <v>14</v>
      </c>
      <c r="B40" t="s">
        <v>44</v>
      </c>
      <c r="C40" s="24" t="n">
        <v>0.716879967189613</v>
      </c>
      <c r="D40" t="n">
        <v>283</v>
      </c>
      <c r="E40" s="24" t="n">
        <v>0.00491361516794656</v>
      </c>
      <c r="F40" t="n">
        <v>203</v>
      </c>
      <c r="G40" s="24" t="n">
        <v>0.00982723033589311</v>
      </c>
      <c r="H40" t="n">
        <v>203</v>
      </c>
      <c r="I40" s="24" t="n">
        <v>0.700215445047409</v>
      </c>
      <c r="J40" t="n">
        <v>137</v>
      </c>
      <c r="K40" s="24"/>
      <c r="L40"/>
      <c r="M40" s="24" t="n">
        <v>0.0207774785426961</v>
      </c>
      <c r="N40" t="n">
        <v>96</v>
      </c>
      <c r="O40" s="24" t="n">
        <v>0.732525527263289</v>
      </c>
      <c r="P40" t="n">
        <v>146</v>
      </c>
      <c r="Q40" s="24" t="n">
        <v>0.00932330772700198</v>
      </c>
      <c r="R40" t="n">
        <v>107</v>
      </c>
      <c r="S40" s="24"/>
      <c r="T40" s="12"/>
    </row>
    <row r="41" outlineLevel="1" hidden="0">
      <c r="A41" s="7" t="s">
        <v>14</v>
      </c>
      <c r="B41" t="s">
        <v>45</v>
      </c>
      <c r="C41" s="24" t="n">
        <v>0.57215496375931</v>
      </c>
      <c r="D41" t="n">
        <v>813</v>
      </c>
      <c r="E41" s="24" t="n">
        <v>0.044409911241192</v>
      </c>
      <c r="F41" t="n">
        <v>422</v>
      </c>
      <c r="G41" s="24"/>
      <c r="H41"/>
      <c r="I41" s="24" t="n">
        <v>0.571626208829206</v>
      </c>
      <c r="J41" t="n">
        <v>375</v>
      </c>
      <c r="K41" s="24" t="n">
        <v>0.0433298359809216</v>
      </c>
      <c r="L41" t="n">
        <v>191</v>
      </c>
      <c r="M41" s="24"/>
      <c r="N41"/>
      <c r="O41" s="24" t="n">
        <v>0.572639571460462</v>
      </c>
      <c r="P41" t="n">
        <v>438</v>
      </c>
      <c r="Q41" s="24" t="n">
        <v>0.0453980562398959</v>
      </c>
      <c r="R41" t="n">
        <v>231</v>
      </c>
      <c r="S41" s="24"/>
      <c r="T41" s="12"/>
    </row>
    <row r="42" outlineLevel="1" hidden="0">
      <c r="A42" s="7" t="s">
        <v>14</v>
      </c>
      <c r="B42" t="s">
        <v>46</v>
      </c>
      <c r="C42" s="24" t="n">
        <v>0.715974423723308</v>
      </c>
      <c r="D42" t="n">
        <v>612</v>
      </c>
      <c r="E42" s="24" t="n">
        <v>0.020990920006578</v>
      </c>
      <c r="F42" t="n">
        <v>393</v>
      </c>
      <c r="G42" s="24"/>
      <c r="H42"/>
      <c r="I42" s="24" t="n">
        <v>0.718938165061631</v>
      </c>
      <c r="J42" t="n">
        <v>306</v>
      </c>
      <c r="K42" s="24" t="n">
        <v>0.0169768513646981</v>
      </c>
      <c r="L42" t="n">
        <v>198</v>
      </c>
      <c r="M42" s="24"/>
      <c r="N42"/>
      <c r="O42" s="24" t="n">
        <v>0.712895025218615</v>
      </c>
      <c r="P42" t="n">
        <v>306</v>
      </c>
      <c r="Q42" s="24" t="n">
        <v>0.0252088337302676</v>
      </c>
      <c r="R42" t="n">
        <v>195</v>
      </c>
      <c r="S42" s="24"/>
      <c r="T42" s="12"/>
    </row>
    <row r="43" outlineLevel="1" hidden="0">
      <c r="A43" s="8" t="s">
        <v>14</v>
      </c>
      <c r="B43" s="10" t="s">
        <v>47</v>
      </c>
      <c r="C43" s="23" t="n">
        <v>0.564823936867436</v>
      </c>
      <c r="D43" s="10" t="n">
        <v>554</v>
      </c>
      <c r="E43" s="23" t="n">
        <v>0.0214307911251414</v>
      </c>
      <c r="F43" s="10" t="n">
        <v>313</v>
      </c>
      <c r="G43" s="23" t="n">
        <v>0.00294105792895406</v>
      </c>
      <c r="H43" s="10" t="n">
        <v>313</v>
      </c>
      <c r="I43" s="23" t="n">
        <v>0.598853450383565</v>
      </c>
      <c r="J43" s="10" t="n">
        <v>259</v>
      </c>
      <c r="K43" s="23" t="n">
        <v>0.0181666138828579</v>
      </c>
      <c r="L43" s="10" t="n">
        <v>155</v>
      </c>
      <c r="M43" s="23" t="n">
        <v>0.00593483747276933</v>
      </c>
      <c r="N43" s="10" t="n">
        <v>155</v>
      </c>
      <c r="O43" s="23" t="n">
        <v>0.534960443008885</v>
      </c>
      <c r="P43" s="10" t="n">
        <v>295</v>
      </c>
      <c r="Q43" s="23" t="n">
        <v>0.024637484944585</v>
      </c>
      <c r="R43" s="10" t="n">
        <v>158</v>
      </c>
      <c r="S43" s="23"/>
      <c r="T43" s="13"/>
    </row>
    <row r="44">
      <c r="C44" s="24"/>
      <c r="E44" s="24"/>
      <c r="G44" s="24"/>
      <c r="I44" s="24"/>
      <c r="K44" s="24"/>
      <c r="M44" s="24"/>
      <c r="O44" s="24"/>
      <c r="Q44" s="24"/>
      <c r="S44" s="24"/>
    </row>
    <row r="45">
      <c r="A45" s="2" t="s">
        <v>48</v>
      </c>
      <c r="B45" s="2"/>
      <c r="C45" s="20"/>
      <c r="D45" s="2"/>
      <c r="E45" s="20"/>
      <c r="F45" s="2"/>
      <c r="G45" s="20"/>
      <c r="H45" s="2"/>
      <c r="I45" s="20"/>
      <c r="J45" s="2"/>
      <c r="K45" s="20"/>
      <c r="L45" s="2"/>
      <c r="M45" s="20"/>
      <c r="N45" s="2"/>
      <c r="O45" s="20"/>
      <c r="P45" s="2"/>
      <c r="Q45" s="20"/>
      <c r="R45" s="2"/>
      <c r="S45" s="20"/>
      <c r="T45" s="2"/>
    </row>
    <row r="46" outlineLevel="1" hidden="0">
      <c r="A46" s="6" t="s">
        <v>14</v>
      </c>
      <c r="B46" s="9" t="s">
        <v>49</v>
      </c>
      <c r="C46" s="22" t="n">
        <v>0.644801937913169</v>
      </c>
      <c r="D46" s="9" t="n">
        <v>2000</v>
      </c>
      <c r="E46" s="22" t="n">
        <v>0.0325970214952132</v>
      </c>
      <c r="F46" s="9" t="n">
        <v>1075</v>
      </c>
      <c r="G46" s="22" t="n">
        <v>0.00208703037499578</v>
      </c>
      <c r="H46" s="9" t="n">
        <v>1075</v>
      </c>
      <c r="I46" s="22" t="n">
        <v>0.621817585873402</v>
      </c>
      <c r="J46" s="9" t="n">
        <v>994</v>
      </c>
      <c r="K46" s="22" t="n">
        <v>0.0399710407789479</v>
      </c>
      <c r="L46" s="9" t="n">
        <v>509</v>
      </c>
      <c r="M46" s="22" t="n">
        <v>0.00339611820359922</v>
      </c>
      <c r="N46" s="9" t="n">
        <v>509</v>
      </c>
      <c r="O46" s="22" t="n">
        <v>0.667122546238235</v>
      </c>
      <c r="P46" s="9" t="n">
        <v>1006</v>
      </c>
      <c r="Q46" s="22" t="n">
        <v>0.0259241834919155</v>
      </c>
      <c r="R46" s="9" t="n">
        <v>566</v>
      </c>
      <c r="S46" s="22" t="n">
        <v>0.000902421184777459</v>
      </c>
      <c r="T46" s="11" t="n">
        <v>566</v>
      </c>
    </row>
    <row r="47" outlineLevel="1" hidden="0">
      <c r="A47" s="7" t="s">
        <v>14</v>
      </c>
      <c r="B47" t="s">
        <v>50</v>
      </c>
      <c r="C47" s="24" t="n">
        <v>0.692308344066395</v>
      </c>
      <c r="D47" t="n">
        <v>2809</v>
      </c>
      <c r="E47" s="24" t="n">
        <v>0.0217538791848435</v>
      </c>
      <c r="F47" t="n">
        <v>1897</v>
      </c>
      <c r="G47" s="24" t="n">
        <v>0.0119592235662953</v>
      </c>
      <c r="H47" t="n">
        <v>1897</v>
      </c>
      <c r="I47" s="24" t="n">
        <v>0.695860057466835</v>
      </c>
      <c r="J47" t="n">
        <v>1324</v>
      </c>
      <c r="K47" s="24" t="n">
        <v>0.0228259695812087</v>
      </c>
      <c r="L47" t="n">
        <v>895</v>
      </c>
      <c r="M47" s="24" t="n">
        <v>0.00974089079699217</v>
      </c>
      <c r="N47" t="n">
        <v>895</v>
      </c>
      <c r="O47" s="24" t="n">
        <v>0.689111424894168</v>
      </c>
      <c r="P47" t="n">
        <v>1485</v>
      </c>
      <c r="Q47" s="24" t="n">
        <v>0.0207776444791136</v>
      </c>
      <c r="R47" t="n">
        <v>1002</v>
      </c>
      <c r="S47" s="24" t="n">
        <v>0.0139792150199955</v>
      </c>
      <c r="T47" s="12" t="n">
        <v>1002</v>
      </c>
    </row>
    <row r="48" outlineLevel="1" hidden="0">
      <c r="A48" s="8" t="s">
        <v>14</v>
      </c>
      <c r="B48" s="10" t="s">
        <v>51</v>
      </c>
      <c r="C48" s="23" t="n">
        <v>0.663828228067276</v>
      </c>
      <c r="D48" s="10" t="n">
        <v>7753</v>
      </c>
      <c r="E48" s="23" t="n">
        <v>0.0196985600601359</v>
      </c>
      <c r="F48" s="10" t="n">
        <v>4955</v>
      </c>
      <c r="G48" s="23" t="n">
        <v>0.00639238964276758</v>
      </c>
      <c r="H48" s="10" t="n">
        <v>4955</v>
      </c>
      <c r="I48" s="23" t="n">
        <v>0.671853657807948</v>
      </c>
      <c r="J48" s="10" t="n">
        <v>3818</v>
      </c>
      <c r="K48" s="23" t="n">
        <v>0.0202679897766725</v>
      </c>
      <c r="L48" s="10" t="n">
        <v>2450</v>
      </c>
      <c r="M48" s="23" t="n">
        <v>0.00543707050167561</v>
      </c>
      <c r="N48" s="10" t="n">
        <v>2450</v>
      </c>
      <c r="O48" s="23" t="n">
        <v>0.656565754188342</v>
      </c>
      <c r="P48" s="10" t="n">
        <v>3935</v>
      </c>
      <c r="Q48" s="23" t="n">
        <v>0.0191712250199305</v>
      </c>
      <c r="R48" s="10" t="n">
        <v>2505</v>
      </c>
      <c r="S48" s="23" t="n">
        <v>0.00727708751336825</v>
      </c>
      <c r="T48" s="13" t="n">
        <v>2505</v>
      </c>
    </row>
    <row r="49">
      <c r="C49" s="24"/>
      <c r="E49" s="24"/>
      <c r="G49" s="24"/>
      <c r="I49" s="24"/>
      <c r="K49" s="24"/>
      <c r="M49" s="24"/>
      <c r="O49" s="24"/>
      <c r="Q49" s="24"/>
      <c r="S49" s="24"/>
    </row>
    <row r="50">
      <c r="A50" s="2" t="s">
        <v>52</v>
      </c>
      <c r="B50" s="2"/>
      <c r="C50" s="20"/>
      <c r="D50" s="2"/>
      <c r="E50" s="20"/>
      <c r="F50" s="2"/>
      <c r="G50" s="20"/>
      <c r="H50" s="2"/>
      <c r="I50" s="20"/>
      <c r="J50" s="2"/>
      <c r="K50" s="20"/>
      <c r="L50" s="2"/>
      <c r="M50" s="20"/>
      <c r="N50" s="2"/>
      <c r="O50" s="20"/>
      <c r="P50" s="2"/>
      <c r="Q50" s="20"/>
      <c r="R50" s="2"/>
      <c r="S50" s="20"/>
      <c r="T50" s="2"/>
    </row>
    <row r="51" outlineLevel="1" hidden="0">
      <c r="A51" s="6" t="s">
        <v>14</v>
      </c>
      <c r="B51" s="9" t="s">
        <v>53</v>
      </c>
      <c r="C51" s="22" t="n">
        <v>0.62629070620211</v>
      </c>
      <c r="D51" s="9" t="n">
        <v>3274</v>
      </c>
      <c r="E51" s="22" t="n">
        <v>0.0313867452246473</v>
      </c>
      <c r="F51" s="9" t="n">
        <v>1884</v>
      </c>
      <c r="G51" s="22" t="n">
        <v>0.00981237489738441</v>
      </c>
      <c r="H51" s="9" t="n">
        <v>1884</v>
      </c>
      <c r="I51" s="22" t="n">
        <v>0.658633525381611</v>
      </c>
      <c r="J51" s="9" t="n">
        <v>1623</v>
      </c>
      <c r="K51" s="22" t="n">
        <v>0.0346298082042694</v>
      </c>
      <c r="L51" s="9" t="n">
        <v>953</v>
      </c>
      <c r="M51" s="22" t="n">
        <v>0.00915597468709027</v>
      </c>
      <c r="N51" s="9" t="n">
        <v>953</v>
      </c>
      <c r="O51" s="22" t="n">
        <v>0.59459602637179</v>
      </c>
      <c r="P51" s="9" t="n">
        <v>1651</v>
      </c>
      <c r="Q51" s="22" t="n">
        <v>0.0278663963145203</v>
      </c>
      <c r="R51" s="9" t="n">
        <v>931</v>
      </c>
      <c r="S51" s="22" t="n">
        <v>0.0105248981445233</v>
      </c>
      <c r="T51" s="11" t="n">
        <v>931</v>
      </c>
    </row>
    <row r="52" outlineLevel="1" hidden="0">
      <c r="A52" s="8" t="s">
        <v>14</v>
      </c>
      <c r="B52" s="10" t="s">
        <v>54</v>
      </c>
      <c r="C52" s="23" t="n">
        <v>0.677799795617223</v>
      </c>
      <c r="D52" s="10" t="n">
        <v>9288</v>
      </c>
      <c r="E52" s="23" t="n">
        <v>0.0215149020261463</v>
      </c>
      <c r="F52" s="10" t="n">
        <v>6043</v>
      </c>
      <c r="G52" s="23" t="n">
        <v>0.00544933461507488</v>
      </c>
      <c r="H52" s="10" t="n">
        <v>6043</v>
      </c>
      <c r="I52" s="23" t="n">
        <v>0.663375203400384</v>
      </c>
      <c r="J52" s="10" t="n">
        <v>4513</v>
      </c>
      <c r="K52" s="23" t="n">
        <v>0.0235992714219349</v>
      </c>
      <c r="L52" s="10" t="n">
        <v>2901</v>
      </c>
      <c r="M52" s="23" t="n">
        <v>0.00473131217880719</v>
      </c>
      <c r="N52" s="10" t="n">
        <v>2901</v>
      </c>
      <c r="O52" s="23" t="n">
        <v>0.690842866564101</v>
      </c>
      <c r="P52" s="10" t="n">
        <v>4775</v>
      </c>
      <c r="Q52" s="23" t="n">
        <v>0.0197042843262081</v>
      </c>
      <c r="R52" s="10" t="n">
        <v>3142</v>
      </c>
      <c r="S52" s="23" t="n">
        <v>0.00607305521598461</v>
      </c>
      <c r="T52" s="13" t="n">
        <v>3142</v>
      </c>
    </row>
    <row r="53">
      <c r="C53" s="24"/>
      <c r="E53" s="24"/>
      <c r="G53" s="24"/>
      <c r="I53" s="24"/>
      <c r="K53" s="24"/>
      <c r="M53" s="24"/>
      <c r="O53" s="24"/>
      <c r="Q53" s="24"/>
      <c r="S53" s="24"/>
    </row>
    <row r="54">
      <c r="A54" s="2" t="s">
        <v>55</v>
      </c>
      <c r="B54" s="2"/>
      <c r="C54" s="20"/>
      <c r="D54" s="2"/>
      <c r="E54" s="20"/>
      <c r="F54" s="2"/>
      <c r="G54" s="20"/>
      <c r="H54" s="2"/>
      <c r="I54" s="20"/>
      <c r="J54" s="2"/>
      <c r="K54" s="20"/>
      <c r="L54" s="2"/>
      <c r="M54" s="20"/>
      <c r="N54" s="2"/>
      <c r="O54" s="20"/>
      <c r="P54" s="2"/>
      <c r="Q54" s="20"/>
      <c r="R54" s="2"/>
      <c r="S54" s="20"/>
      <c r="T54" s="2"/>
    </row>
    <row r="55" outlineLevel="1" hidden="0">
      <c r="A55" s="6" t="s">
        <v>14</v>
      </c>
      <c r="B55" s="9" t="s">
        <v>56</v>
      </c>
      <c r="C55" s="22" t="n">
        <v>0.644801937913169</v>
      </c>
      <c r="D55" s="9" t="n">
        <v>2000</v>
      </c>
      <c r="E55" s="22" t="n">
        <v>0.0325970214952132</v>
      </c>
      <c r="F55" s="9" t="n">
        <v>1075</v>
      </c>
      <c r="G55" s="22" t="n">
        <v>0.00208703037499578</v>
      </c>
      <c r="H55" s="9" t="n">
        <v>1075</v>
      </c>
      <c r="I55" s="22" t="n">
        <v>0.621817585873402</v>
      </c>
      <c r="J55" s="9" t="n">
        <v>994</v>
      </c>
      <c r="K55" s="22" t="n">
        <v>0.0399710407789479</v>
      </c>
      <c r="L55" s="9" t="n">
        <v>509</v>
      </c>
      <c r="M55" s="22" t="n">
        <v>0.00339611820359922</v>
      </c>
      <c r="N55" s="9" t="n">
        <v>509</v>
      </c>
      <c r="O55" s="22" t="n">
        <v>0.667122546238235</v>
      </c>
      <c r="P55" s="9" t="n">
        <v>1006</v>
      </c>
      <c r="Q55" s="22" t="n">
        <v>0.0259241834919155</v>
      </c>
      <c r="R55" s="9" t="n">
        <v>566</v>
      </c>
      <c r="S55" s="22" t="n">
        <v>0.000902421184777459</v>
      </c>
      <c r="T55" s="11" t="n">
        <v>566</v>
      </c>
    </row>
    <row r="56" outlineLevel="1" hidden="0">
      <c r="A56" s="7" t="s">
        <v>14</v>
      </c>
      <c r="B56" t="s">
        <v>57</v>
      </c>
      <c r="C56" s="24" t="n">
        <v>0.646918386912171</v>
      </c>
      <c r="D56" t="n">
        <v>7512</v>
      </c>
      <c r="E56" s="24" t="n">
        <v>0.0239809827194371</v>
      </c>
      <c r="F56" t="n">
        <v>4690</v>
      </c>
      <c r="G56" s="24" t="n">
        <v>0.00759668247113771</v>
      </c>
      <c r="H56" t="n">
        <v>4690</v>
      </c>
      <c r="I56" s="24" t="n">
        <v>0.631050050757757</v>
      </c>
      <c r="J56" t="n">
        <v>3670</v>
      </c>
      <c r="K56" s="24" t="n">
        <v>0.0234617998698887</v>
      </c>
      <c r="L56" t="n">
        <v>2258</v>
      </c>
      <c r="M56" s="24" t="n">
        <v>0.00883654614488361</v>
      </c>
      <c r="N56" t="n">
        <v>2258</v>
      </c>
      <c r="O56" s="24" t="n">
        <v>0.661647519687025</v>
      </c>
      <c r="P56" t="n">
        <v>3842</v>
      </c>
      <c r="Q56" s="24" t="n">
        <v>0.0244410374412079</v>
      </c>
      <c r="R56" t="n">
        <v>2432</v>
      </c>
      <c r="S56" s="24" t="n">
        <v>0.00649802303361003</v>
      </c>
      <c r="T56" s="12" t="n">
        <v>2432</v>
      </c>
    </row>
    <row r="57" outlineLevel="1" hidden="0">
      <c r="A57" s="8" t="s">
        <v>14</v>
      </c>
      <c r="B57" s="10" t="s">
        <v>58</v>
      </c>
      <c r="C57" s="23" t="n">
        <v>0.703954853137928</v>
      </c>
      <c r="D57" s="10" t="n">
        <v>3050</v>
      </c>
      <c r="E57" s="23" t="n">
        <v>0.0164933638282973</v>
      </c>
      <c r="F57" s="10" t="n">
        <v>2162</v>
      </c>
      <c r="G57" s="23" t="n">
        <v>0.00896529916656167</v>
      </c>
      <c r="H57" s="10" t="n">
        <v>2162</v>
      </c>
      <c r="I57" s="23" t="n">
        <v>0.738755016206702</v>
      </c>
      <c r="J57" s="10" t="n">
        <v>1472</v>
      </c>
      <c r="K57" s="23" t="n">
        <v>0.0186845745452161</v>
      </c>
      <c r="L57" s="10" t="n">
        <v>1087</v>
      </c>
      <c r="M57" s="23" t="n">
        <v>0.00482314706480286</v>
      </c>
      <c r="N57" s="10" t="n">
        <v>1087</v>
      </c>
      <c r="O57" s="23" t="n">
        <v>0.673509041461576</v>
      </c>
      <c r="P57" s="10" t="n">
        <v>1578</v>
      </c>
      <c r="Q57" s="23" t="n">
        <v>0.0143898584167017</v>
      </c>
      <c r="R57" s="10" t="n">
        <v>1075</v>
      </c>
      <c r="S57" s="23" t="n">
        <v>0.0129416576675614</v>
      </c>
      <c r="T57" s="13" t="n">
        <v>1075</v>
      </c>
    </row>
    <row r="58">
      <c r="C58" s="24"/>
      <c r="E58" s="24"/>
      <c r="G58" s="24"/>
      <c r="I58" s="24"/>
      <c r="K58" s="24"/>
      <c r="M58" s="24"/>
      <c r="O58" s="24"/>
      <c r="Q58" s="24"/>
      <c r="S58" s="24"/>
    </row>
    <row r="59">
      <c r="A59" s="2" t="s">
        <v>59</v>
      </c>
      <c r="B59" s="2"/>
      <c r="C59" s="20"/>
      <c r="D59" s="2"/>
      <c r="E59" s="20"/>
      <c r="F59" s="2"/>
      <c r="G59" s="20"/>
      <c r="H59" s="2"/>
      <c r="I59" s="20"/>
      <c r="J59" s="2"/>
      <c r="K59" s="20"/>
      <c r="L59" s="2"/>
      <c r="M59" s="20"/>
      <c r="N59" s="2"/>
      <c r="O59" s="20"/>
      <c r="P59" s="2"/>
      <c r="Q59" s="20"/>
      <c r="R59" s="2"/>
      <c r="S59" s="20"/>
      <c r="T59" s="2"/>
    </row>
    <row r="60" outlineLevel="1" hidden="0">
      <c r="A60" s="6" t="s">
        <v>14</v>
      </c>
      <c r="B60" s="9" t="s">
        <v>60</v>
      </c>
      <c r="C60" s="22" t="n">
        <v>0.664972592830522</v>
      </c>
      <c r="D60" s="9" t="n">
        <v>4707</v>
      </c>
      <c r="E60" s="22" t="n">
        <v>0.0274017869913911</v>
      </c>
      <c r="F60" s="9" t="n">
        <v>2903</v>
      </c>
      <c r="G60" s="22" t="n">
        <v>0.00667588699136806</v>
      </c>
      <c r="H60" s="9" t="n">
        <v>2903</v>
      </c>
      <c r="I60" s="22" t="n">
        <v>0.652698399534071</v>
      </c>
      <c r="J60" s="9" t="n">
        <v>2275</v>
      </c>
      <c r="K60" s="22" t="n">
        <v>0.0318808148795526</v>
      </c>
      <c r="L60" s="9" t="n">
        <v>1372</v>
      </c>
      <c r="M60" s="22" t="n">
        <v>0.00635699100658606</v>
      </c>
      <c r="N60" s="9" t="n">
        <v>1372</v>
      </c>
      <c r="O60" s="22" t="n">
        <v>0.676589885808616</v>
      </c>
      <c r="P60" s="9" t="n">
        <v>2432</v>
      </c>
      <c r="Q60" s="22" t="n">
        <v>0.0233092840817262</v>
      </c>
      <c r="R60" s="9" t="n">
        <v>1531</v>
      </c>
      <c r="S60" s="22" t="n">
        <v>0.00696726332975841</v>
      </c>
      <c r="T60" s="11" t="n">
        <v>1531</v>
      </c>
    </row>
    <row r="61" outlineLevel="1" hidden="0">
      <c r="A61" s="7" t="s">
        <v>14</v>
      </c>
      <c r="B61" t="s">
        <v>61</v>
      </c>
      <c r="C61" s="24" t="n">
        <v>0.682592159750875</v>
      </c>
      <c r="D61" t="n">
        <v>31</v>
      </c>
      <c r="E61" s="24" t="n">
        <v>0.0387905707243842</v>
      </c>
      <c r="F61" t="n">
        <v>16</v>
      </c>
      <c r="G61" s="24"/>
      <c r="H61"/>
      <c r="I61" s="24" t="n">
        <v>0.692939106357846</v>
      </c>
      <c r="J61" t="n">
        <v>15</v>
      </c>
      <c r="K61" s="24" t="n">
        <v>0.0944998947966157</v>
      </c>
      <c r="L61" t="n">
        <v>9</v>
      </c>
      <c r="M61" s="24"/>
      <c r="N61"/>
      <c r="O61" s="24" t="n">
        <v>0.675568158368646</v>
      </c>
      <c r="P61" t="n">
        <v>16</v>
      </c>
      <c r="Q61" s="24"/>
      <c r="R61"/>
      <c r="S61" s="24"/>
      <c r="T61" s="12"/>
    </row>
    <row r="62" outlineLevel="1" hidden="0">
      <c r="A62" s="7" t="s">
        <v>14</v>
      </c>
      <c r="B62" t="s">
        <v>62</v>
      </c>
      <c r="C62" s="24" t="n">
        <v>0.708463741701147</v>
      </c>
      <c r="D62" t="n">
        <v>42</v>
      </c>
      <c r="E62" s="24" t="n">
        <v>0.0725183589672947</v>
      </c>
      <c r="F62" t="n">
        <v>30</v>
      </c>
      <c r="G62" s="24"/>
      <c r="H62"/>
      <c r="I62" s="24" t="n">
        <v>0.806823454416385</v>
      </c>
      <c r="J62" t="n">
        <v>15</v>
      </c>
      <c r="K62" s="24" t="n">
        <v>0.0857518662935691</v>
      </c>
      <c r="L62" t="n">
        <v>12</v>
      </c>
      <c r="M62" s="24"/>
      <c r="N62"/>
      <c r="O62" s="24" t="n">
        <v>0.676108215503648</v>
      </c>
      <c r="P62" t="n">
        <v>27</v>
      </c>
      <c r="Q62" s="24" t="n">
        <v>0.0673235631852807</v>
      </c>
      <c r="R62" t="n">
        <v>18</v>
      </c>
      <c r="S62" s="24"/>
      <c r="T62" s="12"/>
    </row>
    <row r="63" outlineLevel="1" hidden="0">
      <c r="A63" s="7" t="s">
        <v>14</v>
      </c>
      <c r="B63" t="s">
        <v>63</v>
      </c>
      <c r="C63" s="24" t="n">
        <v>0.741604914449055</v>
      </c>
      <c r="D63" t="n">
        <v>29</v>
      </c>
      <c r="E63" s="24"/>
      <c r="F63"/>
      <c r="G63" s="24"/>
      <c r="H63"/>
      <c r="I63" s="24" t="n">
        <v>0.699765527286499</v>
      </c>
      <c r="J63" t="n">
        <v>13</v>
      </c>
      <c r="K63" s="24"/>
      <c r="L63"/>
      <c r="M63" s="24"/>
      <c r="N63"/>
      <c r="O63" s="24" t="n">
        <v>0.780878091793756</v>
      </c>
      <c r="P63" t="n">
        <v>16</v>
      </c>
      <c r="Q63" s="24"/>
      <c r="R63"/>
      <c r="S63" s="24"/>
      <c r="T63" s="12"/>
    </row>
    <row r="64" outlineLevel="1" hidden="0">
      <c r="A64" s="8" t="s">
        <v>14</v>
      </c>
      <c r="B64" s="10" t="s">
        <v>64</v>
      </c>
      <c r="C64" s="23" t="n">
        <v>0.663828228067276</v>
      </c>
      <c r="D64" s="10" t="n">
        <v>7753</v>
      </c>
      <c r="E64" s="23" t="n">
        <v>0.0196985600601359</v>
      </c>
      <c r="F64" s="10" t="n">
        <v>4955</v>
      </c>
      <c r="G64" s="23" t="n">
        <v>0.00639238964276758</v>
      </c>
      <c r="H64" s="10" t="n">
        <v>4955</v>
      </c>
      <c r="I64" s="23" t="n">
        <v>0.671853657807948</v>
      </c>
      <c r="J64" s="10" t="n">
        <v>3818</v>
      </c>
      <c r="K64" s="23" t="n">
        <v>0.0202679897766725</v>
      </c>
      <c r="L64" s="10" t="n">
        <v>2450</v>
      </c>
      <c r="M64" s="23" t="n">
        <v>0.00543707050167561</v>
      </c>
      <c r="N64" s="10" t="n">
        <v>2450</v>
      </c>
      <c r="O64" s="23" t="n">
        <v>0.656565754188342</v>
      </c>
      <c r="P64" s="10" t="n">
        <v>3935</v>
      </c>
      <c r="Q64" s="23" t="n">
        <v>0.0191712250199305</v>
      </c>
      <c r="R64" s="10" t="n">
        <v>2505</v>
      </c>
      <c r="S64" s="23" t="n">
        <v>0.00727708751336825</v>
      </c>
      <c r="T64" s="13" t="n">
        <v>2505</v>
      </c>
    </row>
    <row r="65">
      <c r="C65" s="24"/>
      <c r="E65" s="24"/>
      <c r="G65" s="24"/>
      <c r="I65" s="24"/>
      <c r="K65" s="24"/>
      <c r="M65" s="24"/>
      <c r="O65" s="24"/>
      <c r="Q65" s="24"/>
      <c r="S65" s="24"/>
    </row>
    <row r="66">
      <c r="A66" s="2" t="s">
        <v>65</v>
      </c>
      <c r="B66" s="2"/>
      <c r="C66" s="20"/>
      <c r="D66" s="2"/>
      <c r="E66" s="20"/>
      <c r="F66" s="2"/>
      <c r="G66" s="20"/>
      <c r="H66" s="2"/>
      <c r="I66" s="20"/>
      <c r="J66" s="2"/>
      <c r="K66" s="20"/>
      <c r="L66" s="2"/>
      <c r="M66" s="20"/>
      <c r="N66" s="2"/>
      <c r="O66" s="20"/>
      <c r="P66" s="2"/>
      <c r="Q66" s="20"/>
      <c r="R66" s="2"/>
      <c r="S66" s="20"/>
      <c r="T66" s="2"/>
    </row>
    <row r="67" outlineLevel="1" hidden="0">
      <c r="A67" s="6" t="s">
        <v>14</v>
      </c>
      <c r="B67" s="9" t="s">
        <v>66</v>
      </c>
      <c r="C67" s="22" t="n">
        <v>0.670975610167873</v>
      </c>
      <c r="D67" s="9" t="n">
        <v>12200</v>
      </c>
      <c r="E67" s="22" t="n">
        <v>0.0218093450110544</v>
      </c>
      <c r="F67" s="9" t="n">
        <v>7780</v>
      </c>
      <c r="G67" s="22" t="n">
        <v>0.0065179083206481</v>
      </c>
      <c r="H67" s="9" t="n">
        <v>7780</v>
      </c>
      <c r="I67" s="22" t="n">
        <v>0.666851087016214</v>
      </c>
      <c r="J67" s="9" t="n">
        <v>5973</v>
      </c>
      <c r="K67" s="22" t="n">
        <v>0.0234292739286986</v>
      </c>
      <c r="L67" s="9" t="n">
        <v>3777</v>
      </c>
      <c r="M67" s="22" t="n">
        <v>0.00591383997735431</v>
      </c>
      <c r="N67" s="9" t="n">
        <v>3777</v>
      </c>
      <c r="O67" s="22" t="n">
        <v>0.674759154291446</v>
      </c>
      <c r="P67" s="9" t="n">
        <v>6227</v>
      </c>
      <c r="Q67" s="22" t="n">
        <v>0.0203401639188023</v>
      </c>
      <c r="R67" s="9" t="n">
        <v>4003</v>
      </c>
      <c r="S67" s="22" t="n">
        <v>0.00706576309299574</v>
      </c>
      <c r="T67" s="11" t="n">
        <v>4003</v>
      </c>
    </row>
    <row r="68" outlineLevel="1" hidden="0">
      <c r="A68" s="8" t="s">
        <v>14</v>
      </c>
      <c r="B68" s="10" t="s">
        <v>67</v>
      </c>
      <c r="C68" s="23" t="n">
        <v>0.458264820497256</v>
      </c>
      <c r="D68" s="10" t="n">
        <v>362</v>
      </c>
      <c r="E68" s="23" t="n">
        <v>0.124006704861633</v>
      </c>
      <c r="F68" s="10" t="n">
        <v>147</v>
      </c>
      <c r="G68" s="23" t="n">
        <v>0.00524094076028608</v>
      </c>
      <c r="H68" s="10" t="n">
        <v>147</v>
      </c>
      <c r="I68" s="23" t="n">
        <v>0.520924935679353</v>
      </c>
      <c r="J68" s="10" t="n">
        <v>163</v>
      </c>
      <c r="K68" s="23" t="n">
        <v>0.142898355096253</v>
      </c>
      <c r="L68" s="10" t="n">
        <v>77</v>
      </c>
      <c r="M68" s="23" t="n">
        <v>0.00468042890766378</v>
      </c>
      <c r="N68" s="10" t="n">
        <v>77</v>
      </c>
      <c r="O68" s="23" t="n">
        <v>0.387691226753231</v>
      </c>
      <c r="P68" s="10" t="n">
        <v>199</v>
      </c>
      <c r="Q68" s="23" t="n">
        <v>0.0954169709011816</v>
      </c>
      <c r="R68" s="10" t="n">
        <v>70</v>
      </c>
      <c r="S68" s="23" t="n">
        <v>0.00608919300660308</v>
      </c>
      <c r="T68" s="13" t="n">
        <v>70</v>
      </c>
    </row>
    <row r="69">
      <c r="C69" s="24"/>
      <c r="E69" s="24"/>
      <c r="G69" s="24"/>
      <c r="I69" s="24"/>
      <c r="K69" s="24"/>
      <c r="M69" s="24"/>
      <c r="O69" s="24"/>
      <c r="Q69" s="24"/>
      <c r="S69" s="24"/>
    </row>
    <row r="70">
      <c r="A70" s="2" t="s">
        <v>68</v>
      </c>
      <c r="B70" s="2"/>
      <c r="C70" s="20"/>
      <c r="D70" s="2"/>
      <c r="E70" s="20"/>
      <c r="F70" s="2"/>
      <c r="G70" s="20"/>
      <c r="H70" s="2"/>
      <c r="I70" s="20"/>
      <c r="J70" s="2"/>
      <c r="K70" s="20"/>
      <c r="L70" s="2"/>
      <c r="M70" s="20"/>
      <c r="N70" s="2"/>
      <c r="O70" s="20"/>
      <c r="P70" s="2"/>
      <c r="Q70" s="20"/>
      <c r="R70" s="2"/>
      <c r="S70" s="20"/>
      <c r="T70" s="2"/>
    </row>
    <row r="71" outlineLevel="1" hidden="0">
      <c r="A71" s="6" t="s">
        <v>14</v>
      </c>
      <c r="B71" s="9" t="s">
        <v>66</v>
      </c>
      <c r="C71" s="22" t="n">
        <v>0.670403276396735</v>
      </c>
      <c r="D71" s="9" t="n">
        <v>12064</v>
      </c>
      <c r="E71" s="22" t="n">
        <v>0.0219162254256221</v>
      </c>
      <c r="F71" s="9" t="n">
        <v>7685</v>
      </c>
      <c r="G71" s="22" t="n">
        <v>0.00659781749357168</v>
      </c>
      <c r="H71" s="9" t="n">
        <v>7685</v>
      </c>
      <c r="I71" s="22" t="n">
        <v>0.667647506390788</v>
      </c>
      <c r="J71" s="9" t="n">
        <v>5917</v>
      </c>
      <c r="K71" s="22" t="n">
        <v>0.023478656308063</v>
      </c>
      <c r="L71" s="9" t="n">
        <v>3740</v>
      </c>
      <c r="M71" s="22" t="n">
        <v>0.00595607997428008</v>
      </c>
      <c r="N71" s="9" t="n">
        <v>3740</v>
      </c>
      <c r="O71" s="22" t="n">
        <v>0.672945893158672</v>
      </c>
      <c r="P71" s="9" t="n">
        <v>6147</v>
      </c>
      <c r="Q71" s="22" t="n">
        <v>0.0204853980300764</v>
      </c>
      <c r="R71" s="9" t="n">
        <v>3945</v>
      </c>
      <c r="S71" s="22" t="n">
        <v>0.00718550148885818</v>
      </c>
      <c r="T71" s="11" t="n">
        <v>3945</v>
      </c>
    </row>
    <row r="72" outlineLevel="1" hidden="0">
      <c r="A72" s="8" t="s">
        <v>14</v>
      </c>
      <c r="B72" s="10" t="s">
        <v>67</v>
      </c>
      <c r="C72" s="23" t="n">
        <v>0.529733983716922</v>
      </c>
      <c r="D72" s="10" t="n">
        <v>498</v>
      </c>
      <c r="E72" s="23" t="n">
        <v>0.0829679270455879</v>
      </c>
      <c r="F72" s="10" t="n">
        <v>242</v>
      </c>
      <c r="G72" s="23" t="n">
        <v>0.0033017857056949</v>
      </c>
      <c r="H72" s="10" t="n">
        <v>242</v>
      </c>
      <c r="I72" s="23" t="n">
        <v>0.53093196380604</v>
      </c>
      <c r="J72" s="10" t="n">
        <v>219</v>
      </c>
      <c r="K72" s="23" t="n">
        <v>0.115901592954674</v>
      </c>
      <c r="L72" s="10" t="n">
        <v>114</v>
      </c>
      <c r="M72" s="23" t="n">
        <v>0.00368063834578543</v>
      </c>
      <c r="N72" s="10" t="n">
        <v>114</v>
      </c>
      <c r="O72" s="23" t="n">
        <v>0.528622421547653</v>
      </c>
      <c r="P72" s="10" t="n">
        <v>279</v>
      </c>
      <c r="Q72" s="23" t="n">
        <v>0.0522764686677844</v>
      </c>
      <c r="R72" s="10" t="n">
        <v>128</v>
      </c>
      <c r="S72" s="23" t="n">
        <v>0.00294872631453093</v>
      </c>
      <c r="T72" s="13" t="n">
        <v>128</v>
      </c>
    </row>
    <row r="73">
      <c r="C73" s="24"/>
      <c r="E73" s="24"/>
      <c r="G73" s="24"/>
      <c r="I73" s="24"/>
      <c r="K73" s="24"/>
      <c r="M73" s="24"/>
      <c r="O73" s="24"/>
      <c r="Q73" s="24"/>
      <c r="S73" s="24"/>
    </row>
    <row r="74">
      <c r="C74" s="24"/>
      <c r="E74" s="24"/>
      <c r="G74" s="24"/>
      <c r="I74" s="24"/>
      <c r="K74" s="24"/>
      <c r="M74" s="24"/>
      <c r="O74" s="24"/>
      <c r="Q74" s="24"/>
      <c r="S74" s="24"/>
    </row>
  </sheetData>
  <mergeCells count="26">
    <mergeCell ref="A1:T1"/>
    <mergeCell ref="C2:H2"/>
    <mergeCell ref="I2:N2"/>
    <mergeCell ref="O2:T2"/>
    <mergeCell ref="E3:H3"/>
    <mergeCell ref="K3:N3"/>
    <mergeCell ref="Q3:T3"/>
    <mergeCell ref="E4:F4"/>
    <mergeCell ref="G4:H4"/>
    <mergeCell ref="C4:D4"/>
    <mergeCell ref="K4:L4"/>
    <mergeCell ref="M4:N4"/>
    <mergeCell ref="I4:J4"/>
    <mergeCell ref="Q4:R4"/>
    <mergeCell ref="S4:T4"/>
    <mergeCell ref="O4:P4"/>
    <mergeCell ref="A6:T6"/>
    <mergeCell ref="A9:T9"/>
    <mergeCell ref="A15:T15"/>
    <mergeCell ref="A22:T22"/>
    <mergeCell ref="A45:T45"/>
    <mergeCell ref="A50:T50"/>
    <mergeCell ref="A54:T54"/>
    <mergeCell ref="A59:T59"/>
    <mergeCell ref="A66:T66"/>
    <mergeCell ref="A70:T7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4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E3" s="2" t="s">
        <v>74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S3" s="2" t="s">
        <v>74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G3" s="2" t="s">
        <v>74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C4" s="2" t="s">
        <v>81</v>
      </c>
      <c r="D4" s="2"/>
      <c r="E4" s="2" t="s">
        <v>75</v>
      </c>
      <c r="F4" s="2"/>
      <c r="G4" s="2" t="s">
        <v>76</v>
      </c>
      <c r="H4" s="2"/>
      <c r="I4" s="2" t="s">
        <v>77</v>
      </c>
      <c r="J4" s="2"/>
      <c r="K4" s="2" t="s">
        <v>78</v>
      </c>
      <c r="L4" s="2"/>
      <c r="M4" s="2" t="s">
        <v>79</v>
      </c>
      <c r="N4" s="2"/>
      <c r="O4" s="2" t="s">
        <v>80</v>
      </c>
      <c r="P4" s="2"/>
      <c r="Q4" s="2" t="s">
        <v>81</v>
      </c>
      <c r="R4" s="2"/>
      <c r="S4" s="2" t="s">
        <v>75</v>
      </c>
      <c r="T4" s="2"/>
      <c r="U4" s="2" t="s">
        <v>76</v>
      </c>
      <c r="V4" s="2"/>
      <c r="W4" s="2" t="s">
        <v>77</v>
      </c>
      <c r="X4" s="2"/>
      <c r="Y4" s="2" t="s">
        <v>78</v>
      </c>
      <c r="Z4" s="2"/>
      <c r="AA4" s="2" t="s">
        <v>79</v>
      </c>
      <c r="AB4" s="2"/>
      <c r="AC4" s="2" t="s">
        <v>80</v>
      </c>
      <c r="AD4" s="2"/>
      <c r="AE4" s="2" t="s">
        <v>81</v>
      </c>
      <c r="AF4" s="2"/>
      <c r="AG4" s="2" t="s">
        <v>75</v>
      </c>
      <c r="AH4" s="2"/>
      <c r="AI4" s="2" t="s">
        <v>76</v>
      </c>
      <c r="AJ4" s="2"/>
      <c r="AK4" s="2" t="s">
        <v>77</v>
      </c>
      <c r="AL4" s="2"/>
      <c r="AM4" s="2" t="s">
        <v>78</v>
      </c>
      <c r="AN4" s="2"/>
      <c r="AO4" s="2" t="s">
        <v>79</v>
      </c>
      <c r="AP4" s="2"/>
      <c r="AQ4" s="2" t="s">
        <v>80</v>
      </c>
      <c r="AR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  <c r="U5" s="2" t="s">
        <v>12</v>
      </c>
      <c r="V5" s="2" t="s">
        <v>13</v>
      </c>
      <c r="W5" s="2" t="s">
        <v>12</v>
      </c>
      <c r="X5" s="2" t="s">
        <v>13</v>
      </c>
      <c r="Y5" s="2" t="s">
        <v>12</v>
      </c>
      <c r="Z5" s="2" t="s">
        <v>13</v>
      </c>
      <c r="AA5" s="2" t="s">
        <v>12</v>
      </c>
      <c r="AB5" s="2" t="s">
        <v>13</v>
      </c>
      <c r="AC5" s="2" t="s">
        <v>12</v>
      </c>
      <c r="AD5" s="2" t="s">
        <v>13</v>
      </c>
      <c r="AE5" s="2" t="s">
        <v>12</v>
      </c>
      <c r="AF5" s="2" t="s">
        <v>13</v>
      </c>
      <c r="AG5" s="2" t="s">
        <v>12</v>
      </c>
      <c r="AH5" s="2" t="s">
        <v>13</v>
      </c>
      <c r="AI5" s="2" t="s">
        <v>12</v>
      </c>
      <c r="AJ5" s="2" t="s">
        <v>13</v>
      </c>
      <c r="AK5" s="2" t="s">
        <v>12</v>
      </c>
      <c r="AL5" s="2" t="s">
        <v>13</v>
      </c>
      <c r="AM5" s="2" t="s">
        <v>12</v>
      </c>
      <c r="AN5" s="2" t="s">
        <v>13</v>
      </c>
      <c r="AO5" s="2" t="s">
        <v>12</v>
      </c>
      <c r="AP5" s="2" t="s">
        <v>13</v>
      </c>
      <c r="AQ5" s="2" t="s">
        <v>12</v>
      </c>
      <c r="AR5" s="2" t="s">
        <v>13</v>
      </c>
    </row>
    <row r="6">
      <c r="A6" s="2" t="s">
        <v>2</v>
      </c>
      <c r="B6" s="2"/>
      <c r="C6" s="25"/>
      <c r="D6" s="2"/>
      <c r="E6" s="25"/>
      <c r="F6" s="2"/>
      <c r="G6" s="25"/>
      <c r="H6" s="2"/>
      <c r="I6" s="25"/>
      <c r="J6" s="2"/>
      <c r="K6" s="25"/>
      <c r="L6" s="2"/>
      <c r="M6" s="25"/>
      <c r="N6" s="2"/>
      <c r="O6" s="25"/>
      <c r="P6" s="2"/>
      <c r="Q6" s="25"/>
      <c r="R6" s="2"/>
      <c r="S6" s="25"/>
      <c r="T6" s="2"/>
      <c r="U6" s="25"/>
      <c r="V6" s="2"/>
      <c r="W6" s="25"/>
      <c r="X6" s="2"/>
      <c r="Y6" s="25"/>
      <c r="Z6" s="2"/>
      <c r="AA6" s="25"/>
      <c r="AB6" s="2"/>
      <c r="AC6" s="25"/>
      <c r="AD6" s="2"/>
      <c r="AE6" s="25"/>
      <c r="AF6" s="2"/>
      <c r="AG6" s="25"/>
      <c r="AH6" s="2"/>
      <c r="AI6" s="25"/>
      <c r="AJ6" s="2"/>
      <c r="AK6" s="25"/>
      <c r="AL6" s="2"/>
      <c r="AM6" s="25"/>
      <c r="AN6" s="2"/>
      <c r="AO6" s="25"/>
      <c r="AP6" s="2"/>
      <c r="AQ6" s="25"/>
      <c r="AR6" s="2"/>
    </row>
    <row r="7" outlineLevel="1" hidden="0">
      <c r="A7" s="3" t="s">
        <v>14</v>
      </c>
      <c r="B7" s="4" t="s">
        <v>2</v>
      </c>
      <c r="C7" s="26" t="n">
        <v>0.33525149270344</v>
      </c>
      <c r="D7" s="4" t="n">
        <v>12562</v>
      </c>
      <c r="E7" s="26" t="n">
        <v>0.31405215909208</v>
      </c>
      <c r="F7" s="4" t="n">
        <v>4597</v>
      </c>
      <c r="G7" s="26" t="n">
        <v>0.0702103921942387</v>
      </c>
      <c r="H7" s="4" t="n">
        <v>4597</v>
      </c>
      <c r="I7" s="26" t="n">
        <v>0.176174442100645</v>
      </c>
      <c r="J7" s="4" t="n">
        <v>4597</v>
      </c>
      <c r="K7" s="26" t="n">
        <v>0.0379051574413249</v>
      </c>
      <c r="L7" s="4" t="n">
        <v>4597</v>
      </c>
      <c r="M7" s="26" t="n">
        <v>0.246375928576734</v>
      </c>
      <c r="N7" s="4" t="n">
        <v>4597</v>
      </c>
      <c r="O7" s="26" t="n">
        <v>0.155281920594978</v>
      </c>
      <c r="P7" s="4" t="n">
        <v>4597</v>
      </c>
      <c r="Q7" s="26" t="n">
        <v>0.337863779126551</v>
      </c>
      <c r="R7" s="4" t="n">
        <v>6136</v>
      </c>
      <c r="S7" s="26" t="n">
        <v>0.319399313943749</v>
      </c>
      <c r="T7" s="4" t="n">
        <v>2266</v>
      </c>
      <c r="U7" s="26" t="n">
        <v>0.019341721592447</v>
      </c>
      <c r="V7" s="4" t="n">
        <v>2266</v>
      </c>
      <c r="W7" s="26" t="n">
        <v>0.197101825125605</v>
      </c>
      <c r="X7" s="4" t="n">
        <v>2266</v>
      </c>
      <c r="Y7" s="26" t="n">
        <v>0.0364120697207393</v>
      </c>
      <c r="Z7" s="4" t="n">
        <v>2266</v>
      </c>
      <c r="AA7" s="26" t="n">
        <v>0.260302832521894</v>
      </c>
      <c r="AB7" s="4" t="n">
        <v>2266</v>
      </c>
      <c r="AC7" s="26" t="n">
        <v>0.167442237095565</v>
      </c>
      <c r="AD7" s="4" t="n">
        <v>2266</v>
      </c>
      <c r="AE7" s="26" t="n">
        <v>0.332840715499448</v>
      </c>
      <c r="AF7" s="4" t="n">
        <v>6426</v>
      </c>
      <c r="AG7" s="26" t="n">
        <v>0.309034920376125</v>
      </c>
      <c r="AH7" s="4" t="n">
        <v>2331</v>
      </c>
      <c r="AI7" s="26" t="n">
        <v>0.117940497390789</v>
      </c>
      <c r="AJ7" s="4" t="n">
        <v>2331</v>
      </c>
      <c r="AK7" s="26" t="n">
        <v>0.156538265620054</v>
      </c>
      <c r="AL7" s="4" t="n">
        <v>2331</v>
      </c>
      <c r="AM7" s="26" t="n">
        <v>0.0393061225762132</v>
      </c>
      <c r="AN7" s="4" t="n">
        <v>2331</v>
      </c>
      <c r="AO7" s="26" t="n">
        <v>0.233308305961463</v>
      </c>
      <c r="AP7" s="4" t="n">
        <v>2331</v>
      </c>
      <c r="AQ7" s="26" t="n">
        <v>0.143871888075356</v>
      </c>
      <c r="AR7" s="5" t="n">
        <v>2331</v>
      </c>
    </row>
    <row r="8">
      <c r="C8" s="29"/>
      <c r="E8" s="29"/>
      <c r="G8" s="29"/>
      <c r="I8" s="29"/>
      <c r="K8" s="29"/>
      <c r="M8" s="29"/>
      <c r="O8" s="29"/>
      <c r="Q8" s="29"/>
      <c r="S8" s="29"/>
      <c r="U8" s="29"/>
      <c r="W8" s="29"/>
      <c r="Y8" s="29"/>
      <c r="AA8" s="29"/>
      <c r="AC8" s="29"/>
      <c r="AE8" s="29"/>
      <c r="AG8" s="29"/>
      <c r="AI8" s="29"/>
      <c r="AK8" s="29"/>
      <c r="AM8" s="29"/>
      <c r="AO8" s="29"/>
      <c r="AQ8" s="29"/>
    </row>
    <row r="9">
      <c r="A9" s="2" t="s">
        <v>15</v>
      </c>
      <c r="B9" s="2"/>
      <c r="C9" s="25"/>
      <c r="D9" s="2"/>
      <c r="E9" s="25"/>
      <c r="F9" s="2"/>
      <c r="G9" s="25"/>
      <c r="H9" s="2"/>
      <c r="I9" s="25"/>
      <c r="J9" s="2"/>
      <c r="K9" s="25"/>
      <c r="L9" s="2"/>
      <c r="M9" s="25"/>
      <c r="N9" s="2"/>
      <c r="O9" s="25"/>
      <c r="P9" s="2"/>
      <c r="Q9" s="25"/>
      <c r="R9" s="2"/>
      <c r="S9" s="25"/>
      <c r="T9" s="2"/>
      <c r="U9" s="25"/>
      <c r="V9" s="2"/>
      <c r="W9" s="25"/>
      <c r="X9" s="2"/>
      <c r="Y9" s="25"/>
      <c r="Z9" s="2"/>
      <c r="AA9" s="25"/>
      <c r="AB9" s="2"/>
      <c r="AC9" s="25"/>
      <c r="AD9" s="2"/>
      <c r="AE9" s="25"/>
      <c r="AF9" s="2"/>
      <c r="AG9" s="25"/>
      <c r="AH9" s="2"/>
      <c r="AI9" s="25"/>
      <c r="AJ9" s="2"/>
      <c r="AK9" s="25"/>
      <c r="AL9" s="2"/>
      <c r="AM9" s="25"/>
      <c r="AN9" s="2"/>
      <c r="AO9" s="25"/>
      <c r="AP9" s="2"/>
      <c r="AQ9" s="25"/>
      <c r="AR9" s="2"/>
    </row>
    <row r="10" outlineLevel="1" hidden="0">
      <c r="A10" s="6" t="s">
        <v>14</v>
      </c>
      <c r="B10" s="9" t="s">
        <v>16</v>
      </c>
      <c r="C10" s="27" t="n">
        <v>0.518957489177197</v>
      </c>
      <c r="D10" s="9" t="n">
        <v>1065</v>
      </c>
      <c r="E10" s="27" t="n">
        <v>0.30113382926039</v>
      </c>
      <c r="F10" s="9" t="n">
        <v>515</v>
      </c>
      <c r="G10" s="27"/>
      <c r="H10" s="9"/>
      <c r="I10" s="27" t="n">
        <v>0.388427977167738</v>
      </c>
      <c r="J10" s="9" t="n">
        <v>515</v>
      </c>
      <c r="K10" s="27" t="n">
        <v>0.0407117621694251</v>
      </c>
      <c r="L10" s="9" t="n">
        <v>515</v>
      </c>
      <c r="M10" s="27" t="n">
        <v>0.152015242273002</v>
      </c>
      <c r="N10" s="9" t="n">
        <v>515</v>
      </c>
      <c r="O10" s="27" t="n">
        <v>0.117711189129445</v>
      </c>
      <c r="P10" s="9" t="n">
        <v>515</v>
      </c>
      <c r="Q10" s="27" t="n">
        <v>0.58068881097402</v>
      </c>
      <c r="R10" s="9" t="n">
        <v>509</v>
      </c>
      <c r="S10" s="27" t="n">
        <v>0.302604974144862</v>
      </c>
      <c r="T10" s="9" t="n">
        <v>251</v>
      </c>
      <c r="U10" s="27"/>
      <c r="V10" s="9"/>
      <c r="W10" s="27" t="n">
        <v>0.40051541583095</v>
      </c>
      <c r="X10" s="9" t="n">
        <v>251</v>
      </c>
      <c r="Y10" s="27" t="n">
        <v>0.0682713068425007</v>
      </c>
      <c r="Z10" s="9" t="n">
        <v>251</v>
      </c>
      <c r="AA10" s="27" t="n">
        <v>0.164904977381862</v>
      </c>
      <c r="AB10" s="9" t="n">
        <v>251</v>
      </c>
      <c r="AC10" s="27" t="n">
        <v>0.0637033257998261</v>
      </c>
      <c r="AD10" s="9" t="n">
        <v>251</v>
      </c>
      <c r="AE10" s="27" t="n">
        <v>0.463356101556446</v>
      </c>
      <c r="AF10" s="9" t="n">
        <v>556</v>
      </c>
      <c r="AG10" s="27" t="n">
        <v>0.299465646132941</v>
      </c>
      <c r="AH10" s="9" t="n">
        <v>264</v>
      </c>
      <c r="AI10" s="27"/>
      <c r="AJ10" s="9"/>
      <c r="AK10" s="27" t="n">
        <v>0.374721603686187</v>
      </c>
      <c r="AL10" s="9" t="n">
        <v>264</v>
      </c>
      <c r="AM10" s="27" t="n">
        <v>0.00946102139666545</v>
      </c>
      <c r="AN10" s="9" t="n">
        <v>264</v>
      </c>
      <c r="AO10" s="27" t="n">
        <v>0.137399116524378</v>
      </c>
      <c r="AP10" s="9" t="n">
        <v>264</v>
      </c>
      <c r="AQ10" s="27" t="n">
        <v>0.178952612259829</v>
      </c>
      <c r="AR10" s="11" t="n">
        <v>264</v>
      </c>
    </row>
    <row r="11" outlineLevel="1" hidden="0">
      <c r="A11" s="7" t="s">
        <v>14</v>
      </c>
      <c r="B11" t="s">
        <v>17</v>
      </c>
      <c r="C11" s="29" t="n">
        <v>0.168786398480194</v>
      </c>
      <c r="D11" t="n">
        <v>6423</v>
      </c>
      <c r="E11" s="29" t="n">
        <v>0.321580206255627</v>
      </c>
      <c r="F11" t="n">
        <v>1311</v>
      </c>
      <c r="G11" s="29" t="n">
        <v>0.0178701457601143</v>
      </c>
      <c r="H11" t="n">
        <v>1311</v>
      </c>
      <c r="I11" s="29" t="n">
        <v>0.203139461795757</v>
      </c>
      <c r="J11" t="n">
        <v>1311</v>
      </c>
      <c r="K11" s="29" t="n">
        <v>0.055042348213605</v>
      </c>
      <c r="L11" t="n">
        <v>1311</v>
      </c>
      <c r="M11" s="29" t="n">
        <v>0.242384895561263</v>
      </c>
      <c r="N11" t="n">
        <v>1311</v>
      </c>
      <c r="O11" s="29" t="n">
        <v>0.159982942413633</v>
      </c>
      <c r="P11" t="n">
        <v>1311</v>
      </c>
      <c r="Q11" s="29" t="n">
        <v>0.175280512588242</v>
      </c>
      <c r="R11" t="n">
        <v>3144</v>
      </c>
      <c r="S11" s="29" t="n">
        <v>0.351991558999409</v>
      </c>
      <c r="T11" t="n">
        <v>679</v>
      </c>
      <c r="U11" s="29" t="n">
        <v>0.0115847803592993</v>
      </c>
      <c r="V11" t="n">
        <v>679</v>
      </c>
      <c r="W11" s="29" t="n">
        <v>0.212952277539462</v>
      </c>
      <c r="X11" t="n">
        <v>679</v>
      </c>
      <c r="Y11" s="29" t="n">
        <v>0.0502965778809289</v>
      </c>
      <c r="Z11" t="n">
        <v>679</v>
      </c>
      <c r="AA11" s="29" t="n">
        <v>0.235389785954649</v>
      </c>
      <c r="AB11" t="n">
        <v>679</v>
      </c>
      <c r="AC11" s="29" t="n">
        <v>0.137785019266252</v>
      </c>
      <c r="AD11" t="n">
        <v>679</v>
      </c>
      <c r="AE11" s="29" t="n">
        <v>0.163130611876675</v>
      </c>
      <c r="AF11" t="n">
        <v>3279</v>
      </c>
      <c r="AG11" s="29" t="n">
        <v>0.293181818403462</v>
      </c>
      <c r="AH11" t="n">
        <v>632</v>
      </c>
      <c r="AI11" s="29" t="n">
        <v>0.0237394750842241</v>
      </c>
      <c r="AJ11" t="n">
        <v>632</v>
      </c>
      <c r="AK11" s="29" t="n">
        <v>0.193976168411233</v>
      </c>
      <c r="AL11" t="n">
        <v>632</v>
      </c>
      <c r="AM11" s="29" t="n">
        <v>0.0594739901632448</v>
      </c>
      <c r="AN11" t="n">
        <v>632</v>
      </c>
      <c r="AO11" s="29" t="n">
        <v>0.248916990248095</v>
      </c>
      <c r="AP11" t="n">
        <v>632</v>
      </c>
      <c r="AQ11" s="29" t="n">
        <v>0.180711557689742</v>
      </c>
      <c r="AR11" s="12" t="n">
        <v>632</v>
      </c>
    </row>
    <row r="12" outlineLevel="1" hidden="0">
      <c r="A12" s="7" t="s">
        <v>14</v>
      </c>
      <c r="B12" t="s">
        <v>18</v>
      </c>
      <c r="C12" s="29" t="n">
        <v>0.403762749977521</v>
      </c>
      <c r="D12" t="n">
        <v>2865</v>
      </c>
      <c r="E12" s="29" t="n">
        <v>0.315275058200085</v>
      </c>
      <c r="F12" t="n">
        <v>1281</v>
      </c>
      <c r="G12" s="29" t="n">
        <v>0.104777221245294</v>
      </c>
      <c r="H12" t="n">
        <v>1281</v>
      </c>
      <c r="I12" s="29" t="n">
        <v>0.118881842840028</v>
      </c>
      <c r="J12" t="n">
        <v>1281</v>
      </c>
      <c r="K12" s="29" t="n">
        <v>0.0491043399496247</v>
      </c>
      <c r="L12" t="n">
        <v>1281</v>
      </c>
      <c r="M12" s="29" t="n">
        <v>0.259489317464048</v>
      </c>
      <c r="N12" t="n">
        <v>1281</v>
      </c>
      <c r="O12" s="29" t="n">
        <v>0.152472220300921</v>
      </c>
      <c r="P12" t="n">
        <v>1281</v>
      </c>
      <c r="Q12" s="29" t="n">
        <v>0.373384151608638</v>
      </c>
      <c r="R12" t="n">
        <v>1385</v>
      </c>
      <c r="S12" s="29" t="n">
        <v>0.321230787229782</v>
      </c>
      <c r="T12" t="n">
        <v>608</v>
      </c>
      <c r="U12" s="29" t="n">
        <v>0.0258410886194651</v>
      </c>
      <c r="V12" t="n">
        <v>608</v>
      </c>
      <c r="W12" s="29" t="n">
        <v>0.141008498596878</v>
      </c>
      <c r="X12" t="n">
        <v>608</v>
      </c>
      <c r="Y12" s="29" t="n">
        <v>0.0397383213964066</v>
      </c>
      <c r="Z12" t="n">
        <v>608</v>
      </c>
      <c r="AA12" s="29" t="n">
        <v>0.248447013314051</v>
      </c>
      <c r="AB12" t="n">
        <v>608</v>
      </c>
      <c r="AC12" s="29" t="n">
        <v>0.223734290843417</v>
      </c>
      <c r="AD12" t="n">
        <v>608</v>
      </c>
      <c r="AE12" s="29" t="n">
        <v>0.435288820536056</v>
      </c>
      <c r="AF12" t="n">
        <v>1480</v>
      </c>
      <c r="AG12" s="29" t="n">
        <v>0.309973772342539</v>
      </c>
      <c r="AH12" t="n">
        <v>673</v>
      </c>
      <c r="AI12" s="29" t="n">
        <v>0.175039484933261</v>
      </c>
      <c r="AJ12" t="n">
        <v>673</v>
      </c>
      <c r="AK12" s="29" t="n">
        <v>0.0991865668035122</v>
      </c>
      <c r="AL12" t="n">
        <v>673</v>
      </c>
      <c r="AM12" s="29" t="n">
        <v>0.0574411768759027</v>
      </c>
      <c r="AN12" t="n">
        <v>673</v>
      </c>
      <c r="AO12" s="29" t="n">
        <v>0.269318241938819</v>
      </c>
      <c r="AP12" t="n">
        <v>673</v>
      </c>
      <c r="AQ12" s="29" t="n">
        <v>0.0890407571059659</v>
      </c>
      <c r="AR12" s="12" t="n">
        <v>673</v>
      </c>
    </row>
    <row r="13" outlineLevel="1" hidden="0">
      <c r="A13" s="8" t="s">
        <v>14</v>
      </c>
      <c r="B13" s="10" t="s">
        <v>19</v>
      </c>
      <c r="C13" s="28" t="n">
        <v>0.661767952167165</v>
      </c>
      <c r="D13" s="10" t="n">
        <v>2209</v>
      </c>
      <c r="E13" s="28" t="n">
        <v>0.311796551444711</v>
      </c>
      <c r="F13" s="10" t="n">
        <v>1490</v>
      </c>
      <c r="G13" s="28" t="n">
        <v>0.106875504845513</v>
      </c>
      <c r="H13" s="10" t="n">
        <v>1490</v>
      </c>
      <c r="I13" s="28" t="n">
        <v>0.127632079336778</v>
      </c>
      <c r="J13" s="10" t="n">
        <v>1490</v>
      </c>
      <c r="K13" s="28" t="n">
        <v>0.014358010468994</v>
      </c>
      <c r="L13" s="10" t="n">
        <v>1490</v>
      </c>
      <c r="M13" s="28" t="n">
        <v>0.27203439853537</v>
      </c>
      <c r="N13" s="10" t="n">
        <v>1490</v>
      </c>
      <c r="O13" s="28" t="n">
        <v>0.167303455368634</v>
      </c>
      <c r="P13" s="10" t="n">
        <v>1490</v>
      </c>
      <c r="Q13" s="28" t="n">
        <v>0.650035242305473</v>
      </c>
      <c r="R13" s="10" t="n">
        <v>1098</v>
      </c>
      <c r="S13" s="28" t="n">
        <v>0.299110835715331</v>
      </c>
      <c r="T13" s="10" t="n">
        <v>728</v>
      </c>
      <c r="U13" s="28" t="n">
        <v>0.0276883684867784</v>
      </c>
      <c r="V13" s="10" t="n">
        <v>728</v>
      </c>
      <c r="W13" s="28" t="n">
        <v>0.15053590901008</v>
      </c>
      <c r="X13" s="10" t="n">
        <v>728</v>
      </c>
      <c r="Y13" s="28" t="n">
        <v>0.010348093091873</v>
      </c>
      <c r="Z13" s="10" t="n">
        <v>728</v>
      </c>
      <c r="AA13" s="28" t="n">
        <v>0.326910597437875</v>
      </c>
      <c r="AB13" s="10" t="n">
        <v>728</v>
      </c>
      <c r="AC13" s="28" t="n">
        <v>0.185406196258062</v>
      </c>
      <c r="AD13" s="10" t="n">
        <v>728</v>
      </c>
      <c r="AE13" s="28" t="n">
        <v>0.672885553514773</v>
      </c>
      <c r="AF13" s="10" t="n">
        <v>1111</v>
      </c>
      <c r="AG13" s="28" t="n">
        <v>0.323467109634158</v>
      </c>
      <c r="AH13" s="10" t="n">
        <v>762</v>
      </c>
      <c r="AI13" s="28" t="n">
        <v>0.179725795869298</v>
      </c>
      <c r="AJ13" s="10" t="n">
        <v>762</v>
      </c>
      <c r="AK13" s="28" t="n">
        <v>0.106561098190291</v>
      </c>
      <c r="AL13" s="10" t="n">
        <v>762</v>
      </c>
      <c r="AM13" s="28" t="n">
        <v>0.0180470395378217</v>
      </c>
      <c r="AN13" s="10" t="n">
        <v>762</v>
      </c>
      <c r="AO13" s="28" t="n">
        <v>0.22154959451094</v>
      </c>
      <c r="AP13" s="10" t="n">
        <v>762</v>
      </c>
      <c r="AQ13" s="28" t="n">
        <v>0.150649362257493</v>
      </c>
      <c r="AR13" s="13" t="n">
        <v>762</v>
      </c>
    </row>
    <row r="14">
      <c r="C14" s="29"/>
      <c r="E14" s="29"/>
      <c r="G14" s="29"/>
      <c r="I14" s="29"/>
      <c r="K14" s="29"/>
      <c r="M14" s="29"/>
      <c r="O14" s="29"/>
      <c r="Q14" s="29"/>
      <c r="S14" s="29"/>
      <c r="U14" s="29"/>
      <c r="W14" s="29"/>
      <c r="Y14" s="29"/>
      <c r="AA14" s="29"/>
      <c r="AC14" s="29"/>
      <c r="AE14" s="29"/>
      <c r="AG14" s="29"/>
      <c r="AI14" s="29"/>
      <c r="AK14" s="29"/>
      <c r="AM14" s="29"/>
      <c r="AO14" s="29"/>
      <c r="AQ14" s="29"/>
    </row>
    <row r="15">
      <c r="A15" s="2" t="s">
        <v>20</v>
      </c>
      <c r="B15" s="2"/>
      <c r="C15" s="25"/>
      <c r="D15" s="2"/>
      <c r="E15" s="25"/>
      <c r="F15" s="2"/>
      <c r="G15" s="25"/>
      <c r="H15" s="2"/>
      <c r="I15" s="25"/>
      <c r="J15" s="2"/>
      <c r="K15" s="25"/>
      <c r="L15" s="2"/>
      <c r="M15" s="25"/>
      <c r="N15" s="2"/>
      <c r="O15" s="25"/>
      <c r="P15" s="2"/>
      <c r="Q15" s="25"/>
      <c r="R15" s="2"/>
      <c r="S15" s="25"/>
      <c r="T15" s="2"/>
      <c r="U15" s="25"/>
      <c r="V15" s="2"/>
      <c r="W15" s="25"/>
      <c r="X15" s="2"/>
      <c r="Y15" s="25"/>
      <c r="Z15" s="2"/>
      <c r="AA15" s="25"/>
      <c r="AB15" s="2"/>
      <c r="AC15" s="25"/>
      <c r="AD15" s="2"/>
      <c r="AE15" s="25"/>
      <c r="AF15" s="2"/>
      <c r="AG15" s="25"/>
      <c r="AH15" s="2"/>
      <c r="AI15" s="25"/>
      <c r="AJ15" s="2"/>
      <c r="AK15" s="25"/>
      <c r="AL15" s="2"/>
      <c r="AM15" s="25"/>
      <c r="AN15" s="2"/>
      <c r="AO15" s="25"/>
      <c r="AP15" s="2"/>
      <c r="AQ15" s="25"/>
      <c r="AR15" s="2"/>
    </row>
    <row r="16" outlineLevel="1" hidden="0">
      <c r="A16" s="6" t="s">
        <v>14</v>
      </c>
      <c r="B16" s="9" t="s">
        <v>21</v>
      </c>
      <c r="C16" s="27" t="n">
        <v>0.296435999772569</v>
      </c>
      <c r="D16" s="9" t="n">
        <v>3358</v>
      </c>
      <c r="E16" s="27" t="n">
        <v>0.338107591207207</v>
      </c>
      <c r="F16" s="9" t="n">
        <v>981</v>
      </c>
      <c r="G16" s="27" t="n">
        <v>0.0728520727788619</v>
      </c>
      <c r="H16" s="9" t="n">
        <v>981</v>
      </c>
      <c r="I16" s="27" t="n">
        <v>0.13217218534189</v>
      </c>
      <c r="J16" s="9" t="n">
        <v>981</v>
      </c>
      <c r="K16" s="27" t="n">
        <v>0.0227454980295561</v>
      </c>
      <c r="L16" s="9" t="n">
        <v>981</v>
      </c>
      <c r="M16" s="27" t="n">
        <v>0.339914086667592</v>
      </c>
      <c r="N16" s="9" t="n">
        <v>981</v>
      </c>
      <c r="O16" s="27" t="n">
        <v>0.094208565974893</v>
      </c>
      <c r="P16" s="9" t="n">
        <v>981</v>
      </c>
      <c r="Q16" s="27" t="n">
        <v>0.313212080100384</v>
      </c>
      <c r="R16" s="9" t="n">
        <v>1626</v>
      </c>
      <c r="S16" s="27" t="n">
        <v>0.36245443451593</v>
      </c>
      <c r="T16" s="9" t="n">
        <v>495</v>
      </c>
      <c r="U16" s="27" t="n">
        <v>0.000872713895252992</v>
      </c>
      <c r="V16" s="9" t="n">
        <v>495</v>
      </c>
      <c r="W16" s="27" t="n">
        <v>0.15837134836412</v>
      </c>
      <c r="X16" s="9" t="n">
        <v>495</v>
      </c>
      <c r="Y16" s="27" t="n">
        <v>0.0151133796661279</v>
      </c>
      <c r="Z16" s="9" t="n">
        <v>495</v>
      </c>
      <c r="AA16" s="27" t="n">
        <v>0.346244721402051</v>
      </c>
      <c r="AB16" s="9" t="n">
        <v>495</v>
      </c>
      <c r="AC16" s="27" t="n">
        <v>0.116943402156519</v>
      </c>
      <c r="AD16" s="9" t="n">
        <v>495</v>
      </c>
      <c r="AE16" s="27" t="n">
        <v>0.280694929429173</v>
      </c>
      <c r="AF16" s="9" t="n">
        <v>1732</v>
      </c>
      <c r="AG16" s="27" t="n">
        <v>0.312488608176558</v>
      </c>
      <c r="AH16" s="9" t="n">
        <v>486</v>
      </c>
      <c r="AI16" s="27" t="n">
        <v>0.148592403893388</v>
      </c>
      <c r="AJ16" s="9" t="n">
        <v>486</v>
      </c>
      <c r="AK16" s="27" t="n">
        <v>0.104604097587236</v>
      </c>
      <c r="AL16" s="9" t="n">
        <v>486</v>
      </c>
      <c r="AM16" s="27" t="n">
        <v>0.0307763999563991</v>
      </c>
      <c r="AN16" s="9" t="n">
        <v>486</v>
      </c>
      <c r="AO16" s="27" t="n">
        <v>0.333252671806584</v>
      </c>
      <c r="AP16" s="9" t="n">
        <v>486</v>
      </c>
      <c r="AQ16" s="27" t="n">
        <v>0.0702858185798347</v>
      </c>
      <c r="AR16" s="11" t="n">
        <v>486</v>
      </c>
    </row>
    <row r="17" outlineLevel="1" hidden="0">
      <c r="A17" s="7" t="s">
        <v>14</v>
      </c>
      <c r="B17" t="s">
        <v>22</v>
      </c>
      <c r="C17" s="29" t="n">
        <v>0.28456891300119</v>
      </c>
      <c r="D17" t="n">
        <v>2838</v>
      </c>
      <c r="E17" s="29" t="n">
        <v>0.361470017741766</v>
      </c>
      <c r="F17" t="n">
        <v>775</v>
      </c>
      <c r="G17" s="29" t="n">
        <v>0.0557712930370791</v>
      </c>
      <c r="H17" t="n">
        <v>775</v>
      </c>
      <c r="I17" s="29" t="n">
        <v>0.133506013160764</v>
      </c>
      <c r="J17" t="n">
        <v>775</v>
      </c>
      <c r="K17" s="29" t="n">
        <v>0.0684461064549982</v>
      </c>
      <c r="L17" t="n">
        <v>775</v>
      </c>
      <c r="M17" s="29" t="n">
        <v>0.18053406649488</v>
      </c>
      <c r="N17" t="n">
        <v>775</v>
      </c>
      <c r="O17" s="29" t="n">
        <v>0.200272503110512</v>
      </c>
      <c r="P17" t="n">
        <v>775</v>
      </c>
      <c r="Q17" s="29" t="n">
        <v>0.27761560095302</v>
      </c>
      <c r="R17" t="n">
        <v>1350</v>
      </c>
      <c r="S17" s="29" t="n">
        <v>0.354238985968641</v>
      </c>
      <c r="T17" t="n">
        <v>349</v>
      </c>
      <c r="U17" s="29" t="n">
        <v>0.0325598476384849</v>
      </c>
      <c r="V17" t="n">
        <v>349</v>
      </c>
      <c r="W17" s="29" t="n">
        <v>0.147608877910814</v>
      </c>
      <c r="X17" t="n">
        <v>349</v>
      </c>
      <c r="Y17" s="29" t="n">
        <v>0.0774232409477568</v>
      </c>
      <c r="Z17" t="n">
        <v>349</v>
      </c>
      <c r="AA17" s="29" t="n">
        <v>0.18304201349814</v>
      </c>
      <c r="AB17" t="n">
        <v>349</v>
      </c>
      <c r="AC17" s="29" t="n">
        <v>0.205127034036164</v>
      </c>
      <c r="AD17" t="n">
        <v>349</v>
      </c>
      <c r="AE17" s="29" t="n">
        <v>0.290736791217167</v>
      </c>
      <c r="AF17" t="n">
        <v>1488</v>
      </c>
      <c r="AG17" s="29" t="n">
        <v>0.367607557077035</v>
      </c>
      <c r="AH17" t="n">
        <v>426</v>
      </c>
      <c r="AI17" s="29" t="n">
        <v>0.0754726529027314</v>
      </c>
      <c r="AJ17" t="n">
        <v>426</v>
      </c>
      <c r="AK17" s="29" t="n">
        <v>0.121535814458955</v>
      </c>
      <c r="AL17" t="n">
        <v>426</v>
      </c>
      <c r="AM17" s="29" t="n">
        <v>0.0608265138718104</v>
      </c>
      <c r="AN17" t="n">
        <v>426</v>
      </c>
      <c r="AO17" s="29" t="n">
        <v>0.178405376721938</v>
      </c>
      <c r="AP17" t="n">
        <v>426</v>
      </c>
      <c r="AQ17" s="29" t="n">
        <v>0.196152084967531</v>
      </c>
      <c r="AR17" s="12" t="n">
        <v>426</v>
      </c>
    </row>
    <row r="18" outlineLevel="1" hidden="0">
      <c r="A18" s="7" t="s">
        <v>14</v>
      </c>
      <c r="B18" t="s">
        <v>23</v>
      </c>
      <c r="C18" s="29" t="n">
        <v>0.402783807158172</v>
      </c>
      <c r="D18" t="n">
        <v>2764</v>
      </c>
      <c r="E18" s="29" t="n">
        <v>0.341637114298967</v>
      </c>
      <c r="F18" t="n">
        <v>1236</v>
      </c>
      <c r="G18" s="29" t="n">
        <v>0.0662794953249026</v>
      </c>
      <c r="H18" t="n">
        <v>1236</v>
      </c>
      <c r="I18" s="29" t="n">
        <v>0.17669259302746</v>
      </c>
      <c r="J18" t="n">
        <v>1236</v>
      </c>
      <c r="K18" s="29" t="n">
        <v>0.0225611671173552</v>
      </c>
      <c r="L18" t="n">
        <v>1236</v>
      </c>
      <c r="M18" s="29" t="n">
        <v>0.229133084775933</v>
      </c>
      <c r="N18" t="n">
        <v>1236</v>
      </c>
      <c r="O18" s="29" t="n">
        <v>0.163696545455382</v>
      </c>
      <c r="P18" t="n">
        <v>1236</v>
      </c>
      <c r="Q18" s="29" t="n">
        <v>0.406446567851207</v>
      </c>
      <c r="R18" t="n">
        <v>1390</v>
      </c>
      <c r="S18" s="29" t="n">
        <v>0.346035711003862</v>
      </c>
      <c r="T18" t="n">
        <v>642</v>
      </c>
      <c r="U18" s="29" t="n">
        <v>0.0162172486163513</v>
      </c>
      <c r="V18" t="n">
        <v>642</v>
      </c>
      <c r="W18" s="29" t="n">
        <v>0.196819853902416</v>
      </c>
      <c r="X18" t="n">
        <v>642</v>
      </c>
      <c r="Y18" s="29" t="n">
        <v>0.0177776651674477</v>
      </c>
      <c r="Z18" t="n">
        <v>642</v>
      </c>
      <c r="AA18" s="29" t="n">
        <v>0.242034863550036</v>
      </c>
      <c r="AB18" t="n">
        <v>642</v>
      </c>
      <c r="AC18" s="29" t="n">
        <v>0.181114657759886</v>
      </c>
      <c r="AD18" t="n">
        <v>642</v>
      </c>
      <c r="AE18" s="29" t="n">
        <v>0.399314572441756</v>
      </c>
      <c r="AF18" t="n">
        <v>1374</v>
      </c>
      <c r="AG18" s="29" t="n">
        <v>0.337395137000896</v>
      </c>
      <c r="AH18" t="n">
        <v>594</v>
      </c>
      <c r="AI18" s="29" t="n">
        <v>0.114559191845326</v>
      </c>
      <c r="AJ18" t="n">
        <v>594</v>
      </c>
      <c r="AK18" s="29" t="n">
        <v>0.157281997005123</v>
      </c>
      <c r="AL18" t="n">
        <v>594</v>
      </c>
      <c r="AM18" s="29" t="n">
        <v>0.0271743444641669</v>
      </c>
      <c r="AN18" t="n">
        <v>594</v>
      </c>
      <c r="AO18" s="29" t="n">
        <v>0.21669069545582</v>
      </c>
      <c r="AP18" t="n">
        <v>594</v>
      </c>
      <c r="AQ18" s="29" t="n">
        <v>0.146898634228668</v>
      </c>
      <c r="AR18" s="12" t="n">
        <v>594</v>
      </c>
    </row>
    <row r="19" outlineLevel="1" hidden="0">
      <c r="A19" s="7" t="s">
        <v>14</v>
      </c>
      <c r="B19" t="s">
        <v>24</v>
      </c>
      <c r="C19" s="29" t="n">
        <v>0.483638832347296</v>
      </c>
      <c r="D19" t="n">
        <v>1623</v>
      </c>
      <c r="E19" s="29" t="n">
        <v>0.16925184105907</v>
      </c>
      <c r="F19" t="n">
        <v>760</v>
      </c>
      <c r="G19" s="29" t="n">
        <v>0.036500511402064</v>
      </c>
      <c r="H19" t="n">
        <v>760</v>
      </c>
      <c r="I19" s="29" t="n">
        <v>0.447272688740159</v>
      </c>
      <c r="J19" t="n">
        <v>760</v>
      </c>
      <c r="K19" s="29" t="n">
        <v>0.0197646975257721</v>
      </c>
      <c r="L19" t="n">
        <v>760</v>
      </c>
      <c r="M19" s="29" t="n">
        <v>0.21473779519974</v>
      </c>
      <c r="N19" t="n">
        <v>760</v>
      </c>
      <c r="O19" s="29" t="n">
        <v>0.112472466073194</v>
      </c>
      <c r="P19" t="n">
        <v>760</v>
      </c>
      <c r="Q19" s="29" t="n">
        <v>0.485307132457437</v>
      </c>
      <c r="R19" t="n">
        <v>830</v>
      </c>
      <c r="S19" s="29" t="n">
        <v>0.154454766745872</v>
      </c>
      <c r="T19" t="n">
        <v>386</v>
      </c>
      <c r="U19" s="29" t="n">
        <v>0.011086597554747</v>
      </c>
      <c r="V19" t="n">
        <v>386</v>
      </c>
      <c r="W19" s="29" t="n">
        <v>0.48352811047803</v>
      </c>
      <c r="X19" t="n">
        <v>386</v>
      </c>
      <c r="Y19" s="29" t="n">
        <v>0.0176590867400715</v>
      </c>
      <c r="Z19" t="n">
        <v>386</v>
      </c>
      <c r="AA19" s="29" t="n">
        <v>0.208410386920519</v>
      </c>
      <c r="AB19" t="n">
        <v>386</v>
      </c>
      <c r="AC19" s="29" t="n">
        <v>0.124861051560761</v>
      </c>
      <c r="AD19" t="n">
        <v>386</v>
      </c>
      <c r="AE19" s="29" t="n">
        <v>0.481930601481326</v>
      </c>
      <c r="AF19" t="n">
        <v>793</v>
      </c>
      <c r="AG19" s="29" t="n">
        <v>0.184516350647117</v>
      </c>
      <c r="AH19" t="n">
        <v>374</v>
      </c>
      <c r="AI19" s="29" t="n">
        <v>0.0627172433979378</v>
      </c>
      <c r="AJ19" t="n">
        <v>374</v>
      </c>
      <c r="AK19" s="29" t="n">
        <v>0.409871968771972</v>
      </c>
      <c r="AL19" t="n">
        <v>374</v>
      </c>
      <c r="AM19" s="29" t="n">
        <v>0.0219368239439216</v>
      </c>
      <c r="AN19" t="n">
        <v>374</v>
      </c>
      <c r="AO19" s="29" t="n">
        <v>0.221265084466613</v>
      </c>
      <c r="AP19" t="n">
        <v>374</v>
      </c>
      <c r="AQ19" s="29" t="n">
        <v>0.0996925287724386</v>
      </c>
      <c r="AR19" s="12" t="n">
        <v>374</v>
      </c>
    </row>
    <row r="20" outlineLevel="1" hidden="0">
      <c r="A20" s="8" t="s">
        <v>14</v>
      </c>
      <c r="B20" s="10" t="s">
        <v>25</v>
      </c>
      <c r="C20" s="28" t="n">
        <v>0.412494234464786</v>
      </c>
      <c r="D20" s="10" t="n">
        <v>1979</v>
      </c>
      <c r="E20" s="28" t="n">
        <v>0.216239366992346</v>
      </c>
      <c r="F20" s="10" t="n">
        <v>845</v>
      </c>
      <c r="G20" s="28" t="n">
        <v>0.130319056423027</v>
      </c>
      <c r="H20" s="10" t="n">
        <v>845</v>
      </c>
      <c r="I20" s="28" t="n">
        <v>0.166028293281786</v>
      </c>
      <c r="J20" s="10" t="n">
        <v>845</v>
      </c>
      <c r="K20" s="28" t="n">
        <v>0.0244179003292243</v>
      </c>
      <c r="L20" s="10" t="n">
        <v>845</v>
      </c>
      <c r="M20" s="28" t="n">
        <v>0.298378511282085</v>
      </c>
      <c r="N20" s="10" t="n">
        <v>845</v>
      </c>
      <c r="O20" s="28" t="n">
        <v>0.164616871691532</v>
      </c>
      <c r="P20" s="10" t="n">
        <v>845</v>
      </c>
      <c r="Q20" s="28" t="n">
        <v>0.404787255334337</v>
      </c>
      <c r="R20" s="10" t="n">
        <v>940</v>
      </c>
      <c r="S20" s="28" t="n">
        <v>0.238674209690333</v>
      </c>
      <c r="T20" s="10" t="n">
        <v>394</v>
      </c>
      <c r="U20" s="28" t="n">
        <v>0.0326607662152533</v>
      </c>
      <c r="V20" s="10" t="n">
        <v>394</v>
      </c>
      <c r="W20" s="28" t="n">
        <v>0.172628344148401</v>
      </c>
      <c r="X20" s="10" t="n">
        <v>394</v>
      </c>
      <c r="Y20" s="28" t="n">
        <v>0.020906867337628</v>
      </c>
      <c r="Z20" s="10" t="n">
        <v>394</v>
      </c>
      <c r="AA20" s="28" t="n">
        <v>0.355064395211974</v>
      </c>
      <c r="AB20" s="10" t="n">
        <v>394</v>
      </c>
      <c r="AC20" s="28" t="n">
        <v>0.180065417396412</v>
      </c>
      <c r="AD20" s="10" t="n">
        <v>394</v>
      </c>
      <c r="AE20" s="28" t="n">
        <v>0.41960050552817</v>
      </c>
      <c r="AF20" s="10" t="n">
        <v>1039</v>
      </c>
      <c r="AG20" s="28" t="n">
        <v>0.196314987113493</v>
      </c>
      <c r="AH20" s="10" t="n">
        <v>451</v>
      </c>
      <c r="AI20" s="28" t="n">
        <v>0.217049366887547</v>
      </c>
      <c r="AJ20" s="10" t="n">
        <v>451</v>
      </c>
      <c r="AK20" s="28" t="n">
        <v>0.160166789260722</v>
      </c>
      <c r="AL20" s="10" t="n">
        <v>451</v>
      </c>
      <c r="AM20" s="28" t="n">
        <v>0.0275360481153922</v>
      </c>
      <c r="AN20" s="10" t="n">
        <v>451</v>
      </c>
      <c r="AO20" s="28" t="n">
        <v>0.248035787671676</v>
      </c>
      <c r="AP20" s="10" t="n">
        <v>451</v>
      </c>
      <c r="AQ20" s="28" t="n">
        <v>0.150897020951171</v>
      </c>
      <c r="AR20" s="13" t="n">
        <v>451</v>
      </c>
    </row>
    <row r="21">
      <c r="C21" s="29"/>
      <c r="E21" s="29"/>
      <c r="G21" s="29"/>
      <c r="I21" s="29"/>
      <c r="K21" s="29"/>
      <c r="M21" s="29"/>
      <c r="O21" s="29"/>
      <c r="Q21" s="29"/>
      <c r="S21" s="29"/>
      <c r="U21" s="29"/>
      <c r="W21" s="29"/>
      <c r="Y21" s="29"/>
      <c r="AA21" s="29"/>
      <c r="AC21" s="29"/>
      <c r="AE21" s="29"/>
      <c r="AG21" s="29"/>
      <c r="AI21" s="29"/>
      <c r="AK21" s="29"/>
      <c r="AM21" s="29"/>
      <c r="AO21" s="29"/>
      <c r="AQ21" s="29"/>
    </row>
    <row r="22">
      <c r="A22" s="2" t="s">
        <v>26</v>
      </c>
      <c r="B22" s="2"/>
      <c r="C22" s="25"/>
      <c r="D22" s="2"/>
      <c r="E22" s="25"/>
      <c r="F22" s="2"/>
      <c r="G22" s="25"/>
      <c r="H22" s="2"/>
      <c r="I22" s="25"/>
      <c r="J22" s="2"/>
      <c r="K22" s="25"/>
      <c r="L22" s="2"/>
      <c r="M22" s="25"/>
      <c r="N22" s="2"/>
      <c r="O22" s="25"/>
      <c r="P22" s="2"/>
      <c r="Q22" s="25"/>
      <c r="R22" s="2"/>
      <c r="S22" s="25"/>
      <c r="T22" s="2"/>
      <c r="U22" s="25"/>
      <c r="V22" s="2"/>
      <c r="W22" s="25"/>
      <c r="X22" s="2"/>
      <c r="Y22" s="25"/>
      <c r="Z22" s="2"/>
      <c r="AA22" s="25"/>
      <c r="AB22" s="2"/>
      <c r="AC22" s="25"/>
      <c r="AD22" s="2"/>
      <c r="AE22" s="25"/>
      <c r="AF22" s="2"/>
      <c r="AG22" s="25"/>
      <c r="AH22" s="2"/>
      <c r="AI22" s="25"/>
      <c r="AJ22" s="2"/>
      <c r="AK22" s="25"/>
      <c r="AL22" s="2"/>
      <c r="AM22" s="25"/>
      <c r="AN22" s="2"/>
      <c r="AO22" s="25"/>
      <c r="AP22" s="2"/>
      <c r="AQ22" s="25"/>
      <c r="AR22" s="2"/>
    </row>
    <row r="23" outlineLevel="1" hidden="0">
      <c r="A23" s="6" t="s">
        <v>14</v>
      </c>
      <c r="B23" s="9" t="s">
        <v>27</v>
      </c>
      <c r="C23" s="27" t="n">
        <v>0.339283574132806</v>
      </c>
      <c r="D23" s="9" t="n">
        <v>337</v>
      </c>
      <c r="E23" s="27" t="n">
        <v>0.332480164067186</v>
      </c>
      <c r="F23" s="9" t="n">
        <v>92</v>
      </c>
      <c r="G23" s="27" t="n">
        <v>0.144704907966776</v>
      </c>
      <c r="H23" s="9" t="n">
        <v>92</v>
      </c>
      <c r="I23" s="27" t="n">
        <v>0.0798361636566082</v>
      </c>
      <c r="J23" s="9" t="n">
        <v>92</v>
      </c>
      <c r="K23" s="27" t="n">
        <v>0.0270265131233378</v>
      </c>
      <c r="L23" s="9" t="n">
        <v>92</v>
      </c>
      <c r="M23" s="27" t="n">
        <v>0.386578989395971</v>
      </c>
      <c r="N23" s="9" t="n">
        <v>92</v>
      </c>
      <c r="O23" s="27" t="n">
        <v>0.029373261790121</v>
      </c>
      <c r="P23" s="9" t="n">
        <v>92</v>
      </c>
      <c r="Q23" s="27" t="n">
        <v>0.376459697832902</v>
      </c>
      <c r="R23" s="9" t="n">
        <v>178</v>
      </c>
      <c r="S23" s="27" t="n">
        <v>0.417667332019723</v>
      </c>
      <c r="T23" s="9" t="n">
        <v>55</v>
      </c>
      <c r="U23" s="27"/>
      <c r="V23" s="9"/>
      <c r="W23" s="27" t="n">
        <v>0.0674455249862973</v>
      </c>
      <c r="X23" s="9" t="n">
        <v>55</v>
      </c>
      <c r="Y23" s="27"/>
      <c r="Z23" s="9"/>
      <c r="AA23" s="27" t="n">
        <v>0.488322482606801</v>
      </c>
      <c r="AB23" s="9" t="n">
        <v>55</v>
      </c>
      <c r="AC23" s="27" t="n">
        <v>0.0265646603871787</v>
      </c>
      <c r="AD23" s="9" t="n">
        <v>55</v>
      </c>
      <c r="AE23" s="27" t="n">
        <v>0.296933217908524</v>
      </c>
      <c r="AF23" s="9" t="n">
        <v>159</v>
      </c>
      <c r="AG23" s="27" t="n">
        <v>0.209445681253745</v>
      </c>
      <c r="AH23" s="9" t="n">
        <v>37</v>
      </c>
      <c r="AI23" s="27" t="n">
        <v>0.353699923767493</v>
      </c>
      <c r="AJ23" s="9" t="n">
        <v>37</v>
      </c>
      <c r="AK23" s="27" t="n">
        <v>0.0977317676210373</v>
      </c>
      <c r="AL23" s="9" t="n">
        <v>37</v>
      </c>
      <c r="AM23" s="27" t="n">
        <v>0.0660604796737133</v>
      </c>
      <c r="AN23" s="9" t="n">
        <v>37</v>
      </c>
      <c r="AO23" s="27" t="n">
        <v>0.23963246719439</v>
      </c>
      <c r="AP23" s="9" t="n">
        <v>37</v>
      </c>
      <c r="AQ23" s="27" t="n">
        <v>0.0334296804896209</v>
      </c>
      <c r="AR23" s="11" t="n">
        <v>37</v>
      </c>
    </row>
    <row r="24" outlineLevel="1" hidden="0">
      <c r="A24" s="7" t="s">
        <v>14</v>
      </c>
      <c r="B24" t="s">
        <v>28</v>
      </c>
      <c r="C24" s="29" t="n">
        <v>0.221558616331725</v>
      </c>
      <c r="D24" t="n">
        <v>451</v>
      </c>
      <c r="E24" s="29" t="n">
        <v>0.192273611140193</v>
      </c>
      <c r="F24" t="n">
        <v>110</v>
      </c>
      <c r="G24" s="29" t="n">
        <v>0.0769885514340933</v>
      </c>
      <c r="H24" t="n">
        <v>110</v>
      </c>
      <c r="I24" s="29" t="n">
        <v>0.0990571896627453</v>
      </c>
      <c r="J24" t="n">
        <v>110</v>
      </c>
      <c r="K24" s="29" t="n">
        <v>0.0243954660280591</v>
      </c>
      <c r="L24" t="n">
        <v>110</v>
      </c>
      <c r="M24" s="29" t="n">
        <v>0.429495508054622</v>
      </c>
      <c r="N24" t="n">
        <v>110</v>
      </c>
      <c r="O24" s="29" t="n">
        <v>0.177789673680287</v>
      </c>
      <c r="P24" t="n">
        <v>110</v>
      </c>
      <c r="Q24" s="29" t="n">
        <v>0.228413547440869</v>
      </c>
      <c r="R24" t="n">
        <v>204</v>
      </c>
      <c r="S24" s="29" t="n">
        <v>0.183280744866132</v>
      </c>
      <c r="T24" t="n">
        <v>54</v>
      </c>
      <c r="U24" s="29"/>
      <c r="V24"/>
      <c r="W24" s="29" t="n">
        <v>0.104585331768248</v>
      </c>
      <c r="X24" t="n">
        <v>54</v>
      </c>
      <c r="Y24" s="29" t="n">
        <v>0.0458029826335409</v>
      </c>
      <c r="Z24" t="n">
        <v>54</v>
      </c>
      <c r="AA24" s="29" t="n">
        <v>0.460180335930508</v>
      </c>
      <c r="AB24" t="n">
        <v>54</v>
      </c>
      <c r="AC24" s="29" t="n">
        <v>0.20615060480157</v>
      </c>
      <c r="AD24" t="n">
        <v>54</v>
      </c>
      <c r="AE24" s="29" t="n">
        <v>0.215622200873096</v>
      </c>
      <c r="AF24" t="n">
        <v>247</v>
      </c>
      <c r="AG24" s="29" t="n">
        <v>0.200523492676227</v>
      </c>
      <c r="AH24" t="n">
        <v>56</v>
      </c>
      <c r="AI24" s="29" t="n">
        <v>0.147616359032449</v>
      </c>
      <c r="AJ24" t="n">
        <v>56</v>
      </c>
      <c r="AK24" s="29" t="n">
        <v>0.0939857790473882</v>
      </c>
      <c r="AL24" t="n">
        <v>56</v>
      </c>
      <c r="AM24" s="29" t="n">
        <v>0.00475662446257143</v>
      </c>
      <c r="AN24" t="n">
        <v>56</v>
      </c>
      <c r="AO24" s="29" t="n">
        <v>0.401345840616574</v>
      </c>
      <c r="AP24" t="n">
        <v>56</v>
      </c>
      <c r="AQ24" s="29" t="n">
        <v>0.151771904164791</v>
      </c>
      <c r="AR24" s="12" t="n">
        <v>56</v>
      </c>
    </row>
    <row r="25" outlineLevel="1" hidden="0">
      <c r="A25" s="7" t="s">
        <v>14</v>
      </c>
      <c r="B25" t="s">
        <v>29</v>
      </c>
      <c r="C25" s="29" t="n">
        <v>0.226565772348573</v>
      </c>
      <c r="D25" t="n">
        <v>752</v>
      </c>
      <c r="E25" s="29" t="n">
        <v>0.367429189146042</v>
      </c>
      <c r="F25" t="n">
        <v>197</v>
      </c>
      <c r="G25" s="29" t="n">
        <v>0.137866562263875</v>
      </c>
      <c r="H25" t="n">
        <v>197</v>
      </c>
      <c r="I25" s="29" t="n">
        <v>0.180234398347649</v>
      </c>
      <c r="J25" t="n">
        <v>197</v>
      </c>
      <c r="K25" s="29" t="n">
        <v>0.0140469779191841</v>
      </c>
      <c r="L25" t="n">
        <v>197</v>
      </c>
      <c r="M25" s="29" t="n">
        <v>0.148119595882306</v>
      </c>
      <c r="N25" t="n">
        <v>197</v>
      </c>
      <c r="O25" s="29" t="n">
        <v>0.152303276440944</v>
      </c>
      <c r="P25" t="n">
        <v>197</v>
      </c>
      <c r="Q25" s="29" t="n">
        <v>0.259883268028876</v>
      </c>
      <c r="R25" t="n">
        <v>347</v>
      </c>
      <c r="S25" s="29" t="n">
        <v>0.371706262602292</v>
      </c>
      <c r="T25" t="n">
        <v>99</v>
      </c>
      <c r="U25" s="29" t="n">
        <v>0.00217495703913277</v>
      </c>
      <c r="V25" t="n">
        <v>99</v>
      </c>
      <c r="W25" s="29" t="n">
        <v>0.264810788078896</v>
      </c>
      <c r="X25" t="n">
        <v>99</v>
      </c>
      <c r="Y25" s="29" t="n">
        <v>0.0123930821297347</v>
      </c>
      <c r="Z25" t="n">
        <v>99</v>
      </c>
      <c r="AA25" s="29" t="n">
        <v>0.088158112517871</v>
      </c>
      <c r="AB25" t="n">
        <v>99</v>
      </c>
      <c r="AC25" s="29" t="n">
        <v>0.260756797632074</v>
      </c>
      <c r="AD25" t="n">
        <v>99</v>
      </c>
      <c r="AE25" s="29" t="n">
        <v>0.199593254792261</v>
      </c>
      <c r="AF25" t="n">
        <v>405</v>
      </c>
      <c r="AG25" s="29" t="n">
        <v>0.362944011165844</v>
      </c>
      <c r="AH25" t="n">
        <v>98</v>
      </c>
      <c r="AI25" s="29" t="n">
        <v>0.280160354053315</v>
      </c>
      <c r="AJ25" t="n">
        <v>98</v>
      </c>
      <c r="AK25" s="29" t="n">
        <v>0.0915428748684483</v>
      </c>
      <c r="AL25" t="n">
        <v>98</v>
      </c>
      <c r="AM25" s="29" t="n">
        <v>0.0157813453674544</v>
      </c>
      <c r="AN25" t="n">
        <v>98</v>
      </c>
      <c r="AO25" s="29" t="n">
        <v>0.210998554496683</v>
      </c>
      <c r="AP25" t="n">
        <v>98</v>
      </c>
      <c r="AQ25" s="29" t="n">
        <v>0.038572860048256</v>
      </c>
      <c r="AR25" s="12" t="n">
        <v>98</v>
      </c>
    </row>
    <row r="26" outlineLevel="1" hidden="0">
      <c r="A26" s="7" t="s">
        <v>14</v>
      </c>
      <c r="B26" t="s">
        <v>30</v>
      </c>
      <c r="C26" s="29" t="n">
        <v>0.175534931364417</v>
      </c>
      <c r="D26" t="n">
        <v>432</v>
      </c>
      <c r="E26" s="29" t="n">
        <v>0.523708344047749</v>
      </c>
      <c r="F26" t="n">
        <v>62</v>
      </c>
      <c r="G26" s="29" t="n">
        <v>0.0530174411253892</v>
      </c>
      <c r="H26" t="n">
        <v>62</v>
      </c>
      <c r="I26" s="29" t="n">
        <v>0.0632146147159973</v>
      </c>
      <c r="J26" t="n">
        <v>62</v>
      </c>
      <c r="K26" s="29" t="n">
        <v>0.0409313085309171</v>
      </c>
      <c r="L26" t="n">
        <v>62</v>
      </c>
      <c r="M26" s="29" t="n">
        <v>0.252918499312047</v>
      </c>
      <c r="N26" t="n">
        <v>62</v>
      </c>
      <c r="O26" s="29" t="n">
        <v>0.0662097922679003</v>
      </c>
      <c r="P26" t="n">
        <v>62</v>
      </c>
      <c r="Q26" s="29" t="n">
        <v>0.215570117790088</v>
      </c>
      <c r="R26" t="n">
        <v>208</v>
      </c>
      <c r="S26" s="29" t="n">
        <v>0.471899022801233</v>
      </c>
      <c r="T26" t="n">
        <v>34</v>
      </c>
      <c r="U26" s="29"/>
      <c r="V26"/>
      <c r="W26" s="29" t="n">
        <v>0.079837105727696</v>
      </c>
      <c r="X26" t="n">
        <v>34</v>
      </c>
      <c r="Y26" s="29" t="n">
        <v>0.0676591100486983</v>
      </c>
      <c r="Z26" t="n">
        <v>34</v>
      </c>
      <c r="AA26" s="29" t="n">
        <v>0.349002639930232</v>
      </c>
      <c r="AB26" t="n">
        <v>34</v>
      </c>
      <c r="AC26" s="29" t="n">
        <v>0.0316021214921416</v>
      </c>
      <c r="AD26" t="n">
        <v>34</v>
      </c>
      <c r="AE26" s="29" t="n">
        <v>0.136665751218612</v>
      </c>
      <c r="AF26" t="n">
        <v>224</v>
      </c>
      <c r="AG26" s="29" t="n">
        <v>0.603049823417378</v>
      </c>
      <c r="AH26" t="n">
        <v>28</v>
      </c>
      <c r="AI26" s="29" t="n">
        <v>0.134209051246384</v>
      </c>
      <c r="AJ26" t="n">
        <v>28</v>
      </c>
      <c r="AK26" s="29" t="n">
        <v>0.0377587122655245</v>
      </c>
      <c r="AL26" t="n">
        <v>28</v>
      </c>
      <c r="AM26" s="29"/>
      <c r="AN26"/>
      <c r="AO26" s="29" t="n">
        <v>0.105773976334557</v>
      </c>
      <c r="AP26" t="n">
        <v>28</v>
      </c>
      <c r="AQ26" s="29" t="n">
        <v>0.119208436736156</v>
      </c>
      <c r="AR26" s="12" t="n">
        <v>28</v>
      </c>
    </row>
    <row r="27" outlineLevel="1" hidden="0">
      <c r="A27" s="7" t="s">
        <v>14</v>
      </c>
      <c r="B27" t="s">
        <v>31</v>
      </c>
      <c r="C27" s="29" t="n">
        <v>0.389363886037546</v>
      </c>
      <c r="D27" t="n">
        <v>517</v>
      </c>
      <c r="E27" s="29" t="n">
        <v>0.420041354621322</v>
      </c>
      <c r="F27" t="n">
        <v>197</v>
      </c>
      <c r="G27" s="29" t="n">
        <v>0.015638773248596</v>
      </c>
      <c r="H27" t="n">
        <v>197</v>
      </c>
      <c r="I27" s="29" t="n">
        <v>0.0547980397350376</v>
      </c>
      <c r="J27" t="n">
        <v>197</v>
      </c>
      <c r="K27" s="29" t="n">
        <v>0.0136489461616429</v>
      </c>
      <c r="L27" t="n">
        <v>197</v>
      </c>
      <c r="M27" s="29" t="n">
        <v>0.443017603286114</v>
      </c>
      <c r="N27" t="n">
        <v>197</v>
      </c>
      <c r="O27" s="29" t="n">
        <v>0.0528552829472881</v>
      </c>
      <c r="P27" t="n">
        <v>197</v>
      </c>
      <c r="Q27" s="29" t="n">
        <v>0.382624172742277</v>
      </c>
      <c r="R27" t="n">
        <v>239</v>
      </c>
      <c r="S27" s="29" t="n">
        <v>0.424968902213108</v>
      </c>
      <c r="T27" t="n">
        <v>90</v>
      </c>
      <c r="U27" s="29"/>
      <c r="V27"/>
      <c r="W27" s="29" t="n">
        <v>0.0862906989281589</v>
      </c>
      <c r="X27" t="n">
        <v>90</v>
      </c>
      <c r="Y27" s="29" t="n">
        <v>0.00304136031635079</v>
      </c>
      <c r="Z27" t="n">
        <v>90</v>
      </c>
      <c r="AA27" s="29" t="n">
        <v>0.404026108700816</v>
      </c>
      <c r="AB27" t="n">
        <v>90</v>
      </c>
      <c r="AC27" s="29" t="n">
        <v>0.0816729298415665</v>
      </c>
      <c r="AD27" t="n">
        <v>90</v>
      </c>
      <c r="AE27" s="29" t="n">
        <v>0.394780984646136</v>
      </c>
      <c r="AF27" t="n">
        <v>278</v>
      </c>
      <c r="AG27" s="29" t="n">
        <v>0.416117945925928</v>
      </c>
      <c r="AH27" t="n">
        <v>107</v>
      </c>
      <c r="AI27" s="29" t="n">
        <v>0.0280906669758339</v>
      </c>
      <c r="AJ27" t="n">
        <v>107</v>
      </c>
      <c r="AK27" s="29" t="n">
        <v>0.0297229753916069</v>
      </c>
      <c r="AL27" t="n">
        <v>107</v>
      </c>
      <c r="AM27" s="29" t="n">
        <v>0.0220949111710779</v>
      </c>
      <c r="AN27" t="n">
        <v>107</v>
      </c>
      <c r="AO27" s="29" t="n">
        <v>0.474063385402424</v>
      </c>
      <c r="AP27" t="n">
        <v>107</v>
      </c>
      <c r="AQ27" s="29" t="n">
        <v>0.0299101151331288</v>
      </c>
      <c r="AR27" s="12" t="n">
        <v>107</v>
      </c>
    </row>
    <row r="28" outlineLevel="1" hidden="0">
      <c r="A28" s="7" t="s">
        <v>14</v>
      </c>
      <c r="B28" t="s">
        <v>32</v>
      </c>
      <c r="C28" s="29" t="n">
        <v>0.37630489018575</v>
      </c>
      <c r="D28" t="n">
        <v>544</v>
      </c>
      <c r="E28" s="29" t="n">
        <v>0.22244389545049</v>
      </c>
      <c r="F28" t="n">
        <v>190</v>
      </c>
      <c r="G28" s="29" t="n">
        <v>0.0439943159049744</v>
      </c>
      <c r="H28" t="n">
        <v>190</v>
      </c>
      <c r="I28" s="29" t="n">
        <v>0.276946425980922</v>
      </c>
      <c r="J28" t="n">
        <v>190</v>
      </c>
      <c r="K28" s="29" t="n">
        <v>0.0216658059728934</v>
      </c>
      <c r="L28" t="n">
        <v>190</v>
      </c>
      <c r="M28" s="29" t="n">
        <v>0.319085845668778</v>
      </c>
      <c r="N28" t="n">
        <v>190</v>
      </c>
      <c r="O28" s="29" t="n">
        <v>0.115863711021943</v>
      </c>
      <c r="P28" t="n">
        <v>190</v>
      </c>
      <c r="Q28" s="29" t="n">
        <v>0.361095130953058</v>
      </c>
      <c r="R28" t="n">
        <v>276</v>
      </c>
      <c r="S28" s="29" t="n">
        <v>0.279846303561943</v>
      </c>
      <c r="T28" t="n">
        <v>92</v>
      </c>
      <c r="U28" s="29" t="n">
        <v>0.00303944989631995</v>
      </c>
      <c r="V28" t="n">
        <v>92</v>
      </c>
      <c r="W28" s="29" t="n">
        <v>0.323384565479352</v>
      </c>
      <c r="X28" t="n">
        <v>92</v>
      </c>
      <c r="Y28" s="29"/>
      <c r="Z28"/>
      <c r="AA28" s="29" t="n">
        <v>0.264840983336297</v>
      </c>
      <c r="AB28" t="n">
        <v>92</v>
      </c>
      <c r="AC28" s="29" t="n">
        <v>0.128888697726088</v>
      </c>
      <c r="AD28" t="n">
        <v>92</v>
      </c>
      <c r="AE28" s="29" t="n">
        <v>0.392121206818125</v>
      </c>
      <c r="AF28" t="n">
        <v>268</v>
      </c>
      <c r="AG28" s="29" t="n">
        <v>0.167475327194441</v>
      </c>
      <c r="AH28" t="n">
        <v>98</v>
      </c>
      <c r="AI28" s="29" t="n">
        <v>0.0832127114685026</v>
      </c>
      <c r="AJ28" t="n">
        <v>98</v>
      </c>
      <c r="AK28" s="29" t="n">
        <v>0.232477245598329</v>
      </c>
      <c r="AL28" t="n">
        <v>98</v>
      </c>
      <c r="AM28" s="29" t="n">
        <v>0.0424129901699564</v>
      </c>
      <c r="AN28" t="n">
        <v>98</v>
      </c>
      <c r="AO28" s="29" t="n">
        <v>0.371030746863054</v>
      </c>
      <c r="AP28" t="n">
        <v>98</v>
      </c>
      <c r="AQ28" s="29" t="n">
        <v>0.103390978705717</v>
      </c>
      <c r="AR28" s="12" t="n">
        <v>98</v>
      </c>
    </row>
    <row r="29" outlineLevel="1" hidden="0">
      <c r="A29" s="7" t="s">
        <v>14</v>
      </c>
      <c r="B29" t="s">
        <v>33</v>
      </c>
      <c r="C29" s="29" t="n">
        <v>0.404025550382297</v>
      </c>
      <c r="D29" t="n">
        <v>325</v>
      </c>
      <c r="E29" s="29" t="n">
        <v>0.276336076669755</v>
      </c>
      <c r="F29" t="n">
        <v>133</v>
      </c>
      <c r="G29" s="29" t="n">
        <v>0.0641550780603451</v>
      </c>
      <c r="H29" t="n">
        <v>133</v>
      </c>
      <c r="I29" s="29" t="n">
        <v>0.141532116362038</v>
      </c>
      <c r="J29" t="n">
        <v>133</v>
      </c>
      <c r="K29" s="29" t="n">
        <v>0.0328207200680123</v>
      </c>
      <c r="L29" t="n">
        <v>133</v>
      </c>
      <c r="M29" s="29" t="n">
        <v>0.354537373099899</v>
      </c>
      <c r="N29" t="n">
        <v>133</v>
      </c>
      <c r="O29" s="29" t="n">
        <v>0.130618635739951</v>
      </c>
      <c r="P29" t="n">
        <v>133</v>
      </c>
      <c r="Q29" s="29" t="n">
        <v>0.396912883202772</v>
      </c>
      <c r="R29" t="n">
        <v>174</v>
      </c>
      <c r="S29" s="29" t="n">
        <v>0.282321301079565</v>
      </c>
      <c r="T29" t="n">
        <v>71</v>
      </c>
      <c r="U29" s="29"/>
      <c r="V29"/>
      <c r="W29" s="29" t="n">
        <v>0.147278174690465</v>
      </c>
      <c r="X29" t="n">
        <v>71</v>
      </c>
      <c r="Y29" s="29" t="n">
        <v>0.0138499252569468</v>
      </c>
      <c r="Z29" t="n">
        <v>71</v>
      </c>
      <c r="AA29" s="29" t="n">
        <v>0.394278926615429</v>
      </c>
      <c r="AB29" t="n">
        <v>71</v>
      </c>
      <c r="AC29" s="29" t="n">
        <v>0.162271672357593</v>
      </c>
      <c r="AD29" t="n">
        <v>71</v>
      </c>
      <c r="AE29" s="29" t="n">
        <v>0.412369965483898</v>
      </c>
      <c r="AF29" t="n">
        <v>151</v>
      </c>
      <c r="AG29" s="29" t="n">
        <v>0.269577550173332</v>
      </c>
      <c r="AH29" t="n">
        <v>62</v>
      </c>
      <c r="AI29" s="29" t="n">
        <v>0.1365991111095</v>
      </c>
      <c r="AJ29" t="n">
        <v>62</v>
      </c>
      <c r="AK29" s="29" t="n">
        <v>0.135043656647977</v>
      </c>
      <c r="AL29" t="n">
        <v>62</v>
      </c>
      <c r="AM29" s="29" t="n">
        <v>0.0542425767286628</v>
      </c>
      <c r="AN29" t="n">
        <v>62</v>
      </c>
      <c r="AO29" s="29" t="n">
        <v>0.309661137214164</v>
      </c>
      <c r="AP29" t="n">
        <v>62</v>
      </c>
      <c r="AQ29" s="29" t="n">
        <v>0.0948759681263646</v>
      </c>
      <c r="AR29" s="12" t="n">
        <v>62</v>
      </c>
    </row>
    <row r="30" outlineLevel="1" hidden="0">
      <c r="A30" s="7" t="s">
        <v>14</v>
      </c>
      <c r="B30" t="s">
        <v>34</v>
      </c>
      <c r="C30" s="29" t="n">
        <v>0.344788341376697</v>
      </c>
      <c r="D30" t="n">
        <v>687</v>
      </c>
      <c r="E30" s="29" t="n">
        <v>0.468108501563724</v>
      </c>
      <c r="F30" t="n">
        <v>209</v>
      </c>
      <c r="G30" s="29" t="n">
        <v>0.0565521654505192</v>
      </c>
      <c r="H30" t="n">
        <v>209</v>
      </c>
      <c r="I30" s="29" t="n">
        <v>0.0937649397230132</v>
      </c>
      <c r="J30" t="n">
        <v>209</v>
      </c>
      <c r="K30" s="29" t="n">
        <v>0.0591296695389905</v>
      </c>
      <c r="L30" t="n">
        <v>209</v>
      </c>
      <c r="M30" s="29" t="n">
        <v>0.180432841461386</v>
      </c>
      <c r="N30" t="n">
        <v>209</v>
      </c>
      <c r="O30" s="29" t="n">
        <v>0.142011882262367</v>
      </c>
      <c r="P30" t="n">
        <v>209</v>
      </c>
      <c r="Q30" s="29" t="n">
        <v>0.338991700595307</v>
      </c>
      <c r="R30" t="n">
        <v>324</v>
      </c>
      <c r="S30" s="29" t="n">
        <v>0.535240278117296</v>
      </c>
      <c r="T30" t="n">
        <v>95</v>
      </c>
      <c r="U30" s="29" t="n">
        <v>0.0282231618062318</v>
      </c>
      <c r="V30" t="n">
        <v>95</v>
      </c>
      <c r="W30" s="29" t="n">
        <v>0.131755967071996</v>
      </c>
      <c r="X30" t="n">
        <v>95</v>
      </c>
      <c r="Y30" s="29" t="n">
        <v>0.0285068101292887</v>
      </c>
      <c r="Z30" t="n">
        <v>95</v>
      </c>
      <c r="AA30" s="29" t="n">
        <v>0.113597771645285</v>
      </c>
      <c r="AB30" t="n">
        <v>95</v>
      </c>
      <c r="AC30" s="29" t="n">
        <v>0.162676011229903</v>
      </c>
      <c r="AD30" t="n">
        <v>95</v>
      </c>
      <c r="AE30" s="29" t="n">
        <v>0.349635263053003</v>
      </c>
      <c r="AF30" t="n">
        <v>363</v>
      </c>
      <c r="AG30" s="29" t="n">
        <v>0.413684359417691</v>
      </c>
      <c r="AH30" t="n">
        <v>114</v>
      </c>
      <c r="AI30" s="29" t="n">
        <v>0.0795186620985234</v>
      </c>
      <c r="AJ30" t="n">
        <v>114</v>
      </c>
      <c r="AK30" s="29" t="n">
        <v>0.0629653813191799</v>
      </c>
      <c r="AL30" t="n">
        <v>114</v>
      </c>
      <c r="AM30" s="29" t="n">
        <v>0.0839558090960391</v>
      </c>
      <c r="AN30" t="n">
        <v>114</v>
      </c>
      <c r="AO30" s="29" t="n">
        <v>0.234616441639296</v>
      </c>
      <c r="AP30" t="n">
        <v>114</v>
      </c>
      <c r="AQ30" s="29" t="n">
        <v>0.125259346429271</v>
      </c>
      <c r="AR30" s="12" t="n">
        <v>114</v>
      </c>
    </row>
    <row r="31" outlineLevel="1" hidden="0">
      <c r="A31" s="7" t="s">
        <v>14</v>
      </c>
      <c r="B31" t="s">
        <v>35</v>
      </c>
      <c r="C31" s="29" t="n">
        <v>0.269795830740821</v>
      </c>
      <c r="D31" t="n">
        <v>1049</v>
      </c>
      <c r="E31" s="29" t="n">
        <v>0.318582461180637</v>
      </c>
      <c r="F31" t="n">
        <v>303</v>
      </c>
      <c r="G31" s="29" t="n">
        <v>0.0550550288465449</v>
      </c>
      <c r="H31" t="n">
        <v>303</v>
      </c>
      <c r="I31" s="29" t="n">
        <v>0.162290104268861</v>
      </c>
      <c r="J31" t="n">
        <v>303</v>
      </c>
      <c r="K31" s="29" t="n">
        <v>0.0725552181650719</v>
      </c>
      <c r="L31" t="n">
        <v>303</v>
      </c>
      <c r="M31" s="29" t="n">
        <v>0.177852164656685</v>
      </c>
      <c r="N31" t="n">
        <v>303</v>
      </c>
      <c r="O31" s="29" t="n">
        <v>0.2136650228822</v>
      </c>
      <c r="P31" t="n">
        <v>303</v>
      </c>
      <c r="Q31" s="29" t="n">
        <v>0.268523276357184</v>
      </c>
      <c r="R31" t="n">
        <v>509</v>
      </c>
      <c r="S31" s="29" t="n">
        <v>0.272563549251889</v>
      </c>
      <c r="T31" t="n">
        <v>145</v>
      </c>
      <c r="U31" s="29" t="n">
        <v>0.0377487178643231</v>
      </c>
      <c r="V31" t="n">
        <v>145</v>
      </c>
      <c r="W31" s="29" t="n">
        <v>0.165350421669286</v>
      </c>
      <c r="X31" t="n">
        <v>145</v>
      </c>
      <c r="Y31" s="29" t="n">
        <v>0.0987520427963711</v>
      </c>
      <c r="Z31" t="n">
        <v>145</v>
      </c>
      <c r="AA31" s="29" t="n">
        <v>0.215379562794837</v>
      </c>
      <c r="AB31" t="n">
        <v>145</v>
      </c>
      <c r="AC31" s="29" t="n">
        <v>0.210205705623294</v>
      </c>
      <c r="AD31" t="n">
        <v>145</v>
      </c>
      <c r="AE31" s="29" t="n">
        <v>0.270953900986266</v>
      </c>
      <c r="AF31" t="n">
        <v>540</v>
      </c>
      <c r="AG31" s="29" t="n">
        <v>0.360085646302956</v>
      </c>
      <c r="AH31" t="n">
        <v>158</v>
      </c>
      <c r="AI31" s="29" t="n">
        <v>0.0706631125316109</v>
      </c>
      <c r="AJ31" t="n">
        <v>158</v>
      </c>
      <c r="AK31" s="29" t="n">
        <v>0.159530088564893</v>
      </c>
      <c r="AL31" t="n">
        <v>158</v>
      </c>
      <c r="AM31" s="29" t="n">
        <v>0.0489290258732341</v>
      </c>
      <c r="AN31" t="n">
        <v>158</v>
      </c>
      <c r="AO31" s="29" t="n">
        <v>0.144007241193519</v>
      </c>
      <c r="AP31" t="n">
        <v>158</v>
      </c>
      <c r="AQ31" s="29" t="n">
        <v>0.216784885533788</v>
      </c>
      <c r="AR31" s="12" t="n">
        <v>158</v>
      </c>
    </row>
    <row r="32" outlineLevel="1" hidden="0">
      <c r="A32" s="7" t="s">
        <v>14</v>
      </c>
      <c r="B32" t="s">
        <v>36</v>
      </c>
      <c r="C32" s="29" t="n">
        <v>0.221359539164819</v>
      </c>
      <c r="D32" t="n">
        <v>608</v>
      </c>
      <c r="E32" s="29" t="n">
        <v>0.282858666408039</v>
      </c>
      <c r="F32" t="n">
        <v>130</v>
      </c>
      <c r="G32" s="29" t="n">
        <v>0.0585518360159974</v>
      </c>
      <c r="H32" t="n">
        <v>130</v>
      </c>
      <c r="I32" s="29" t="n">
        <v>0.10704273630093</v>
      </c>
      <c r="J32" t="n">
        <v>130</v>
      </c>
      <c r="K32" s="29" t="n">
        <v>0.106397193991986</v>
      </c>
      <c r="L32" t="n">
        <v>130</v>
      </c>
      <c r="M32" s="29" t="n">
        <v>0.0757825575088353</v>
      </c>
      <c r="N32" t="n">
        <v>130</v>
      </c>
      <c r="O32" s="29" t="n">
        <v>0.369367009774213</v>
      </c>
      <c r="P32" t="n">
        <v>130</v>
      </c>
      <c r="Q32" s="29" t="n">
        <v>0.187202937821225</v>
      </c>
      <c r="R32" t="n">
        <v>280</v>
      </c>
      <c r="S32" s="29" t="n">
        <v>0.230484033634854</v>
      </c>
      <c r="T32" t="n">
        <v>48</v>
      </c>
      <c r="U32" s="29"/>
      <c r="V32"/>
      <c r="W32" s="29" t="n">
        <v>0.142793535642574</v>
      </c>
      <c r="X32" t="n">
        <v>48</v>
      </c>
      <c r="Y32" s="29" t="n">
        <v>0.152250371015332</v>
      </c>
      <c r="Z32" t="n">
        <v>48</v>
      </c>
      <c r="AA32" s="29" t="n">
        <v>0.11562777351988</v>
      </c>
      <c r="AB32" t="n">
        <v>48</v>
      </c>
      <c r="AC32" s="29" t="n">
        <v>0.358844286187361</v>
      </c>
      <c r="AD32" t="n">
        <v>48</v>
      </c>
      <c r="AE32" s="29" t="n">
        <v>0.250983255341649</v>
      </c>
      <c r="AF32" t="n">
        <v>328</v>
      </c>
      <c r="AG32" s="29" t="n">
        <v>0.317628597862841</v>
      </c>
      <c r="AH32" t="n">
        <v>82</v>
      </c>
      <c r="AI32" s="29" t="n">
        <v>0.0974226255000133</v>
      </c>
      <c r="AJ32" t="n">
        <v>82</v>
      </c>
      <c r="AK32" s="29" t="n">
        <v>0.0833088640665113</v>
      </c>
      <c r="AL32" t="n">
        <v>82</v>
      </c>
      <c r="AM32" s="29" t="n">
        <v>0.0759566593730405</v>
      </c>
      <c r="AN32" t="n">
        <v>82</v>
      </c>
      <c r="AO32" s="29" t="n">
        <v>0.0493305261312489</v>
      </c>
      <c r="AP32" t="n">
        <v>82</v>
      </c>
      <c r="AQ32" s="29" t="n">
        <v>0.376352727066345</v>
      </c>
      <c r="AR32" s="12" t="n">
        <v>82</v>
      </c>
    </row>
    <row r="33" outlineLevel="1" hidden="0">
      <c r="A33" s="7" t="s">
        <v>14</v>
      </c>
      <c r="B33" t="s">
        <v>37</v>
      </c>
      <c r="C33" s="29" t="n">
        <v>0.269652659613492</v>
      </c>
      <c r="D33" t="n">
        <v>494</v>
      </c>
      <c r="E33" s="29" t="n">
        <v>0.291703070956987</v>
      </c>
      <c r="F33" t="n">
        <v>133</v>
      </c>
      <c r="G33" s="29" t="n">
        <v>0.0550187029200638</v>
      </c>
      <c r="H33" t="n">
        <v>133</v>
      </c>
      <c r="I33" s="29" t="n">
        <v>0.0881925145792868</v>
      </c>
      <c r="J33" t="n">
        <v>133</v>
      </c>
      <c r="K33" s="29" t="n">
        <v>0.021982202528319</v>
      </c>
      <c r="L33" t="n">
        <v>133</v>
      </c>
      <c r="M33" s="29" t="n">
        <v>0.37633059959003</v>
      </c>
      <c r="N33" t="n">
        <v>133</v>
      </c>
      <c r="O33" s="29" t="n">
        <v>0.166772909425313</v>
      </c>
      <c r="P33" t="n">
        <v>133</v>
      </c>
      <c r="Q33" s="29" t="n">
        <v>0.248947100872898</v>
      </c>
      <c r="R33" t="n">
        <v>237</v>
      </c>
      <c r="S33" s="29" t="n">
        <v>0.368949368948373</v>
      </c>
      <c r="T33" t="n">
        <v>61</v>
      </c>
      <c r="U33" s="29" t="n">
        <v>0.0391276468246976</v>
      </c>
      <c r="V33" t="n">
        <v>61</v>
      </c>
      <c r="W33" s="29" t="n">
        <v>0.0285895393127043</v>
      </c>
      <c r="X33" t="n">
        <v>61</v>
      </c>
      <c r="Y33" s="29" t="n">
        <v>0.0255766179844216</v>
      </c>
      <c r="Z33" t="n">
        <v>61</v>
      </c>
      <c r="AA33" s="29" t="n">
        <v>0.324351312700168</v>
      </c>
      <c r="AB33" t="n">
        <v>61</v>
      </c>
      <c r="AC33" s="29" t="n">
        <v>0.213405514229636</v>
      </c>
      <c r="AD33" t="n">
        <v>61</v>
      </c>
      <c r="AE33" s="29" t="n">
        <v>0.288748788408244</v>
      </c>
      <c r="AF33" t="n">
        <v>257</v>
      </c>
      <c r="AG33" s="29" t="n">
        <v>0.230281211737419</v>
      </c>
      <c r="AH33" t="n">
        <v>72</v>
      </c>
      <c r="AI33" s="29" t="n">
        <v>0.0676543661909261</v>
      </c>
      <c r="AJ33" t="n">
        <v>72</v>
      </c>
      <c r="AK33" s="29" t="n">
        <v>0.135585407845184</v>
      </c>
      <c r="AL33" t="n">
        <v>72</v>
      </c>
      <c r="AM33" s="29" t="n">
        <v>0.019124127955658</v>
      </c>
      <c r="AN33" t="n">
        <v>72</v>
      </c>
      <c r="AO33" s="29" t="n">
        <v>0.417661569807382</v>
      </c>
      <c r="AP33" t="n">
        <v>72</v>
      </c>
      <c r="AQ33" s="29" t="n">
        <v>0.12969331646343</v>
      </c>
      <c r="AR33" s="12" t="n">
        <v>72</v>
      </c>
    </row>
    <row r="34" outlineLevel="1" hidden="0">
      <c r="A34" s="7" t="s">
        <v>14</v>
      </c>
      <c r="B34" t="s">
        <v>38</v>
      </c>
      <c r="C34" s="29" t="n">
        <v>0.490786727605654</v>
      </c>
      <c r="D34" t="n">
        <v>1412</v>
      </c>
      <c r="E34" s="29" t="n">
        <v>0.367915606649944</v>
      </c>
      <c r="F34" t="n">
        <v>752</v>
      </c>
      <c r="G34" s="29" t="n">
        <v>0.0393490225435845</v>
      </c>
      <c r="H34" t="n">
        <v>752</v>
      </c>
      <c r="I34" s="29" t="n">
        <v>0.219247580455977</v>
      </c>
      <c r="J34" t="n">
        <v>752</v>
      </c>
      <c r="K34" s="29" t="n">
        <v>0.0128064481167464</v>
      </c>
      <c r="L34" t="n">
        <v>752</v>
      </c>
      <c r="M34" s="29" t="n">
        <v>0.197300596334921</v>
      </c>
      <c r="N34" t="n">
        <v>752</v>
      </c>
      <c r="O34" s="29" t="n">
        <v>0.163380745898826</v>
      </c>
      <c r="P34" t="n">
        <v>752</v>
      </c>
      <c r="Q34" s="29" t="n">
        <v>0.511722170808951</v>
      </c>
      <c r="R34" t="n">
        <v>741</v>
      </c>
      <c r="S34" s="29" t="n">
        <v>0.350077711284719</v>
      </c>
      <c r="T34" t="n">
        <v>412</v>
      </c>
      <c r="U34" s="29" t="n">
        <v>0.00140949075764786</v>
      </c>
      <c r="V34" t="n">
        <v>412</v>
      </c>
      <c r="W34" s="29" t="n">
        <v>0.247489773766488</v>
      </c>
      <c r="X34" t="n">
        <v>412</v>
      </c>
      <c r="Y34" s="29" t="n">
        <v>0.00593071405695837</v>
      </c>
      <c r="Z34" t="n">
        <v>412</v>
      </c>
      <c r="AA34" s="29" t="n">
        <v>0.22119448719515</v>
      </c>
      <c r="AB34" t="n">
        <v>412</v>
      </c>
      <c r="AC34" s="29" t="n">
        <v>0.173897822939036</v>
      </c>
      <c r="AD34" t="n">
        <v>412</v>
      </c>
      <c r="AE34" s="29" t="n">
        <v>0.469701287298557</v>
      </c>
      <c r="AF34" t="n">
        <v>671</v>
      </c>
      <c r="AG34" s="29" t="n">
        <v>0.387511984654433</v>
      </c>
      <c r="AH34" t="n">
        <v>340</v>
      </c>
      <c r="AI34" s="29" t="n">
        <v>0.0810286821092483</v>
      </c>
      <c r="AJ34" t="n">
        <v>340</v>
      </c>
      <c r="AK34" s="29" t="n">
        <v>0.18822123544963</v>
      </c>
      <c r="AL34" t="n">
        <v>340</v>
      </c>
      <c r="AM34" s="29" t="n">
        <v>0.0203600008725618</v>
      </c>
      <c r="AN34" t="n">
        <v>340</v>
      </c>
      <c r="AO34" s="29" t="n">
        <v>0.171051215020135</v>
      </c>
      <c r="AP34" t="n">
        <v>340</v>
      </c>
      <c r="AQ34" s="29" t="n">
        <v>0.151826881893992</v>
      </c>
      <c r="AR34" s="12" t="n">
        <v>340</v>
      </c>
    </row>
    <row r="35" outlineLevel="1" hidden="0">
      <c r="A35" s="7" t="s">
        <v>14</v>
      </c>
      <c r="B35" t="s">
        <v>39</v>
      </c>
      <c r="C35" s="29" t="n">
        <v>0.241505588569045</v>
      </c>
      <c r="D35" t="n">
        <v>545</v>
      </c>
      <c r="E35" s="29" t="n">
        <v>0.238152025036239</v>
      </c>
      <c r="F35" t="n">
        <v>192</v>
      </c>
      <c r="G35" s="29" t="n">
        <v>0.156937168634943</v>
      </c>
      <c r="H35" t="n">
        <v>192</v>
      </c>
      <c r="I35" s="29" t="n">
        <v>0.0842836674363325</v>
      </c>
      <c r="J35" t="n">
        <v>192</v>
      </c>
      <c r="K35" s="29" t="n">
        <v>0.0575978548723062</v>
      </c>
      <c r="L35" t="n">
        <v>192</v>
      </c>
      <c r="M35" s="29" t="n">
        <v>0.261846606672696</v>
      </c>
      <c r="N35" t="n">
        <v>192</v>
      </c>
      <c r="O35" s="29" t="n">
        <v>0.201182677347483</v>
      </c>
      <c r="P35" t="n">
        <v>192</v>
      </c>
      <c r="Q35" s="29" t="n">
        <v>0.190949271762439</v>
      </c>
      <c r="R35" t="n">
        <v>261</v>
      </c>
      <c r="S35" s="29" t="n">
        <v>0.282395173544231</v>
      </c>
      <c r="T35" t="n">
        <v>89</v>
      </c>
      <c r="U35" s="29" t="n">
        <v>0.0112432000320676</v>
      </c>
      <c r="V35" t="n">
        <v>89</v>
      </c>
      <c r="W35" s="29" t="n">
        <v>0.0785868013274604</v>
      </c>
      <c r="X35" t="n">
        <v>89</v>
      </c>
      <c r="Y35" s="29" t="n">
        <v>0.0971934643639154</v>
      </c>
      <c r="Z35" t="n">
        <v>89</v>
      </c>
      <c r="AA35" s="29" t="n">
        <v>0.242284939162039</v>
      </c>
      <c r="AB35" t="n">
        <v>89</v>
      </c>
      <c r="AC35" s="29" t="n">
        <v>0.288296421570287</v>
      </c>
      <c r="AD35" t="n">
        <v>89</v>
      </c>
      <c r="AE35" s="29" t="n">
        <v>0.282870763888279</v>
      </c>
      <c r="AF35" t="n">
        <v>284</v>
      </c>
      <c r="AG35" s="29" t="n">
        <v>0.213715727117166</v>
      </c>
      <c r="AH35" t="n">
        <v>103</v>
      </c>
      <c r="AI35" s="29" t="n">
        <v>0.237406604962441</v>
      </c>
      <c r="AJ35" t="n">
        <v>103</v>
      </c>
      <c r="AK35" s="29" t="n">
        <v>0.0874301504994971</v>
      </c>
      <c r="AL35" t="n">
        <v>103</v>
      </c>
      <c r="AM35" s="29" t="n">
        <v>0.0357284775234167</v>
      </c>
      <c r="AN35" t="n">
        <v>103</v>
      </c>
      <c r="AO35" s="29" t="n">
        <v>0.27265087244501</v>
      </c>
      <c r="AP35" t="n">
        <v>103</v>
      </c>
      <c r="AQ35" s="29" t="n">
        <v>0.153068167452468</v>
      </c>
      <c r="AR35" s="12" t="n">
        <v>103</v>
      </c>
    </row>
    <row r="36" outlineLevel="1" hidden="0">
      <c r="A36" s="7" t="s">
        <v>14</v>
      </c>
      <c r="B36" t="s">
        <v>40</v>
      </c>
      <c r="C36" s="29" t="n">
        <v>0.379230862341819</v>
      </c>
      <c r="D36" t="n">
        <v>489</v>
      </c>
      <c r="E36" s="29" t="n">
        <v>0.333927208103608</v>
      </c>
      <c r="F36" t="n">
        <v>185</v>
      </c>
      <c r="G36" s="29" t="n">
        <v>0.0605713816975087</v>
      </c>
      <c r="H36" t="n">
        <v>185</v>
      </c>
      <c r="I36" s="29" t="n">
        <v>0.101648066915876</v>
      </c>
      <c r="J36" t="n">
        <v>185</v>
      </c>
      <c r="K36" s="29" t="n">
        <v>0.0103271823135141</v>
      </c>
      <c r="L36" t="n">
        <v>185</v>
      </c>
      <c r="M36" s="29" t="n">
        <v>0.375583995599445</v>
      </c>
      <c r="N36" t="n">
        <v>185</v>
      </c>
      <c r="O36" s="29" t="n">
        <v>0.117942165370048</v>
      </c>
      <c r="P36" t="n">
        <v>185</v>
      </c>
      <c r="Q36" s="29" t="n">
        <v>0.367933139077082</v>
      </c>
      <c r="R36" t="n">
        <v>239</v>
      </c>
      <c r="S36" s="29" t="n">
        <v>0.383399639086214</v>
      </c>
      <c r="T36" t="n">
        <v>89</v>
      </c>
      <c r="U36" s="29" t="n">
        <v>0.0647535675815477</v>
      </c>
      <c r="V36" t="n">
        <v>89</v>
      </c>
      <c r="W36" s="29" t="n">
        <v>0.0701481939572482</v>
      </c>
      <c r="X36" t="n">
        <v>89</v>
      </c>
      <c r="Y36" s="29" t="n">
        <v>0.0212309802838232</v>
      </c>
      <c r="Z36" t="n">
        <v>89</v>
      </c>
      <c r="AA36" s="29" t="n">
        <v>0.361959378312843</v>
      </c>
      <c r="AB36" t="n">
        <v>89</v>
      </c>
      <c r="AC36" s="29" t="n">
        <v>0.0985082407783243</v>
      </c>
      <c r="AD36" t="n">
        <v>89</v>
      </c>
      <c r="AE36" s="29" t="n">
        <v>0.390620300856758</v>
      </c>
      <c r="AF36" t="n">
        <v>250</v>
      </c>
      <c r="AG36" s="29" t="n">
        <v>0.287070982810245</v>
      </c>
      <c r="AH36" t="n">
        <v>96</v>
      </c>
      <c r="AI36" s="29" t="n">
        <v>0.056610358555748</v>
      </c>
      <c r="AJ36" t="n">
        <v>96</v>
      </c>
      <c r="AK36" s="29" t="n">
        <v>0.131482160667621</v>
      </c>
      <c r="AL36" t="n">
        <v>96</v>
      </c>
      <c r="AM36" s="29"/>
      <c r="AN36"/>
      <c r="AO36" s="29" t="n">
        <v>0.388488114609511</v>
      </c>
      <c r="AP36" t="n">
        <v>96</v>
      </c>
      <c r="AQ36" s="29" t="n">
        <v>0.136348383356875</v>
      </c>
      <c r="AR36" s="12" t="n">
        <v>96</v>
      </c>
    </row>
    <row r="37" outlineLevel="1" hidden="0">
      <c r="A37" s="7" t="s">
        <v>14</v>
      </c>
      <c r="B37" t="s">
        <v>41</v>
      </c>
      <c r="C37" s="29" t="n">
        <v>0.340624962812922</v>
      </c>
      <c r="D37" t="n">
        <v>318</v>
      </c>
      <c r="E37" s="29" t="n">
        <v>0.328717930368144</v>
      </c>
      <c r="F37" t="n">
        <v>107</v>
      </c>
      <c r="G37" s="29" t="n">
        <v>0.163059708484385</v>
      </c>
      <c r="H37" t="n">
        <v>107</v>
      </c>
      <c r="I37" s="29" t="n">
        <v>0.0826195587999207</v>
      </c>
      <c r="J37" t="n">
        <v>107</v>
      </c>
      <c r="K37" s="29" t="n">
        <v>0.0771095719007995</v>
      </c>
      <c r="L37" t="n">
        <v>107</v>
      </c>
      <c r="M37" s="29" t="n">
        <v>0.17920598033077</v>
      </c>
      <c r="N37" t="n">
        <v>107</v>
      </c>
      <c r="O37" s="29" t="n">
        <v>0.169287250115981</v>
      </c>
      <c r="P37" t="n">
        <v>107</v>
      </c>
      <c r="Q37" s="29" t="n">
        <v>0.353623596204264</v>
      </c>
      <c r="R37" t="n">
        <v>149</v>
      </c>
      <c r="S37" s="29" t="n">
        <v>0.335734133369467</v>
      </c>
      <c r="T37" t="n">
        <v>52</v>
      </c>
      <c r="U37" s="29" t="n">
        <v>0.118811995593719</v>
      </c>
      <c r="V37" t="n">
        <v>52</v>
      </c>
      <c r="W37" s="29" t="n">
        <v>0.0545959746280978</v>
      </c>
      <c r="X37" t="n">
        <v>52</v>
      </c>
      <c r="Y37" s="29"/>
      <c r="Z37"/>
      <c r="AA37" s="29" t="n">
        <v>0.235013758998562</v>
      </c>
      <c r="AB37" t="n">
        <v>52</v>
      </c>
      <c r="AC37" s="29" t="n">
        <v>0.255844137410154</v>
      </c>
      <c r="AD37" t="n">
        <v>52</v>
      </c>
      <c r="AE37" s="29" t="n">
        <v>0.32927453577482</v>
      </c>
      <c r="AF37" t="n">
        <v>169</v>
      </c>
      <c r="AG37" s="29" t="n">
        <v>0.322146214129635</v>
      </c>
      <c r="AH37" t="n">
        <v>55</v>
      </c>
      <c r="AI37" s="29" t="n">
        <v>0.204504263789533</v>
      </c>
      <c r="AJ37" t="n">
        <v>55</v>
      </c>
      <c r="AK37" s="29" t="n">
        <v>0.108867807764278</v>
      </c>
      <c r="AL37" t="n">
        <v>55</v>
      </c>
      <c r="AM37" s="29" t="n">
        <v>0.149334139193025</v>
      </c>
      <c r="AN37" t="n">
        <v>55</v>
      </c>
      <c r="AO37" s="29" t="n">
        <v>0.126933706390422</v>
      </c>
      <c r="AP37" t="n">
        <v>55</v>
      </c>
      <c r="AQ37" s="29" t="n">
        <v>0.0882138687331078</v>
      </c>
      <c r="AR37" s="12" t="n">
        <v>55</v>
      </c>
    </row>
    <row r="38" outlineLevel="1" hidden="0">
      <c r="A38" s="7" t="s">
        <v>14</v>
      </c>
      <c r="B38" t="s">
        <v>42</v>
      </c>
      <c r="C38" s="29" t="n">
        <v>0.58651024170116</v>
      </c>
      <c r="D38" t="n">
        <v>890</v>
      </c>
      <c r="E38" s="29" t="n">
        <v>0.125794412989281</v>
      </c>
      <c r="F38" t="n">
        <v>536</v>
      </c>
      <c r="G38" s="29" t="n">
        <v>0.0462745276084798</v>
      </c>
      <c r="H38" t="n">
        <v>536</v>
      </c>
      <c r="I38" s="29" t="n">
        <v>0.562704758824483</v>
      </c>
      <c r="J38" t="n">
        <v>536</v>
      </c>
      <c r="K38" s="29" t="n">
        <v>0.0198531925784318</v>
      </c>
      <c r="L38" t="n">
        <v>536</v>
      </c>
      <c r="M38" s="29" t="n">
        <v>0.120284643189381</v>
      </c>
      <c r="N38" t="n">
        <v>536</v>
      </c>
      <c r="O38" s="29" t="n">
        <v>0.125088464809943</v>
      </c>
      <c r="P38" t="n">
        <v>536</v>
      </c>
      <c r="Q38" s="29" t="n">
        <v>0.607648776744902</v>
      </c>
      <c r="R38" t="n">
        <v>446</v>
      </c>
      <c r="S38" s="29" t="n">
        <v>0.118428248288829</v>
      </c>
      <c r="T38" t="n">
        <v>275</v>
      </c>
      <c r="U38" s="29" t="n">
        <v>0.0148244942127548</v>
      </c>
      <c r="V38" t="n">
        <v>275</v>
      </c>
      <c r="W38" s="29" t="n">
        <v>0.604483599034574</v>
      </c>
      <c r="X38" t="n">
        <v>275</v>
      </c>
      <c r="Y38" s="29" t="n">
        <v>0.0122087329909155</v>
      </c>
      <c r="Z38" t="n">
        <v>275</v>
      </c>
      <c r="AA38" s="29" t="n">
        <v>0.109362826635221</v>
      </c>
      <c r="AB38" t="n">
        <v>275</v>
      </c>
      <c r="AC38" s="29" t="n">
        <v>0.140692098837706</v>
      </c>
      <c r="AD38" t="n">
        <v>275</v>
      </c>
      <c r="AE38" s="29" t="n">
        <v>0.565702334019446</v>
      </c>
      <c r="AF38" t="n">
        <v>444</v>
      </c>
      <c r="AG38" s="29" t="n">
        <v>0.133606876708794</v>
      </c>
      <c r="AH38" t="n">
        <v>261</v>
      </c>
      <c r="AI38" s="29" t="n">
        <v>0.0796300463720686</v>
      </c>
      <c r="AJ38" t="n">
        <v>261</v>
      </c>
      <c r="AK38" s="29" t="n">
        <v>0.518394634538953</v>
      </c>
      <c r="AL38" t="n">
        <v>261</v>
      </c>
      <c r="AM38" s="29" t="n">
        <v>0.0279608124337277</v>
      </c>
      <c r="AN38" t="n">
        <v>261</v>
      </c>
      <c r="AO38" s="29" t="n">
        <v>0.131868187550714</v>
      </c>
      <c r="AP38" t="n">
        <v>261</v>
      </c>
      <c r="AQ38" s="29" t="n">
        <v>0.108539442395742</v>
      </c>
      <c r="AR38" s="12" t="n">
        <v>261</v>
      </c>
    </row>
    <row r="39" outlineLevel="1" hidden="0">
      <c r="A39" s="7" t="s">
        <v>14</v>
      </c>
      <c r="B39" t="s">
        <v>43</v>
      </c>
      <c r="C39" s="29" t="n">
        <v>0.339242839701247</v>
      </c>
      <c r="D39" t="n">
        <v>450</v>
      </c>
      <c r="E39" s="29" t="n">
        <v>0.300586531888532</v>
      </c>
      <c r="F39" t="n">
        <v>144</v>
      </c>
      <c r="G39" s="29"/>
      <c r="H39"/>
      <c r="I39" s="29" t="n">
        <v>0.125809378611025</v>
      </c>
      <c r="J39" t="n">
        <v>144</v>
      </c>
      <c r="K39" s="29" t="n">
        <v>0.0137652998984911</v>
      </c>
      <c r="L39" t="n">
        <v>144</v>
      </c>
      <c r="M39" s="29" t="n">
        <v>0.510350185294086</v>
      </c>
      <c r="N39" t="n">
        <v>144</v>
      </c>
      <c r="O39" s="29" t="n">
        <v>0.0494886043078657</v>
      </c>
      <c r="P39" t="n">
        <v>144</v>
      </c>
      <c r="Q39" s="29" t="n">
        <v>0.306125917168063</v>
      </c>
      <c r="R39" t="n">
        <v>247</v>
      </c>
      <c r="S39" s="29" t="n">
        <v>0.26744065670515</v>
      </c>
      <c r="T39" t="n">
        <v>70</v>
      </c>
      <c r="U39" s="29"/>
      <c r="V39"/>
      <c r="W39" s="29" t="n">
        <v>0.117717529397818</v>
      </c>
      <c r="X39" t="n">
        <v>70</v>
      </c>
      <c r="Y39" s="29" t="n">
        <v>0.0286468744776263</v>
      </c>
      <c r="Z39" t="n">
        <v>70</v>
      </c>
      <c r="AA39" s="29" t="n">
        <v>0.540423309173057</v>
      </c>
      <c r="AB39" t="n">
        <v>70</v>
      </c>
      <c r="AC39" s="29" t="n">
        <v>0.0457716302463493</v>
      </c>
      <c r="AD39" t="n">
        <v>70</v>
      </c>
      <c r="AE39" s="29" t="n">
        <v>0.377362302943956</v>
      </c>
      <c r="AF39" t="n">
        <v>203</v>
      </c>
      <c r="AG39" s="29" t="n">
        <v>0.331246117664954</v>
      </c>
      <c r="AH39" t="n">
        <v>74</v>
      </c>
      <c r="AI39" s="29"/>
      <c r="AJ39"/>
      <c r="AK39" s="29" t="n">
        <v>0.13329425398902</v>
      </c>
      <c r="AL39" t="n">
        <v>74</v>
      </c>
      <c r="AM39" s="29"/>
      <c r="AN39"/>
      <c r="AO39" s="29" t="n">
        <v>0.482532862142078</v>
      </c>
      <c r="AP39" t="n">
        <v>74</v>
      </c>
      <c r="AQ39" s="29" t="n">
        <v>0.0529267662039477</v>
      </c>
      <c r="AR39" s="12" t="n">
        <v>74</v>
      </c>
    </row>
    <row r="40" outlineLevel="1" hidden="0">
      <c r="A40" s="7" t="s">
        <v>14</v>
      </c>
      <c r="B40" t="s">
        <v>44</v>
      </c>
      <c r="C40" s="29" t="n">
        <v>0.283120032810387</v>
      </c>
      <c r="D40" t="n">
        <v>283</v>
      </c>
      <c r="E40" s="29" t="n">
        <v>0.263025406719802</v>
      </c>
      <c r="F40" t="n">
        <v>80</v>
      </c>
      <c r="G40" s="29" t="n">
        <v>0.0373248644267325</v>
      </c>
      <c r="H40" t="n">
        <v>80</v>
      </c>
      <c r="I40" s="29" t="n">
        <v>0.111974593280198</v>
      </c>
      <c r="J40" t="n">
        <v>80</v>
      </c>
      <c r="K40" s="29" t="n">
        <v>0.037616757048845</v>
      </c>
      <c r="L40" t="n">
        <v>80</v>
      </c>
      <c r="M40" s="29" t="n">
        <v>0.38656594360924</v>
      </c>
      <c r="N40" t="n">
        <v>80</v>
      </c>
      <c r="O40" s="29" t="n">
        <v>0.163492434915182</v>
      </c>
      <c r="P40" t="n">
        <v>80</v>
      </c>
      <c r="Q40" s="29" t="n">
        <v>0.299784554952592</v>
      </c>
      <c r="R40" t="n">
        <v>137</v>
      </c>
      <c r="S40" s="29" t="n">
        <v>0.243222071405551</v>
      </c>
      <c r="T40" t="n">
        <v>41</v>
      </c>
      <c r="U40" s="29"/>
      <c r="V40"/>
      <c r="W40" s="29" t="n">
        <v>0.145591670528567</v>
      </c>
      <c r="X40" t="n">
        <v>41</v>
      </c>
      <c r="Y40" s="29" t="n">
        <v>0.049099844034129</v>
      </c>
      <c r="Z40" t="n">
        <v>41</v>
      </c>
      <c r="AA40" s="29" t="n">
        <v>0.389383029125391</v>
      </c>
      <c r="AB40" t="n">
        <v>41</v>
      </c>
      <c r="AC40" s="29" t="n">
        <v>0.172703384906362</v>
      </c>
      <c r="AD40" t="n">
        <v>41</v>
      </c>
      <c r="AE40" s="29" t="n">
        <v>0.267474472736711</v>
      </c>
      <c r="AF40" t="n">
        <v>146</v>
      </c>
      <c r="AG40" s="29" t="n">
        <v>0.283863765195716</v>
      </c>
      <c r="AH40" t="n">
        <v>39</v>
      </c>
      <c r="AI40" s="29" t="n">
        <v>0.0766005163634743</v>
      </c>
      <c r="AJ40" t="n">
        <v>39</v>
      </c>
      <c r="AK40" s="29" t="n">
        <v>0.0766005163634743</v>
      </c>
      <c r="AL40" t="n">
        <v>39</v>
      </c>
      <c r="AM40" s="29" t="n">
        <v>0.0255335054544914</v>
      </c>
      <c r="AN40" t="n">
        <v>39</v>
      </c>
      <c r="AO40" s="29" t="n">
        <v>0.383601622856634</v>
      </c>
      <c r="AP40" t="n">
        <v>39</v>
      </c>
      <c r="AQ40" s="29" t="n">
        <v>0.153800073766211</v>
      </c>
      <c r="AR40" s="12" t="n">
        <v>39</v>
      </c>
    </row>
    <row r="41" outlineLevel="1" hidden="0">
      <c r="A41" s="7" t="s">
        <v>14</v>
      </c>
      <c r="B41" t="s">
        <v>45</v>
      </c>
      <c r="C41" s="29" t="n">
        <v>0.42784503624069</v>
      </c>
      <c r="D41" t="n">
        <v>813</v>
      </c>
      <c r="E41" s="29" t="n">
        <v>0.216947418346817</v>
      </c>
      <c r="F41" t="n">
        <v>390</v>
      </c>
      <c r="G41" s="29" t="n">
        <v>0.156256520171045</v>
      </c>
      <c r="H41" t="n">
        <v>390</v>
      </c>
      <c r="I41" s="29" t="n">
        <v>0.176092199701244</v>
      </c>
      <c r="J41" t="n">
        <v>390</v>
      </c>
      <c r="K41" s="29" t="n">
        <v>0.0233829881372988</v>
      </c>
      <c r="L41" t="n">
        <v>390</v>
      </c>
      <c r="M41" s="29" t="n">
        <v>0.264399684637982</v>
      </c>
      <c r="N41" t="n">
        <v>390</v>
      </c>
      <c r="O41" s="29" t="n">
        <v>0.162921189005613</v>
      </c>
      <c r="P41" t="n">
        <v>390</v>
      </c>
      <c r="Q41" s="29" t="n">
        <v>0.428373791170794</v>
      </c>
      <c r="R41" t="n">
        <v>375</v>
      </c>
      <c r="S41" s="29" t="n">
        <v>0.260014664878415</v>
      </c>
      <c r="T41" t="n">
        <v>183</v>
      </c>
      <c r="U41" s="29" t="n">
        <v>0.0321471256937998</v>
      </c>
      <c r="V41" t="n">
        <v>183</v>
      </c>
      <c r="W41" s="29" t="n">
        <v>0.182662402969995</v>
      </c>
      <c r="X41" t="n">
        <v>183</v>
      </c>
      <c r="Y41" s="29" t="n">
        <v>0.0172145628974835</v>
      </c>
      <c r="Z41" t="n">
        <v>183</v>
      </c>
      <c r="AA41" s="29" t="n">
        <v>0.319144200653225</v>
      </c>
      <c r="AB41" t="n">
        <v>183</v>
      </c>
      <c r="AC41" s="29" t="n">
        <v>0.188817042907082</v>
      </c>
      <c r="AD41" t="n">
        <v>183</v>
      </c>
      <c r="AE41" s="29" t="n">
        <v>0.427360428539538</v>
      </c>
      <c r="AF41" t="n">
        <v>438</v>
      </c>
      <c r="AG41" s="29" t="n">
        <v>0.177539429606005</v>
      </c>
      <c r="AH41" t="n">
        <v>207</v>
      </c>
      <c r="AI41" s="29" t="n">
        <v>0.269820818195066</v>
      </c>
      <c r="AJ41" t="n">
        <v>207</v>
      </c>
      <c r="AK41" s="29" t="n">
        <v>0.170080241257376</v>
      </c>
      <c r="AL41" t="n">
        <v>207</v>
      </c>
      <c r="AM41" s="29" t="n">
        <v>0.0290273060813502</v>
      </c>
      <c r="AN41" t="n">
        <v>207</v>
      </c>
      <c r="AO41" s="29" t="n">
        <v>0.214306598952389</v>
      </c>
      <c r="AP41" t="n">
        <v>207</v>
      </c>
      <c r="AQ41" s="29" t="n">
        <v>0.139225605907814</v>
      </c>
      <c r="AR41" s="12" t="n">
        <v>207</v>
      </c>
    </row>
    <row r="42" outlineLevel="1" hidden="0">
      <c r="A42" s="7" t="s">
        <v>14</v>
      </c>
      <c r="B42" t="s">
        <v>46</v>
      </c>
      <c r="C42" s="29" t="n">
        <v>0.284025576276692</v>
      </c>
      <c r="D42" t="n">
        <v>612</v>
      </c>
      <c r="E42" s="29" t="n">
        <v>0.113705087578309</v>
      </c>
      <c r="F42" t="n">
        <v>214</v>
      </c>
      <c r="G42" s="29" t="n">
        <v>0.0873534669036767</v>
      </c>
      <c r="H42" t="n">
        <v>214</v>
      </c>
      <c r="I42" s="29" t="n">
        <v>0.283657921407371</v>
      </c>
      <c r="J42" t="n">
        <v>214</v>
      </c>
      <c r="K42" s="29" t="n">
        <v>0.0273615774124896</v>
      </c>
      <c r="L42" t="n">
        <v>214</v>
      </c>
      <c r="M42" s="29" t="n">
        <v>0.332322467351749</v>
      </c>
      <c r="N42" t="n">
        <v>214</v>
      </c>
      <c r="O42" s="29" t="n">
        <v>0.155599479346404</v>
      </c>
      <c r="P42" t="n">
        <v>214</v>
      </c>
      <c r="Q42" s="29" t="n">
        <v>0.281061834938369</v>
      </c>
      <c r="R42" t="n">
        <v>306</v>
      </c>
      <c r="S42" s="29" t="n">
        <v>0.0844915276051363</v>
      </c>
      <c r="T42" t="n">
        <v>107</v>
      </c>
      <c r="U42" s="29" t="n">
        <v>0.0696075811581876</v>
      </c>
      <c r="V42" t="n">
        <v>107</v>
      </c>
      <c r="W42" s="29" t="n">
        <v>0.282734412913759</v>
      </c>
      <c r="X42" t="n">
        <v>107</v>
      </c>
      <c r="Y42" s="29" t="n">
        <v>0.0392327844275994</v>
      </c>
      <c r="Z42" t="n">
        <v>107</v>
      </c>
      <c r="AA42" s="29" t="n">
        <v>0.369137025156334</v>
      </c>
      <c r="AB42" t="n">
        <v>107</v>
      </c>
      <c r="AC42" s="29" t="n">
        <v>0.154796668738984</v>
      </c>
      <c r="AD42" t="n">
        <v>107</v>
      </c>
      <c r="AE42" s="29" t="n">
        <v>0.287104974781385</v>
      </c>
      <c r="AF42" t="n">
        <v>306</v>
      </c>
      <c r="AG42" s="29" t="n">
        <v>0.144002282208969</v>
      </c>
      <c r="AH42" t="n">
        <v>107</v>
      </c>
      <c r="AI42" s="29" t="n">
        <v>0.105757610555401</v>
      </c>
      <c r="AJ42" t="n">
        <v>107</v>
      </c>
      <c r="AK42" s="29" t="n">
        <v>0.284615686109782</v>
      </c>
      <c r="AL42" t="n">
        <v>107</v>
      </c>
      <c r="AM42" s="29" t="n">
        <v>0.0150500251823634</v>
      </c>
      <c r="AN42" t="n">
        <v>107</v>
      </c>
      <c r="AO42" s="29" t="n">
        <v>0.29414232689398</v>
      </c>
      <c r="AP42" t="n">
        <v>107</v>
      </c>
      <c r="AQ42" s="29" t="n">
        <v>0.156432069049504</v>
      </c>
      <c r="AR42" s="12" t="n">
        <v>107</v>
      </c>
    </row>
    <row r="43" outlineLevel="1" hidden="0">
      <c r="A43" s="8" t="s">
        <v>14</v>
      </c>
      <c r="B43" s="10" t="s">
        <v>47</v>
      </c>
      <c r="C43" s="28" t="n">
        <v>0.435176063132564</v>
      </c>
      <c r="D43" s="10" t="n">
        <v>554</v>
      </c>
      <c r="E43" s="28" t="n">
        <v>0.252177631194112</v>
      </c>
      <c r="F43" s="10" t="n">
        <v>241</v>
      </c>
      <c r="G43" s="28" t="n">
        <v>0.0591834641295381</v>
      </c>
      <c r="H43" s="10" t="n">
        <v>241</v>
      </c>
      <c r="I43" s="28" t="n">
        <v>0.0882372395140005</v>
      </c>
      <c r="J43" s="10" t="n">
        <v>241</v>
      </c>
      <c r="K43" s="28" t="n">
        <v>0.02679681017882</v>
      </c>
      <c r="L43" s="10" t="n">
        <v>241</v>
      </c>
      <c r="M43" s="28" t="n">
        <v>0.399917783553267</v>
      </c>
      <c r="N43" s="10" t="n">
        <v>241</v>
      </c>
      <c r="O43" s="28" t="n">
        <v>0.173687071430263</v>
      </c>
      <c r="P43" s="10" t="n">
        <v>241</v>
      </c>
      <c r="Q43" s="28" t="n">
        <v>0.401146549616435</v>
      </c>
      <c r="R43" s="10" t="n">
        <v>259</v>
      </c>
      <c r="S43" s="28" t="n">
        <v>0.227200803447865</v>
      </c>
      <c r="T43" s="10" t="n">
        <v>104</v>
      </c>
      <c r="U43" s="28" t="n">
        <v>0.0182602630248368</v>
      </c>
      <c r="V43" s="10" t="n">
        <v>104</v>
      </c>
      <c r="W43" s="28" t="n">
        <v>0.0865985371766243</v>
      </c>
      <c r="X43" s="10" t="n">
        <v>104</v>
      </c>
      <c r="Y43" s="28" t="n">
        <v>0.0265795473108164</v>
      </c>
      <c r="Z43" s="10" t="n">
        <v>104</v>
      </c>
      <c r="AA43" s="28" t="n">
        <v>0.482763830038646</v>
      </c>
      <c r="AB43" s="10" t="n">
        <v>104</v>
      </c>
      <c r="AC43" s="28" t="n">
        <v>0.158597019001211</v>
      </c>
      <c r="AD43" s="10" t="n">
        <v>104</v>
      </c>
      <c r="AE43" s="28" t="n">
        <v>0.465039556991115</v>
      </c>
      <c r="AF43" s="10" t="n">
        <v>295</v>
      </c>
      <c r="AG43" s="28" t="n">
        <v>0.271085183887241</v>
      </c>
      <c r="AH43" s="10" t="n">
        <v>137</v>
      </c>
      <c r="AI43" s="28" t="n">
        <v>0.0901624815259703</v>
      </c>
      <c r="AJ43" s="10" t="n">
        <v>137</v>
      </c>
      <c r="AK43" s="28" t="n">
        <v>0.0894777433564852</v>
      </c>
      <c r="AL43" s="10" t="n">
        <v>137</v>
      </c>
      <c r="AM43" s="28" t="n">
        <v>0.0269612789883411</v>
      </c>
      <c r="AN43" s="10" t="n">
        <v>137</v>
      </c>
      <c r="AO43" s="28" t="n">
        <v>0.337203014277768</v>
      </c>
      <c r="AP43" s="10" t="n">
        <v>137</v>
      </c>
      <c r="AQ43" s="28" t="n">
        <v>0.185110297964195</v>
      </c>
      <c r="AR43" s="13" t="n">
        <v>137</v>
      </c>
    </row>
    <row r="44">
      <c r="C44" s="29"/>
      <c r="E44" s="29"/>
      <c r="G44" s="29"/>
      <c r="I44" s="29"/>
      <c r="K44" s="29"/>
      <c r="M44" s="29"/>
      <c r="O44" s="29"/>
      <c r="Q44" s="29"/>
      <c r="S44" s="29"/>
      <c r="U44" s="29"/>
      <c r="W44" s="29"/>
      <c r="Y44" s="29"/>
      <c r="AA44" s="29"/>
      <c r="AC44" s="29"/>
      <c r="AE44" s="29"/>
      <c r="AG44" s="29"/>
      <c r="AI44" s="29"/>
      <c r="AK44" s="29"/>
      <c r="AM44" s="29"/>
      <c r="AO44" s="29"/>
      <c r="AQ44" s="29"/>
    </row>
    <row r="45">
      <c r="A45" s="2" t="s">
        <v>48</v>
      </c>
      <c r="B45" s="2"/>
      <c r="C45" s="25"/>
      <c r="D45" s="2"/>
      <c r="E45" s="25"/>
      <c r="F45" s="2"/>
      <c r="G45" s="25"/>
      <c r="H45" s="2"/>
      <c r="I45" s="25"/>
      <c r="J45" s="2"/>
      <c r="K45" s="25"/>
      <c r="L45" s="2"/>
      <c r="M45" s="25"/>
      <c r="N45" s="2"/>
      <c r="O45" s="25"/>
      <c r="P45" s="2"/>
      <c r="Q45" s="25"/>
      <c r="R45" s="2"/>
      <c r="S45" s="25"/>
      <c r="T45" s="2"/>
      <c r="U45" s="25"/>
      <c r="V45" s="2"/>
      <c r="W45" s="25"/>
      <c r="X45" s="2"/>
      <c r="Y45" s="25"/>
      <c r="Z45" s="2"/>
      <c r="AA45" s="25"/>
      <c r="AB45" s="2"/>
      <c r="AC45" s="25"/>
      <c r="AD45" s="2"/>
      <c r="AE45" s="25"/>
      <c r="AF45" s="2"/>
      <c r="AG45" s="25"/>
      <c r="AH45" s="2"/>
      <c r="AI45" s="25"/>
      <c r="AJ45" s="2"/>
      <c r="AK45" s="25"/>
      <c r="AL45" s="2"/>
      <c r="AM45" s="25"/>
      <c r="AN45" s="2"/>
      <c r="AO45" s="25"/>
      <c r="AP45" s="2"/>
      <c r="AQ45" s="25"/>
      <c r="AR45" s="2"/>
    </row>
    <row r="46" outlineLevel="1" hidden="0">
      <c r="A46" s="6" t="s">
        <v>14</v>
      </c>
      <c r="B46" s="9" t="s">
        <v>49</v>
      </c>
      <c r="C46" s="27" t="n">
        <v>0.355198062086831</v>
      </c>
      <c r="D46" s="9" t="n">
        <v>2000</v>
      </c>
      <c r="E46" s="27" t="n">
        <v>0.354972703984222</v>
      </c>
      <c r="F46" s="9" t="n">
        <v>910</v>
      </c>
      <c r="G46" s="27" t="n">
        <v>0.0410270069761522</v>
      </c>
      <c r="H46" s="9" t="n">
        <v>910</v>
      </c>
      <c r="I46" s="27" t="n">
        <v>0.241538113274674</v>
      </c>
      <c r="J46" s="9" t="n">
        <v>910</v>
      </c>
      <c r="K46" s="27" t="n">
        <v>0.0289870028801751</v>
      </c>
      <c r="L46" s="9" t="n">
        <v>910</v>
      </c>
      <c r="M46" s="27" t="n">
        <v>0.17377984080771</v>
      </c>
      <c r="N46" s="9" t="n">
        <v>910</v>
      </c>
      <c r="O46" s="27" t="n">
        <v>0.159695332077067</v>
      </c>
      <c r="P46" s="9" t="n">
        <v>910</v>
      </c>
      <c r="Q46" s="27" t="n">
        <v>0.378182414126598</v>
      </c>
      <c r="R46" s="9" t="n">
        <v>994</v>
      </c>
      <c r="S46" s="27" t="n">
        <v>0.336958351459345</v>
      </c>
      <c r="T46" s="9" t="n">
        <v>479</v>
      </c>
      <c r="U46" s="27" t="n">
        <v>0.0228086876632679</v>
      </c>
      <c r="V46" s="9" t="n">
        <v>479</v>
      </c>
      <c r="W46" s="27" t="n">
        <v>0.25696621373047</v>
      </c>
      <c r="X46" s="9" t="n">
        <v>479</v>
      </c>
      <c r="Y46" s="27" t="n">
        <v>0.0376137967838723</v>
      </c>
      <c r="Z46" s="9" t="n">
        <v>479</v>
      </c>
      <c r="AA46" s="27" t="n">
        <v>0.198406844549503</v>
      </c>
      <c r="AB46" s="9" t="n">
        <v>479</v>
      </c>
      <c r="AC46" s="27" t="n">
        <v>0.147246105813542</v>
      </c>
      <c r="AD46" s="9" t="n">
        <v>479</v>
      </c>
      <c r="AE46" s="27" t="n">
        <v>0.332877453761765</v>
      </c>
      <c r="AF46" s="9" t="n">
        <v>1006</v>
      </c>
      <c r="AG46" s="27" t="n">
        <v>0.374907888728905</v>
      </c>
      <c r="AH46" s="9" t="n">
        <v>431</v>
      </c>
      <c r="AI46" s="27" t="n">
        <v>0.0611879070550426</v>
      </c>
      <c r="AJ46" s="9" t="n">
        <v>431</v>
      </c>
      <c r="AK46" s="27" t="n">
        <v>0.224464947174418</v>
      </c>
      <c r="AL46" s="9" t="n">
        <v>431</v>
      </c>
      <c r="AM46" s="27" t="n">
        <v>0.0194403522310881</v>
      </c>
      <c r="AN46" s="9" t="n">
        <v>431</v>
      </c>
      <c r="AO46" s="27" t="n">
        <v>0.146526911865487</v>
      </c>
      <c r="AP46" s="9" t="n">
        <v>431</v>
      </c>
      <c r="AQ46" s="27" t="n">
        <v>0.17347199294506</v>
      </c>
      <c r="AR46" s="11" t="n">
        <v>431</v>
      </c>
    </row>
    <row r="47" outlineLevel="1" hidden="0">
      <c r="A47" s="7" t="s">
        <v>14</v>
      </c>
      <c r="B47" t="s">
        <v>50</v>
      </c>
      <c r="C47" s="29" t="n">
        <v>0.307691655933605</v>
      </c>
      <c r="D47" t="n">
        <v>2809</v>
      </c>
      <c r="E47" s="29" t="n">
        <v>0.357305261688039</v>
      </c>
      <c r="F47" t="n">
        <v>904</v>
      </c>
      <c r="G47" s="29" t="n">
        <v>0.0761844771327804</v>
      </c>
      <c r="H47" t="n">
        <v>904</v>
      </c>
      <c r="I47" s="29" t="n">
        <v>0.110235117199231</v>
      </c>
      <c r="J47" t="n">
        <v>904</v>
      </c>
      <c r="K47" s="29" t="n">
        <v>0.0471028784486766</v>
      </c>
      <c r="L47" t="n">
        <v>904</v>
      </c>
      <c r="M47" s="29" t="n">
        <v>0.235792496048473</v>
      </c>
      <c r="N47" t="n">
        <v>904</v>
      </c>
      <c r="O47" s="29" t="n">
        <v>0.173379769482801</v>
      </c>
      <c r="P47" t="n">
        <v>904</v>
      </c>
      <c r="Q47" s="29" t="n">
        <v>0.304139942533165</v>
      </c>
      <c r="R47" t="n">
        <v>1324</v>
      </c>
      <c r="S47" s="29" t="n">
        <v>0.368027313739969</v>
      </c>
      <c r="T47" t="n">
        <v>426</v>
      </c>
      <c r="U47" s="29" t="n">
        <v>0.0155845670881815</v>
      </c>
      <c r="V47" t="n">
        <v>426</v>
      </c>
      <c r="W47" s="29" t="n">
        <v>0.132339583359646</v>
      </c>
      <c r="X47" t="n">
        <v>426</v>
      </c>
      <c r="Y47" s="29" t="n">
        <v>0.0624964486927344</v>
      </c>
      <c r="Z47" t="n">
        <v>426</v>
      </c>
      <c r="AA47" s="29" t="n">
        <v>0.222503418004444</v>
      </c>
      <c r="AB47" t="n">
        <v>426</v>
      </c>
      <c r="AC47" s="29" t="n">
        <v>0.199048669115024</v>
      </c>
      <c r="AD47" t="n">
        <v>426</v>
      </c>
      <c r="AE47" s="29" t="n">
        <v>0.310888575105832</v>
      </c>
      <c r="AF47" t="n">
        <v>1485</v>
      </c>
      <c r="AG47" s="29" t="n">
        <v>0.347847516255018</v>
      </c>
      <c r="AH47" t="n">
        <v>478</v>
      </c>
      <c r="AI47" s="29" t="n">
        <v>0.129638659195116</v>
      </c>
      <c r="AJ47" t="n">
        <v>478</v>
      </c>
      <c r="AK47" s="29" t="n">
        <v>0.0907371318447966</v>
      </c>
      <c r="AL47" t="n">
        <v>478</v>
      </c>
      <c r="AM47" s="29" t="n">
        <v>0.0335244637974066</v>
      </c>
      <c r="AN47" t="n">
        <v>478</v>
      </c>
      <c r="AO47" s="29" t="n">
        <v>0.247514572808707</v>
      </c>
      <c r="AP47" t="n">
        <v>478</v>
      </c>
      <c r="AQ47" s="29" t="n">
        <v>0.150737656098955</v>
      </c>
      <c r="AR47" s="12" t="n">
        <v>478</v>
      </c>
    </row>
    <row r="48" outlineLevel="1" hidden="0">
      <c r="A48" s="8" t="s">
        <v>14</v>
      </c>
      <c r="B48" s="10" t="s">
        <v>51</v>
      </c>
      <c r="C48" s="28" t="n">
        <v>0.336171771932724</v>
      </c>
      <c r="D48" s="10" t="n">
        <v>7753</v>
      </c>
      <c r="E48" s="28" t="n">
        <v>0.268074755412109</v>
      </c>
      <c r="F48" s="10" t="n">
        <v>2783</v>
      </c>
      <c r="G48" s="28" t="n">
        <v>0.0867437044581184</v>
      </c>
      <c r="H48" s="10" t="n">
        <v>2783</v>
      </c>
      <c r="I48" s="28" t="n">
        <v>0.162348601003771</v>
      </c>
      <c r="J48" s="10" t="n">
        <v>2783</v>
      </c>
      <c r="K48" s="28" t="n">
        <v>0.0397027889508251</v>
      </c>
      <c r="L48" s="10" t="n">
        <v>2783</v>
      </c>
      <c r="M48" s="28" t="n">
        <v>0.298737655289518</v>
      </c>
      <c r="N48" s="10" t="n">
        <v>2783</v>
      </c>
      <c r="O48" s="28" t="n">
        <v>0.144392494885658</v>
      </c>
      <c r="P48" s="10" t="n">
        <v>2783</v>
      </c>
      <c r="Q48" s="28" t="n">
        <v>0.328146342192051</v>
      </c>
      <c r="R48" s="10" t="n">
        <v>3818</v>
      </c>
      <c r="S48" s="28" t="n">
        <v>0.284640565719317</v>
      </c>
      <c r="T48" s="10" t="n">
        <v>1361</v>
      </c>
      <c r="U48" s="28" t="n">
        <v>0.0184384338465391</v>
      </c>
      <c r="V48" s="10" t="n">
        <v>1361</v>
      </c>
      <c r="W48" s="28" t="n">
        <v>0.181454333186506</v>
      </c>
      <c r="X48" s="10" t="n">
        <v>1361</v>
      </c>
      <c r="Y48" s="28" t="n">
        <v>0.0238808684163499</v>
      </c>
      <c r="Z48" s="10" t="n">
        <v>1361</v>
      </c>
      <c r="AA48" s="28" t="n">
        <v>0.323217986686483</v>
      </c>
      <c r="AB48" s="10" t="n">
        <v>1361</v>
      </c>
      <c r="AC48" s="28" t="n">
        <v>0.168367812144805</v>
      </c>
      <c r="AD48" s="10" t="n">
        <v>1361</v>
      </c>
      <c r="AE48" s="28" t="n">
        <v>0.343434245811658</v>
      </c>
      <c r="AF48" s="10" t="n">
        <v>3935</v>
      </c>
      <c r="AG48" s="28" t="n">
        <v>0.253745294500796</v>
      </c>
      <c r="AH48" s="10" t="n">
        <v>1422</v>
      </c>
      <c r="AI48" s="28" t="n">
        <v>0.145827907833278</v>
      </c>
      <c r="AJ48" s="10" t="n">
        <v>1422</v>
      </c>
      <c r="AK48" s="28" t="n">
        <v>0.145822102304494</v>
      </c>
      <c r="AL48" s="10" t="n">
        <v>1422</v>
      </c>
      <c r="AM48" s="28" t="n">
        <v>0.0533887836372447</v>
      </c>
      <c r="AN48" s="10" t="n">
        <v>1422</v>
      </c>
      <c r="AO48" s="28" t="n">
        <v>0.277562116915992</v>
      </c>
      <c r="AP48" s="10" t="n">
        <v>1422</v>
      </c>
      <c r="AQ48" s="28" t="n">
        <v>0.123653794808196</v>
      </c>
      <c r="AR48" s="13" t="n">
        <v>1422</v>
      </c>
    </row>
    <row r="49">
      <c r="C49" s="29"/>
      <c r="E49" s="29"/>
      <c r="G49" s="29"/>
      <c r="I49" s="29"/>
      <c r="K49" s="29"/>
      <c r="M49" s="29"/>
      <c r="O49" s="29"/>
      <c r="Q49" s="29"/>
      <c r="S49" s="29"/>
      <c r="U49" s="29"/>
      <c r="W49" s="29"/>
      <c r="Y49" s="29"/>
      <c r="AA49" s="29"/>
      <c r="AC49" s="29"/>
      <c r="AE49" s="29"/>
      <c r="AG49" s="29"/>
      <c r="AI49" s="29"/>
      <c r="AK49" s="29"/>
      <c r="AM49" s="29"/>
      <c r="AO49" s="29"/>
      <c r="AQ49" s="29"/>
    </row>
    <row r="50">
      <c r="A50" s="2" t="s">
        <v>52</v>
      </c>
      <c r="B50" s="2"/>
      <c r="C50" s="25"/>
      <c r="D50" s="2"/>
      <c r="E50" s="25"/>
      <c r="F50" s="2"/>
      <c r="G50" s="25"/>
      <c r="H50" s="2"/>
      <c r="I50" s="25"/>
      <c r="J50" s="2"/>
      <c r="K50" s="25"/>
      <c r="L50" s="2"/>
      <c r="M50" s="25"/>
      <c r="N50" s="2"/>
      <c r="O50" s="25"/>
      <c r="P50" s="2"/>
      <c r="Q50" s="25"/>
      <c r="R50" s="2"/>
      <c r="S50" s="25"/>
      <c r="T50" s="2"/>
      <c r="U50" s="25"/>
      <c r="V50" s="2"/>
      <c r="W50" s="25"/>
      <c r="X50" s="2"/>
      <c r="Y50" s="25"/>
      <c r="Z50" s="2"/>
      <c r="AA50" s="25"/>
      <c r="AB50" s="2"/>
      <c r="AC50" s="25"/>
      <c r="AD50" s="2"/>
      <c r="AE50" s="25"/>
      <c r="AF50" s="2"/>
      <c r="AG50" s="25"/>
      <c r="AH50" s="2"/>
      <c r="AI50" s="25"/>
      <c r="AJ50" s="2"/>
      <c r="AK50" s="25"/>
      <c r="AL50" s="2"/>
      <c r="AM50" s="25"/>
      <c r="AN50" s="2"/>
      <c r="AO50" s="25"/>
      <c r="AP50" s="2"/>
      <c r="AQ50" s="25"/>
      <c r="AR50" s="2"/>
    </row>
    <row r="51" outlineLevel="1" hidden="0">
      <c r="A51" s="6" t="s">
        <v>14</v>
      </c>
      <c r="B51" s="9" t="s">
        <v>53</v>
      </c>
      <c r="C51" s="27" t="n">
        <v>0.37370929379789</v>
      </c>
      <c r="D51" s="9" t="n">
        <v>3274</v>
      </c>
      <c r="E51" s="27" t="n">
        <v>0.283719739252237</v>
      </c>
      <c r="F51" s="9" t="n">
        <v>1381</v>
      </c>
      <c r="G51" s="27" t="n">
        <v>0.0609514572790932</v>
      </c>
      <c r="H51" s="9" t="n">
        <v>1381</v>
      </c>
      <c r="I51" s="27" t="n">
        <v>0.167049129766345</v>
      </c>
      <c r="J51" s="9" t="n">
        <v>1381</v>
      </c>
      <c r="K51" s="27" t="n">
        <v>0.113482445397691</v>
      </c>
      <c r="L51" s="9" t="n">
        <v>1381</v>
      </c>
      <c r="M51" s="27" t="n">
        <v>0.202939994493111</v>
      </c>
      <c r="N51" s="9" t="n">
        <v>1381</v>
      </c>
      <c r="O51" s="27" t="n">
        <v>0.171857233811523</v>
      </c>
      <c r="P51" s="9" t="n">
        <v>1381</v>
      </c>
      <c r="Q51" s="27" t="n">
        <v>0.341366474618389</v>
      </c>
      <c r="R51" s="9" t="n">
        <v>1623</v>
      </c>
      <c r="S51" s="27" t="n">
        <v>0.294676300091343</v>
      </c>
      <c r="T51" s="9" t="n">
        <v>666</v>
      </c>
      <c r="U51" s="27" t="n">
        <v>0.00286013590436294</v>
      </c>
      <c r="V51" s="9" t="n">
        <v>666</v>
      </c>
      <c r="W51" s="27" t="n">
        <v>0.196041914287359</v>
      </c>
      <c r="X51" s="9" t="n">
        <v>666</v>
      </c>
      <c r="Y51" s="27" t="n">
        <v>0.123218328478398</v>
      </c>
      <c r="Z51" s="9" t="n">
        <v>666</v>
      </c>
      <c r="AA51" s="27" t="n">
        <v>0.212415731345925</v>
      </c>
      <c r="AB51" s="9" t="n">
        <v>666</v>
      </c>
      <c r="AC51" s="27" t="n">
        <v>0.170787589892612</v>
      </c>
      <c r="AD51" s="9" t="n">
        <v>666</v>
      </c>
      <c r="AE51" s="27" t="n">
        <v>0.40540397362821</v>
      </c>
      <c r="AF51" s="9" t="n">
        <v>1651</v>
      </c>
      <c r="AG51" s="27" t="n">
        <v>0.274673834987459</v>
      </c>
      <c r="AH51" s="9" t="n">
        <v>715</v>
      </c>
      <c r="AI51" s="27" t="n">
        <v>0.108912541006627</v>
      </c>
      <c r="AJ51" s="9" t="n">
        <v>715</v>
      </c>
      <c r="AK51" s="27" t="n">
        <v>0.143112243274527</v>
      </c>
      <c r="AL51" s="9" t="n">
        <v>715</v>
      </c>
      <c r="AM51" s="27" t="n">
        <v>0.105444351366689</v>
      </c>
      <c r="AN51" s="9" t="n">
        <v>715</v>
      </c>
      <c r="AO51" s="27" t="n">
        <v>0.195116681168109</v>
      </c>
      <c r="AP51" s="9" t="n">
        <v>715</v>
      </c>
      <c r="AQ51" s="27" t="n">
        <v>0.17274034819659</v>
      </c>
      <c r="AR51" s="11" t="n">
        <v>715</v>
      </c>
    </row>
    <row r="52" outlineLevel="1" hidden="0">
      <c r="A52" s="8" t="s">
        <v>14</v>
      </c>
      <c r="B52" s="10" t="s">
        <v>54</v>
      </c>
      <c r="C52" s="28" t="n">
        <v>0.322200204382777</v>
      </c>
      <c r="D52" s="10" t="n">
        <v>9288</v>
      </c>
      <c r="E52" s="28" t="n">
        <v>0.325983918661882</v>
      </c>
      <c r="F52" s="10" t="n">
        <v>3216</v>
      </c>
      <c r="G52" s="28" t="n">
        <v>0.0738525475469366</v>
      </c>
      <c r="H52" s="10" t="n">
        <v>3216</v>
      </c>
      <c r="I52" s="28" t="n">
        <v>0.179764034798725</v>
      </c>
      <c r="J52" s="10" t="n">
        <v>3216</v>
      </c>
      <c r="K52" s="28" t="n">
        <v>0.00817557986081919</v>
      </c>
      <c r="L52" s="10" t="n">
        <v>3216</v>
      </c>
      <c r="M52" s="28" t="n">
        <v>0.263462172434365</v>
      </c>
      <c r="N52" s="10" t="n">
        <v>3216</v>
      </c>
      <c r="O52" s="28" t="n">
        <v>0.148761746697272</v>
      </c>
      <c r="P52" s="10" t="n">
        <v>3216</v>
      </c>
      <c r="Q52" s="28" t="n">
        <v>0.336624796599616</v>
      </c>
      <c r="R52" s="10" t="n">
        <v>4513</v>
      </c>
      <c r="S52" s="28" t="n">
        <v>0.328255590331376</v>
      </c>
      <c r="T52" s="10" t="n">
        <v>1600</v>
      </c>
      <c r="U52" s="28" t="n">
        <v>0.0252457541279391</v>
      </c>
      <c r="V52" s="10" t="n">
        <v>1600</v>
      </c>
      <c r="W52" s="28" t="n">
        <v>0.197481506316004</v>
      </c>
      <c r="X52" s="10" t="n">
        <v>1600</v>
      </c>
      <c r="Y52" s="28" t="n">
        <v>0.00531633744783689</v>
      </c>
      <c r="Z52" s="10" t="n">
        <v>1600</v>
      </c>
      <c r="AA52" s="28" t="n">
        <v>0.277456946739056</v>
      </c>
      <c r="AB52" s="10" t="n">
        <v>1600</v>
      </c>
      <c r="AC52" s="28" t="n">
        <v>0.166243865037788</v>
      </c>
      <c r="AD52" s="10" t="n">
        <v>1600</v>
      </c>
      <c r="AE52" s="28" t="n">
        <v>0.309157133435899</v>
      </c>
      <c r="AF52" s="10" t="n">
        <v>4775</v>
      </c>
      <c r="AG52" s="28" t="n">
        <v>0.323742836334201</v>
      </c>
      <c r="AH52" s="10" t="n">
        <v>1616</v>
      </c>
      <c r="AI52" s="28" t="n">
        <v>0.121804823044926</v>
      </c>
      <c r="AJ52" s="10" t="n">
        <v>1616</v>
      </c>
      <c r="AK52" s="28" t="n">
        <v>0.162285139040251</v>
      </c>
      <c r="AL52" s="10" t="n">
        <v>1616</v>
      </c>
      <c r="AM52" s="28" t="n">
        <v>0.0109963209601339</v>
      </c>
      <c r="AN52" s="10" t="n">
        <v>1616</v>
      </c>
      <c r="AO52" s="28" t="n">
        <v>0.249655845668352</v>
      </c>
      <c r="AP52" s="10" t="n">
        <v>1616</v>
      </c>
      <c r="AQ52" s="28" t="n">
        <v>0.131515034952136</v>
      </c>
      <c r="AR52" s="13" t="n">
        <v>1616</v>
      </c>
    </row>
    <row r="53">
      <c r="C53" s="29"/>
      <c r="E53" s="29"/>
      <c r="G53" s="29"/>
      <c r="I53" s="29"/>
      <c r="K53" s="29"/>
      <c r="M53" s="29"/>
      <c r="O53" s="29"/>
      <c r="Q53" s="29"/>
      <c r="S53" s="29"/>
      <c r="U53" s="29"/>
      <c r="W53" s="29"/>
      <c r="Y53" s="29"/>
      <c r="AA53" s="29"/>
      <c r="AC53" s="29"/>
      <c r="AE53" s="29"/>
      <c r="AG53" s="29"/>
      <c r="AI53" s="29"/>
      <c r="AK53" s="29"/>
      <c r="AM53" s="29"/>
      <c r="AO53" s="29"/>
      <c r="AQ53" s="29"/>
    </row>
    <row r="54">
      <c r="A54" s="2" t="s">
        <v>55</v>
      </c>
      <c r="B54" s="2"/>
      <c r="C54" s="25"/>
      <c r="D54" s="2"/>
      <c r="E54" s="25"/>
      <c r="F54" s="2"/>
      <c r="G54" s="25"/>
      <c r="H54" s="2"/>
      <c r="I54" s="25"/>
      <c r="J54" s="2"/>
      <c r="K54" s="25"/>
      <c r="L54" s="2"/>
      <c r="M54" s="25"/>
      <c r="N54" s="2"/>
      <c r="O54" s="25"/>
      <c r="P54" s="2"/>
      <c r="Q54" s="25"/>
      <c r="R54" s="2"/>
      <c r="S54" s="25"/>
      <c r="T54" s="2"/>
      <c r="U54" s="25"/>
      <c r="V54" s="2"/>
      <c r="W54" s="25"/>
      <c r="X54" s="2"/>
      <c r="Y54" s="25"/>
      <c r="Z54" s="2"/>
      <c r="AA54" s="25"/>
      <c r="AB54" s="2"/>
      <c r="AC54" s="25"/>
      <c r="AD54" s="2"/>
      <c r="AE54" s="25"/>
      <c r="AF54" s="2"/>
      <c r="AG54" s="25"/>
      <c r="AH54" s="2"/>
      <c r="AI54" s="25"/>
      <c r="AJ54" s="2"/>
      <c r="AK54" s="25"/>
      <c r="AL54" s="2"/>
      <c r="AM54" s="25"/>
      <c r="AN54" s="2"/>
      <c r="AO54" s="25"/>
      <c r="AP54" s="2"/>
      <c r="AQ54" s="25"/>
      <c r="AR54" s="2"/>
    </row>
    <row r="55" outlineLevel="1" hidden="0">
      <c r="A55" s="6" t="s">
        <v>14</v>
      </c>
      <c r="B55" s="9" t="s">
        <v>56</v>
      </c>
      <c r="C55" s="27" t="n">
        <v>0.355198062086831</v>
      </c>
      <c r="D55" s="9" t="n">
        <v>2000</v>
      </c>
      <c r="E55" s="27" t="n">
        <v>0.354972703984222</v>
      </c>
      <c r="F55" s="9" t="n">
        <v>910</v>
      </c>
      <c r="G55" s="27" t="n">
        <v>0.0410270069761522</v>
      </c>
      <c r="H55" s="9" t="n">
        <v>910</v>
      </c>
      <c r="I55" s="27" t="n">
        <v>0.241538113274674</v>
      </c>
      <c r="J55" s="9" t="n">
        <v>910</v>
      </c>
      <c r="K55" s="27" t="n">
        <v>0.0289870028801751</v>
      </c>
      <c r="L55" s="9" t="n">
        <v>910</v>
      </c>
      <c r="M55" s="27" t="n">
        <v>0.17377984080771</v>
      </c>
      <c r="N55" s="9" t="n">
        <v>910</v>
      </c>
      <c r="O55" s="27" t="n">
        <v>0.159695332077067</v>
      </c>
      <c r="P55" s="9" t="n">
        <v>910</v>
      </c>
      <c r="Q55" s="27" t="n">
        <v>0.378182414126598</v>
      </c>
      <c r="R55" s="9" t="n">
        <v>994</v>
      </c>
      <c r="S55" s="27" t="n">
        <v>0.336958351459345</v>
      </c>
      <c r="T55" s="9" t="n">
        <v>479</v>
      </c>
      <c r="U55" s="27" t="n">
        <v>0.0228086876632679</v>
      </c>
      <c r="V55" s="9" t="n">
        <v>479</v>
      </c>
      <c r="W55" s="27" t="n">
        <v>0.25696621373047</v>
      </c>
      <c r="X55" s="9" t="n">
        <v>479</v>
      </c>
      <c r="Y55" s="27" t="n">
        <v>0.0376137967838723</v>
      </c>
      <c r="Z55" s="9" t="n">
        <v>479</v>
      </c>
      <c r="AA55" s="27" t="n">
        <v>0.198406844549503</v>
      </c>
      <c r="AB55" s="9" t="n">
        <v>479</v>
      </c>
      <c r="AC55" s="27" t="n">
        <v>0.147246105813542</v>
      </c>
      <c r="AD55" s="9" t="n">
        <v>479</v>
      </c>
      <c r="AE55" s="27" t="n">
        <v>0.332877453761765</v>
      </c>
      <c r="AF55" s="9" t="n">
        <v>1006</v>
      </c>
      <c r="AG55" s="27" t="n">
        <v>0.374907888728905</v>
      </c>
      <c r="AH55" s="9" t="n">
        <v>431</v>
      </c>
      <c r="AI55" s="27" t="n">
        <v>0.0611879070550426</v>
      </c>
      <c r="AJ55" s="9" t="n">
        <v>431</v>
      </c>
      <c r="AK55" s="27" t="n">
        <v>0.224464947174418</v>
      </c>
      <c r="AL55" s="9" t="n">
        <v>431</v>
      </c>
      <c r="AM55" s="27" t="n">
        <v>0.0194403522310881</v>
      </c>
      <c r="AN55" s="9" t="n">
        <v>431</v>
      </c>
      <c r="AO55" s="27" t="n">
        <v>0.146526911865487</v>
      </c>
      <c r="AP55" s="9" t="n">
        <v>431</v>
      </c>
      <c r="AQ55" s="27" t="n">
        <v>0.17347199294506</v>
      </c>
      <c r="AR55" s="11" t="n">
        <v>431</v>
      </c>
    </row>
    <row r="56" outlineLevel="1" hidden="0">
      <c r="A56" s="7" t="s">
        <v>14</v>
      </c>
      <c r="B56" t="s">
        <v>57</v>
      </c>
      <c r="C56" s="29" t="n">
        <v>0.353081613087829</v>
      </c>
      <c r="D56" t="n">
        <v>7512</v>
      </c>
      <c r="E56" s="29" t="n">
        <v>0.279143737195973</v>
      </c>
      <c r="F56" t="n">
        <v>2806</v>
      </c>
      <c r="G56" s="29" t="n">
        <v>0.0619732437286606</v>
      </c>
      <c r="H56" t="n">
        <v>2806</v>
      </c>
      <c r="I56" s="29" t="n">
        <v>0.195703918134307</v>
      </c>
      <c r="J56" t="n">
        <v>2806</v>
      </c>
      <c r="K56" s="29" t="n">
        <v>0.0385374362471534</v>
      </c>
      <c r="L56" t="n">
        <v>2806</v>
      </c>
      <c r="M56" s="29" t="n">
        <v>0.261496597083622</v>
      </c>
      <c r="N56" t="n">
        <v>2806</v>
      </c>
      <c r="O56" s="29" t="n">
        <v>0.163145067610285</v>
      </c>
      <c r="P56" t="n">
        <v>2806</v>
      </c>
      <c r="Q56" s="29" t="n">
        <v>0.368949949242243</v>
      </c>
      <c r="R56" t="n">
        <v>3670</v>
      </c>
      <c r="S56" s="29" t="n">
        <v>0.296051904815706</v>
      </c>
      <c r="T56" t="n">
        <v>1404</v>
      </c>
      <c r="U56" s="29" t="n">
        <v>0.0216637170605714</v>
      </c>
      <c r="V56" t="n">
        <v>1404</v>
      </c>
      <c r="W56" s="29" t="n">
        <v>0.207676974759182</v>
      </c>
      <c r="X56" t="n">
        <v>1404</v>
      </c>
      <c r="Y56" s="29" t="n">
        <v>0.0317382818458636</v>
      </c>
      <c r="Z56" t="n">
        <v>1404</v>
      </c>
      <c r="AA56" s="29" t="n">
        <v>0.265293260080907</v>
      </c>
      <c r="AB56" t="n">
        <v>1404</v>
      </c>
      <c r="AC56" s="29" t="n">
        <v>0.177575861437771</v>
      </c>
      <c r="AD56" t="n">
        <v>1404</v>
      </c>
      <c r="AE56" s="29" t="n">
        <v>0.338352480312975</v>
      </c>
      <c r="AF56" t="n">
        <v>3842</v>
      </c>
      <c r="AG56" s="29" t="n">
        <v>0.26201948131608</v>
      </c>
      <c r="AH56" t="n">
        <v>1402</v>
      </c>
      <c r="AI56" s="29" t="n">
        <v>0.102797930624722</v>
      </c>
      <c r="AJ56" t="n">
        <v>1402</v>
      </c>
      <c r="AK56" s="29" t="n">
        <v>0.183577844515926</v>
      </c>
      <c r="AL56" t="n">
        <v>1402</v>
      </c>
      <c r="AM56" s="29" t="n">
        <v>0.0454234845968695</v>
      </c>
      <c r="AN56" t="n">
        <v>1402</v>
      </c>
      <c r="AO56" s="29" t="n">
        <v>0.257651412311538</v>
      </c>
      <c r="AP56" t="n">
        <v>1402</v>
      </c>
      <c r="AQ56" s="29" t="n">
        <v>0.148529846634864</v>
      </c>
      <c r="AR56" s="12" t="n">
        <v>1402</v>
      </c>
    </row>
    <row r="57" outlineLevel="1" hidden="0">
      <c r="A57" s="8" t="s">
        <v>14</v>
      </c>
      <c r="B57" s="10" t="s">
        <v>58</v>
      </c>
      <c r="C57" s="28" t="n">
        <v>0.296045146862072</v>
      </c>
      <c r="D57" s="10" t="n">
        <v>3050</v>
      </c>
      <c r="E57" s="28" t="n">
        <v>0.318217991788664</v>
      </c>
      <c r="F57" s="10" t="n">
        <v>881</v>
      </c>
      <c r="G57" s="28" t="n">
        <v>0.113725897515607</v>
      </c>
      <c r="H57" s="10" t="n">
        <v>881</v>
      </c>
      <c r="I57" s="28" t="n">
        <v>0.0771946599190001</v>
      </c>
      <c r="J57" s="10" t="n">
        <v>881</v>
      </c>
      <c r="K57" s="28" t="n">
        <v>0.0467842588726723</v>
      </c>
      <c r="L57" s="10" t="n">
        <v>881</v>
      </c>
      <c r="M57" s="28" t="n">
        <v>0.304660615043515</v>
      </c>
      <c r="N57" s="10" t="n">
        <v>881</v>
      </c>
      <c r="O57" s="28" t="n">
        <v>0.139416576860542</v>
      </c>
      <c r="P57" s="10" t="n">
        <v>881</v>
      </c>
      <c r="Q57" s="28" t="n">
        <v>0.261244983793298</v>
      </c>
      <c r="R57" s="10" t="n">
        <v>1472</v>
      </c>
      <c r="S57" s="28" t="n">
        <v>0.334882660355772</v>
      </c>
      <c r="T57" s="10" t="n">
        <v>383</v>
      </c>
      <c r="U57" s="28" t="n">
        <v>0.0105254695567823</v>
      </c>
      <c r="V57" s="10" t="n">
        <v>383</v>
      </c>
      <c r="W57" s="28" t="n">
        <v>0.095433046775834</v>
      </c>
      <c r="X57" s="10" t="n">
        <v>383</v>
      </c>
      <c r="Y57" s="28" t="n">
        <v>0.0427403777149104</v>
      </c>
      <c r="Z57" s="10" t="n">
        <v>383</v>
      </c>
      <c r="AA57" s="28" t="n">
        <v>0.338145340985349</v>
      </c>
      <c r="AB57" s="10" t="n">
        <v>383</v>
      </c>
      <c r="AC57" s="28" t="n">
        <v>0.178273104611353</v>
      </c>
      <c r="AD57" s="10" t="n">
        <v>383</v>
      </c>
      <c r="AE57" s="28" t="n">
        <v>0.326490958538424</v>
      </c>
      <c r="AF57" s="10" t="n">
        <v>1578</v>
      </c>
      <c r="AG57" s="28" t="n">
        <v>0.30653387482315</v>
      </c>
      <c r="AH57" s="10" t="n">
        <v>498</v>
      </c>
      <c r="AI57" s="28" t="n">
        <v>0.18608292437794</v>
      </c>
      <c r="AJ57" s="10" t="n">
        <v>498</v>
      </c>
      <c r="AK57" s="28" t="n">
        <v>0.0644071601592889</v>
      </c>
      <c r="AL57" s="10" t="n">
        <v>498</v>
      </c>
      <c r="AM57" s="28" t="n">
        <v>0.0496195496107786</v>
      </c>
      <c r="AN57" s="10" t="n">
        <v>498</v>
      </c>
      <c r="AO57" s="28" t="n">
        <v>0.281183433190956</v>
      </c>
      <c r="AP57" s="10" t="n">
        <v>498</v>
      </c>
      <c r="AQ57" s="28" t="n">
        <v>0.112173057837886</v>
      </c>
      <c r="AR57" s="13" t="n">
        <v>498</v>
      </c>
    </row>
    <row r="58">
      <c r="C58" s="29"/>
      <c r="E58" s="29"/>
      <c r="G58" s="29"/>
      <c r="I58" s="29"/>
      <c r="K58" s="29"/>
      <c r="M58" s="29"/>
      <c r="O58" s="29"/>
      <c r="Q58" s="29"/>
      <c r="S58" s="29"/>
      <c r="U58" s="29"/>
      <c r="W58" s="29"/>
      <c r="Y58" s="29"/>
      <c r="AA58" s="29"/>
      <c r="AC58" s="29"/>
      <c r="AE58" s="29"/>
      <c r="AG58" s="29"/>
      <c r="AI58" s="29"/>
      <c r="AK58" s="29"/>
      <c r="AM58" s="29"/>
      <c r="AO58" s="29"/>
      <c r="AQ58" s="29"/>
    </row>
    <row r="59">
      <c r="A59" s="2" t="s">
        <v>59</v>
      </c>
      <c r="B59" s="2"/>
      <c r="C59" s="25"/>
      <c r="D59" s="2"/>
      <c r="E59" s="25"/>
      <c r="F59" s="2"/>
      <c r="G59" s="25"/>
      <c r="H59" s="2"/>
      <c r="I59" s="25"/>
      <c r="J59" s="2"/>
      <c r="K59" s="25"/>
      <c r="L59" s="2"/>
      <c r="M59" s="25"/>
      <c r="N59" s="2"/>
      <c r="O59" s="25"/>
      <c r="P59" s="2"/>
      <c r="Q59" s="25"/>
      <c r="R59" s="2"/>
      <c r="S59" s="25"/>
      <c r="T59" s="2"/>
      <c r="U59" s="25"/>
      <c r="V59" s="2"/>
      <c r="W59" s="25"/>
      <c r="X59" s="2"/>
      <c r="Y59" s="25"/>
      <c r="Z59" s="2"/>
      <c r="AA59" s="25"/>
      <c r="AB59" s="2"/>
      <c r="AC59" s="25"/>
      <c r="AD59" s="2"/>
      <c r="AE59" s="25"/>
      <c r="AF59" s="2"/>
      <c r="AG59" s="25"/>
      <c r="AH59" s="2"/>
      <c r="AI59" s="25"/>
      <c r="AJ59" s="2"/>
      <c r="AK59" s="25"/>
      <c r="AL59" s="2"/>
      <c r="AM59" s="25"/>
      <c r="AN59" s="2"/>
      <c r="AO59" s="25"/>
      <c r="AP59" s="2"/>
      <c r="AQ59" s="25"/>
      <c r="AR59" s="2"/>
    </row>
    <row r="60" outlineLevel="1" hidden="0">
      <c r="A60" s="6" t="s">
        <v>14</v>
      </c>
      <c r="B60" s="9" t="s">
        <v>60</v>
      </c>
      <c r="C60" s="27" t="n">
        <v>0.335027407169478</v>
      </c>
      <c r="D60" s="9" t="n">
        <v>4707</v>
      </c>
      <c r="E60" s="27" t="n">
        <v>0.356220809655663</v>
      </c>
      <c r="F60" s="9" t="n">
        <v>1782</v>
      </c>
      <c r="G60" s="27" t="n">
        <v>0.0556333215753832</v>
      </c>
      <c r="H60" s="9" t="n">
        <v>1782</v>
      </c>
      <c r="I60" s="27" t="n">
        <v>0.190160231965032</v>
      </c>
      <c r="J60" s="9" t="n">
        <v>1782</v>
      </c>
      <c r="K60" s="27" t="n">
        <v>0.0366691937767253</v>
      </c>
      <c r="L60" s="9" t="n">
        <v>1782</v>
      </c>
      <c r="M60" s="27" t="n">
        <v>0.197275852607269</v>
      </c>
      <c r="N60" s="9" t="n">
        <v>1782</v>
      </c>
      <c r="O60" s="27" t="n">
        <v>0.164040590419927</v>
      </c>
      <c r="P60" s="9" t="n">
        <v>1782</v>
      </c>
      <c r="Q60" s="27" t="n">
        <v>0.347301600465929</v>
      </c>
      <c r="R60" s="9" t="n">
        <v>2275</v>
      </c>
      <c r="S60" s="27" t="n">
        <v>0.349494894813444</v>
      </c>
      <c r="T60" s="9" t="n">
        <v>895</v>
      </c>
      <c r="U60" s="27" t="n">
        <v>0.0202275422812417</v>
      </c>
      <c r="V60" s="9" t="n">
        <v>895</v>
      </c>
      <c r="W60" s="27" t="n">
        <v>0.21119317145152</v>
      </c>
      <c r="X60" s="9" t="n">
        <v>895</v>
      </c>
      <c r="Y60" s="27" t="n">
        <v>0.0472374091383433</v>
      </c>
      <c r="Z60" s="9" t="n">
        <v>895</v>
      </c>
      <c r="AA60" s="27" t="n">
        <v>0.20712881531136</v>
      </c>
      <c r="AB60" s="9" t="n">
        <v>895</v>
      </c>
      <c r="AC60" s="27" t="n">
        <v>0.164718167004092</v>
      </c>
      <c r="AD60" s="9" t="n">
        <v>895</v>
      </c>
      <c r="AE60" s="27" t="n">
        <v>0.323410114191384</v>
      </c>
      <c r="AF60" s="9" t="n">
        <v>2432</v>
      </c>
      <c r="AG60" s="27" t="n">
        <v>0.36308009492659</v>
      </c>
      <c r="AH60" s="9" t="n">
        <v>887</v>
      </c>
      <c r="AI60" s="27" t="n">
        <v>0.0917411739813507</v>
      </c>
      <c r="AJ60" s="9" t="n">
        <v>887</v>
      </c>
      <c r="AK60" s="27" t="n">
        <v>0.168710223243789</v>
      </c>
      <c r="AL60" s="9" t="n">
        <v>887</v>
      </c>
      <c r="AM60" s="27" t="n">
        <v>0.0258914177164502</v>
      </c>
      <c r="AN60" s="9" t="n">
        <v>887</v>
      </c>
      <c r="AO60" s="27" t="n">
        <v>0.187227512190152</v>
      </c>
      <c r="AP60" s="9" t="n">
        <v>887</v>
      </c>
      <c r="AQ60" s="27" t="n">
        <v>0.163349577941668</v>
      </c>
      <c r="AR60" s="11" t="n">
        <v>887</v>
      </c>
    </row>
    <row r="61" outlineLevel="1" hidden="0">
      <c r="A61" s="7" t="s">
        <v>14</v>
      </c>
      <c r="B61" t="s">
        <v>61</v>
      </c>
      <c r="C61" s="29" t="n">
        <v>0.317407840249125</v>
      </c>
      <c r="D61" t="n">
        <v>31</v>
      </c>
      <c r="E61" s="29" t="n">
        <v>0.705726491745641</v>
      </c>
      <c r="F61" t="n">
        <v>15</v>
      </c>
      <c r="G61" s="29"/>
      <c r="H61"/>
      <c r="I61" s="29" t="n">
        <v>0.0806935529139347</v>
      </c>
      <c r="J61" t="n">
        <v>15</v>
      </c>
      <c r="K61" s="29"/>
      <c r="L61"/>
      <c r="M61" s="29" t="n">
        <v>0.130901303131901</v>
      </c>
      <c r="N61" t="n">
        <v>15</v>
      </c>
      <c r="O61" s="29" t="n">
        <v>0.0826786522085229</v>
      </c>
      <c r="P61" t="n">
        <v>15</v>
      </c>
      <c r="Q61" s="29" t="n">
        <v>0.307060893642154</v>
      </c>
      <c r="R61" t="n">
        <v>15</v>
      </c>
      <c r="S61" s="29" t="n">
        <v>0.639768925387062</v>
      </c>
      <c r="T61" t="n">
        <v>6</v>
      </c>
      <c r="U61" s="29"/>
      <c r="V61"/>
      <c r="W61" s="29" t="n">
        <v>0.025592468886311</v>
      </c>
      <c r="X61" t="n">
        <v>6</v>
      </c>
      <c r="Y61" s="29"/>
      <c r="Z61"/>
      <c r="AA61" s="29" t="n">
        <v>0.334638605726627</v>
      </c>
      <c r="AB61" t="n">
        <v>6</v>
      </c>
      <c r="AC61" s="29"/>
      <c r="AD61"/>
      <c r="AE61" s="29" t="n">
        <v>0.324431841631354</v>
      </c>
      <c r="AF61" t="n">
        <v>16</v>
      </c>
      <c r="AG61" s="29" t="n">
        <v>0.748104256042058</v>
      </c>
      <c r="AH61" t="n">
        <v>9</v>
      </c>
      <c r="AI61" s="29"/>
      <c r="AJ61"/>
      <c r="AK61" s="29" t="n">
        <v>0.116096022718613</v>
      </c>
      <c r="AL61" t="n">
        <v>9</v>
      </c>
      <c r="AM61" s="29"/>
      <c r="AN61"/>
      <c r="AO61" s="29"/>
      <c r="AP61"/>
      <c r="AQ61" s="29" t="n">
        <v>0.13579972123933</v>
      </c>
      <c r="AR61" s="12" t="n">
        <v>9</v>
      </c>
    </row>
    <row r="62" outlineLevel="1" hidden="0">
      <c r="A62" s="7" t="s">
        <v>14</v>
      </c>
      <c r="B62" t="s">
        <v>62</v>
      </c>
      <c r="C62" s="29" t="n">
        <v>0.291536258298853</v>
      </c>
      <c r="D62" t="n">
        <v>42</v>
      </c>
      <c r="E62" s="29" t="n">
        <v>0.19490919862186</v>
      </c>
      <c r="F62" t="n">
        <v>11</v>
      </c>
      <c r="G62" s="29" t="n">
        <v>0.0235112100554228</v>
      </c>
      <c r="H62" t="n">
        <v>11</v>
      </c>
      <c r="I62" s="29" t="n">
        <v>0.0828210363738049</v>
      </c>
      <c r="J62" t="n">
        <v>11</v>
      </c>
      <c r="K62" s="29"/>
      <c r="L62"/>
      <c r="M62" s="29" t="n">
        <v>0.573941689801741</v>
      </c>
      <c r="N62" t="n">
        <v>11</v>
      </c>
      <c r="O62" s="29" t="n">
        <v>0.124816865147171</v>
      </c>
      <c r="P62" t="n">
        <v>11</v>
      </c>
      <c r="Q62" s="29" t="n">
        <v>0.193176545583615</v>
      </c>
      <c r="R62" t="n">
        <v>15</v>
      </c>
      <c r="S62" s="29"/>
      <c r="T62"/>
      <c r="U62" s="29"/>
      <c r="V62"/>
      <c r="W62" s="29" t="n">
        <v>0.261269434103921</v>
      </c>
      <c r="X62" t="n">
        <v>2</v>
      </c>
      <c r="Y62" s="29"/>
      <c r="Z62"/>
      <c r="AA62" s="29" t="n">
        <v>0.738730565896079</v>
      </c>
      <c r="AB62" t="n">
        <v>2</v>
      </c>
      <c r="AC62" s="29"/>
      <c r="AD62"/>
      <c r="AE62" s="29" t="n">
        <v>0.323891784496353</v>
      </c>
      <c r="AF62" t="n">
        <v>27</v>
      </c>
      <c r="AG62" s="29" t="n">
        <v>0.219453463493762</v>
      </c>
      <c r="AH62" t="n">
        <v>9</v>
      </c>
      <c r="AI62" s="29" t="n">
        <v>0.0264718982689061</v>
      </c>
      <c r="AJ62" t="n">
        <v>9</v>
      </c>
      <c r="AK62" s="29" t="n">
        <v>0.0603496252201848</v>
      </c>
      <c r="AL62" t="n">
        <v>9</v>
      </c>
      <c r="AM62" s="29"/>
      <c r="AN62"/>
      <c r="AO62" s="29" t="n">
        <v>0.553190376618984</v>
      </c>
      <c r="AP62" t="n">
        <v>9</v>
      </c>
      <c r="AQ62" s="29" t="n">
        <v>0.140534636398163</v>
      </c>
      <c r="AR62" s="12" t="n">
        <v>9</v>
      </c>
    </row>
    <row r="63" outlineLevel="1" hidden="0">
      <c r="A63" s="7" t="s">
        <v>14</v>
      </c>
      <c r="B63" t="s">
        <v>63</v>
      </c>
      <c r="C63" s="29" t="n">
        <v>0.258395085550945</v>
      </c>
      <c r="D63" t="n">
        <v>29</v>
      </c>
      <c r="E63" s="29" t="n">
        <v>0.238759745755081</v>
      </c>
      <c r="F63" t="n">
        <v>6</v>
      </c>
      <c r="G63" s="29"/>
      <c r="H63"/>
      <c r="I63" s="29"/>
      <c r="J63"/>
      <c r="K63" s="29"/>
      <c r="L63"/>
      <c r="M63" s="29"/>
      <c r="N63"/>
      <c r="O63" s="29" t="n">
        <v>0.761240254244919</v>
      </c>
      <c r="P63" t="n">
        <v>6</v>
      </c>
      <c r="Q63" s="29" t="n">
        <v>0.300234472713501</v>
      </c>
      <c r="R63" t="n">
        <v>13</v>
      </c>
      <c r="S63" s="29"/>
      <c r="T63"/>
      <c r="U63" s="29"/>
      <c r="V63"/>
      <c r="W63" s="29"/>
      <c r="X63"/>
      <c r="Y63" s="29"/>
      <c r="Z63"/>
      <c r="AA63" s="29"/>
      <c r="AB63"/>
      <c r="AC63" s="29" t="n">
        <v>1</v>
      </c>
      <c r="AD63" t="n">
        <v>2</v>
      </c>
      <c r="AE63" s="29" t="n">
        <v>0.219121908206244</v>
      </c>
      <c r="AF63" t="n">
        <v>16</v>
      </c>
      <c r="AG63" s="29" t="n">
        <v>0.545836249125261</v>
      </c>
      <c r="AH63" t="n">
        <v>4</v>
      </c>
      <c r="AI63" s="29"/>
      <c r="AJ63"/>
      <c r="AK63" s="29"/>
      <c r="AL63"/>
      <c r="AM63" s="29"/>
      <c r="AN63"/>
      <c r="AO63" s="29"/>
      <c r="AP63"/>
      <c r="AQ63" s="29" t="n">
        <v>0.454163750874739</v>
      </c>
      <c r="AR63" s="12" t="n">
        <v>4</v>
      </c>
    </row>
    <row r="64" outlineLevel="1" hidden="0">
      <c r="A64" s="8" t="s">
        <v>14</v>
      </c>
      <c r="B64" s="10" t="s">
        <v>64</v>
      </c>
      <c r="C64" s="28" t="n">
        <v>0.336171771932724</v>
      </c>
      <c r="D64" s="10" t="n">
        <v>7753</v>
      </c>
      <c r="E64" s="28" t="n">
        <v>0.268074755412109</v>
      </c>
      <c r="F64" s="10" t="n">
        <v>2783</v>
      </c>
      <c r="G64" s="28" t="n">
        <v>0.0867437044581184</v>
      </c>
      <c r="H64" s="10" t="n">
        <v>2783</v>
      </c>
      <c r="I64" s="28" t="n">
        <v>0.162348601003771</v>
      </c>
      <c r="J64" s="10" t="n">
        <v>2783</v>
      </c>
      <c r="K64" s="28" t="n">
        <v>0.0397027889508251</v>
      </c>
      <c r="L64" s="10" t="n">
        <v>2783</v>
      </c>
      <c r="M64" s="28" t="n">
        <v>0.298737655289518</v>
      </c>
      <c r="N64" s="10" t="n">
        <v>2783</v>
      </c>
      <c r="O64" s="28" t="n">
        <v>0.144392494885658</v>
      </c>
      <c r="P64" s="10" t="n">
        <v>2783</v>
      </c>
      <c r="Q64" s="28" t="n">
        <v>0.328146342192051</v>
      </c>
      <c r="R64" s="10" t="n">
        <v>3818</v>
      </c>
      <c r="S64" s="28" t="n">
        <v>0.284640565719317</v>
      </c>
      <c r="T64" s="10" t="n">
        <v>1361</v>
      </c>
      <c r="U64" s="28" t="n">
        <v>0.0184384338465391</v>
      </c>
      <c r="V64" s="10" t="n">
        <v>1361</v>
      </c>
      <c r="W64" s="28" t="n">
        <v>0.181454333186506</v>
      </c>
      <c r="X64" s="10" t="n">
        <v>1361</v>
      </c>
      <c r="Y64" s="28" t="n">
        <v>0.0238808684163499</v>
      </c>
      <c r="Z64" s="10" t="n">
        <v>1361</v>
      </c>
      <c r="AA64" s="28" t="n">
        <v>0.323217986686483</v>
      </c>
      <c r="AB64" s="10" t="n">
        <v>1361</v>
      </c>
      <c r="AC64" s="28" t="n">
        <v>0.168367812144805</v>
      </c>
      <c r="AD64" s="10" t="n">
        <v>1361</v>
      </c>
      <c r="AE64" s="28" t="n">
        <v>0.343434245811658</v>
      </c>
      <c r="AF64" s="10" t="n">
        <v>3935</v>
      </c>
      <c r="AG64" s="28" t="n">
        <v>0.253745294500796</v>
      </c>
      <c r="AH64" s="10" t="n">
        <v>1422</v>
      </c>
      <c r="AI64" s="28" t="n">
        <v>0.145827907833278</v>
      </c>
      <c r="AJ64" s="10" t="n">
        <v>1422</v>
      </c>
      <c r="AK64" s="28" t="n">
        <v>0.145822102304494</v>
      </c>
      <c r="AL64" s="10" t="n">
        <v>1422</v>
      </c>
      <c r="AM64" s="28" t="n">
        <v>0.0533887836372447</v>
      </c>
      <c r="AN64" s="10" t="n">
        <v>1422</v>
      </c>
      <c r="AO64" s="28" t="n">
        <v>0.277562116915992</v>
      </c>
      <c r="AP64" s="10" t="n">
        <v>1422</v>
      </c>
      <c r="AQ64" s="28" t="n">
        <v>0.123653794808196</v>
      </c>
      <c r="AR64" s="13" t="n">
        <v>1422</v>
      </c>
    </row>
    <row r="65">
      <c r="C65" s="29"/>
      <c r="E65" s="29"/>
      <c r="G65" s="29"/>
      <c r="I65" s="29"/>
      <c r="K65" s="29"/>
      <c r="M65" s="29"/>
      <c r="O65" s="29"/>
      <c r="Q65" s="29"/>
      <c r="S65" s="29"/>
      <c r="U65" s="29"/>
      <c r="W65" s="29"/>
      <c r="Y65" s="29"/>
      <c r="AA65" s="29"/>
      <c r="AC65" s="29"/>
      <c r="AE65" s="29"/>
      <c r="AG65" s="29"/>
      <c r="AI65" s="29"/>
      <c r="AK65" s="29"/>
      <c r="AM65" s="29"/>
      <c r="AO65" s="29"/>
      <c r="AQ65" s="29"/>
    </row>
    <row r="66">
      <c r="A66" s="2" t="s">
        <v>65</v>
      </c>
      <c r="B66" s="2"/>
      <c r="C66" s="25"/>
      <c r="D66" s="2"/>
      <c r="E66" s="25"/>
      <c r="F66" s="2"/>
      <c r="G66" s="25"/>
      <c r="H66" s="2"/>
      <c r="I66" s="25"/>
      <c r="J66" s="2"/>
      <c r="K66" s="25"/>
      <c r="L66" s="2"/>
      <c r="M66" s="25"/>
      <c r="N66" s="2"/>
      <c r="O66" s="25"/>
      <c r="P66" s="2"/>
      <c r="Q66" s="25"/>
      <c r="R66" s="2"/>
      <c r="S66" s="25"/>
      <c r="T66" s="2"/>
      <c r="U66" s="25"/>
      <c r="V66" s="2"/>
      <c r="W66" s="25"/>
      <c r="X66" s="2"/>
      <c r="Y66" s="25"/>
      <c r="Z66" s="2"/>
      <c r="AA66" s="25"/>
      <c r="AB66" s="2"/>
      <c r="AC66" s="25"/>
      <c r="AD66" s="2"/>
      <c r="AE66" s="25"/>
      <c r="AF66" s="2"/>
      <c r="AG66" s="25"/>
      <c r="AH66" s="2"/>
      <c r="AI66" s="25"/>
      <c r="AJ66" s="2"/>
      <c r="AK66" s="25"/>
      <c r="AL66" s="2"/>
      <c r="AM66" s="25"/>
      <c r="AN66" s="2"/>
      <c r="AO66" s="25"/>
      <c r="AP66" s="2"/>
      <c r="AQ66" s="25"/>
      <c r="AR66" s="2"/>
    </row>
    <row r="67" outlineLevel="1" hidden="0">
      <c r="A67" s="6" t="s">
        <v>14</v>
      </c>
      <c r="B67" s="9" t="s">
        <v>66</v>
      </c>
      <c r="C67" s="27" t="n">
        <v>0.329024389832127</v>
      </c>
      <c r="D67" s="9" t="n">
        <v>12200</v>
      </c>
      <c r="E67" s="27" t="n">
        <v>0.323988971408386</v>
      </c>
      <c r="F67" s="9" t="n">
        <v>4384</v>
      </c>
      <c r="G67" s="27" t="n">
        <v>0.0727051131924167</v>
      </c>
      <c r="H67" s="9" t="n">
        <v>4384</v>
      </c>
      <c r="I67" s="27" t="n">
        <v>0.180763605708583</v>
      </c>
      <c r="J67" s="9" t="n">
        <v>4384</v>
      </c>
      <c r="K67" s="27" t="n">
        <v>0.00708129349135194</v>
      </c>
      <c r="L67" s="9" t="n">
        <v>4384</v>
      </c>
      <c r="M67" s="27" t="n">
        <v>0.255882718150136</v>
      </c>
      <c r="N67" s="9" t="n">
        <v>4384</v>
      </c>
      <c r="O67" s="27" t="n">
        <v>0.159578298049126</v>
      </c>
      <c r="P67" s="9" t="n">
        <v>4384</v>
      </c>
      <c r="Q67" s="27" t="n">
        <v>0.333148912983785</v>
      </c>
      <c r="R67" s="9" t="n">
        <v>5973</v>
      </c>
      <c r="S67" s="27" t="n">
        <v>0.330765245151911</v>
      </c>
      <c r="T67" s="9" t="n">
        <v>2182</v>
      </c>
      <c r="U67" s="27" t="n">
        <v>0.0202616157007226</v>
      </c>
      <c r="V67" s="9" t="n">
        <v>2182</v>
      </c>
      <c r="W67" s="27" t="n">
        <v>0.201762976905081</v>
      </c>
      <c r="X67" s="9" t="n">
        <v>2182</v>
      </c>
      <c r="Y67" s="27" t="n">
        <v>0.00535491723553944</v>
      </c>
      <c r="Z67" s="9" t="n">
        <v>2182</v>
      </c>
      <c r="AA67" s="27" t="n">
        <v>0.270458259243533</v>
      </c>
      <c r="AB67" s="9" t="n">
        <v>2182</v>
      </c>
      <c r="AC67" s="27" t="n">
        <v>0.171396985763213</v>
      </c>
      <c r="AD67" s="9" t="n">
        <v>2182</v>
      </c>
      <c r="AE67" s="27" t="n">
        <v>0.325240845708554</v>
      </c>
      <c r="AF67" s="9" t="n">
        <v>6227</v>
      </c>
      <c r="AG67" s="27" t="n">
        <v>0.317607488090938</v>
      </c>
      <c r="AH67" s="9" t="n">
        <v>2202</v>
      </c>
      <c r="AI67" s="27" t="n">
        <v>0.122093216008024</v>
      </c>
      <c r="AJ67" s="9" t="n">
        <v>2202</v>
      </c>
      <c r="AK67" s="27" t="n">
        <v>0.160987672498179</v>
      </c>
      <c r="AL67" s="9" t="n">
        <v>2202</v>
      </c>
      <c r="AM67" s="27" t="n">
        <v>0.00870708986456282</v>
      </c>
      <c r="AN67" s="9" t="n">
        <v>2202</v>
      </c>
      <c r="AO67" s="27" t="n">
        <v>0.242156358228627</v>
      </c>
      <c r="AP67" s="9" t="n">
        <v>2202</v>
      </c>
      <c r="AQ67" s="27" t="n">
        <v>0.14844817530967</v>
      </c>
      <c r="AR67" s="11" t="n">
        <v>2202</v>
      </c>
    </row>
    <row r="68" outlineLevel="1" hidden="0">
      <c r="A68" s="8" t="s">
        <v>14</v>
      </c>
      <c r="B68" s="10" t="s">
        <v>67</v>
      </c>
      <c r="C68" s="28" t="n">
        <v>0.541735179502744</v>
      </c>
      <c r="D68" s="10" t="n">
        <v>362</v>
      </c>
      <c r="E68" s="28" t="n">
        <v>0.1134593785718</v>
      </c>
      <c r="F68" s="10" t="n">
        <v>213</v>
      </c>
      <c r="G68" s="28" t="n">
        <v>0.0198498735774556</v>
      </c>
      <c r="H68" s="10" t="n">
        <v>213</v>
      </c>
      <c r="I68" s="28" t="n">
        <v>0.0835337582398701</v>
      </c>
      <c r="J68" s="10" t="n">
        <v>213</v>
      </c>
      <c r="K68" s="28" t="n">
        <v>0.66014138162331</v>
      </c>
      <c r="L68" s="10" t="n">
        <v>213</v>
      </c>
      <c r="M68" s="28" t="n">
        <v>0.0544639457751283</v>
      </c>
      <c r="N68" s="10" t="n">
        <v>213</v>
      </c>
      <c r="O68" s="28" t="n">
        <v>0.0685516622124359</v>
      </c>
      <c r="P68" s="10" t="n">
        <v>213</v>
      </c>
      <c r="Q68" s="28" t="n">
        <v>0.479075064320647</v>
      </c>
      <c r="R68" s="10" t="n">
        <v>163</v>
      </c>
      <c r="S68" s="28" t="n">
        <v>0.0804188975137601</v>
      </c>
      <c r="T68" s="10" t="n">
        <v>84</v>
      </c>
      <c r="U68" s="28"/>
      <c r="V68" s="10"/>
      <c r="W68" s="28" t="n">
        <v>0.0990963055688178</v>
      </c>
      <c r="X68" s="10" t="n">
        <v>84</v>
      </c>
      <c r="Y68" s="28" t="n">
        <v>0.689420705626679</v>
      </c>
      <c r="Z68" s="10" t="n">
        <v>84</v>
      </c>
      <c r="AA68" s="28" t="n">
        <v>0.0467745203657752</v>
      </c>
      <c r="AB68" s="10" t="n">
        <v>84</v>
      </c>
      <c r="AC68" s="28" t="n">
        <v>0.0842895709249681</v>
      </c>
      <c r="AD68" s="10" t="n">
        <v>84</v>
      </c>
      <c r="AE68" s="28" t="n">
        <v>0.612308773246769</v>
      </c>
      <c r="AF68" s="10" t="n">
        <v>199</v>
      </c>
      <c r="AG68" s="28" t="n">
        <v>0.142250824634675</v>
      </c>
      <c r="AH68" s="10" t="n">
        <v>129</v>
      </c>
      <c r="AI68" s="28" t="n">
        <v>0.037147035911632</v>
      </c>
      <c r="AJ68" s="10" t="n">
        <v>129</v>
      </c>
      <c r="AK68" s="28" t="n">
        <v>0.0699725682185976</v>
      </c>
      <c r="AL68" s="10" t="n">
        <v>129</v>
      </c>
      <c r="AM68" s="28" t="n">
        <v>0.634627404501742</v>
      </c>
      <c r="AN68" s="10" t="n">
        <v>129</v>
      </c>
      <c r="AO68" s="28" t="n">
        <v>0.061164504297233</v>
      </c>
      <c r="AP68" s="10" t="n">
        <v>129</v>
      </c>
      <c r="AQ68" s="28" t="n">
        <v>0.0548376624361203</v>
      </c>
      <c r="AR68" s="13" t="n">
        <v>129</v>
      </c>
    </row>
    <row r="69">
      <c r="C69" s="29"/>
      <c r="E69" s="29"/>
      <c r="G69" s="29"/>
      <c r="I69" s="29"/>
      <c r="K69" s="29"/>
      <c r="M69" s="29"/>
      <c r="O69" s="29"/>
      <c r="Q69" s="29"/>
      <c r="S69" s="29"/>
      <c r="U69" s="29"/>
      <c r="W69" s="29"/>
      <c r="Y69" s="29"/>
      <c r="AA69" s="29"/>
      <c r="AC69" s="29"/>
      <c r="AE69" s="29"/>
      <c r="AG69" s="29"/>
      <c r="AI69" s="29"/>
      <c r="AK69" s="29"/>
      <c r="AM69" s="29"/>
      <c r="AO69" s="29"/>
      <c r="AQ69" s="29"/>
    </row>
    <row r="70">
      <c r="A70" s="2" t="s">
        <v>68</v>
      </c>
      <c r="B70" s="2"/>
      <c r="C70" s="25"/>
      <c r="D70" s="2"/>
      <c r="E70" s="25"/>
      <c r="F70" s="2"/>
      <c r="G70" s="25"/>
      <c r="H70" s="2"/>
      <c r="I70" s="25"/>
      <c r="J70" s="2"/>
      <c r="K70" s="25"/>
      <c r="L70" s="2"/>
      <c r="M70" s="25"/>
      <c r="N70" s="2"/>
      <c r="O70" s="25"/>
      <c r="P70" s="2"/>
      <c r="Q70" s="25"/>
      <c r="R70" s="2"/>
      <c r="S70" s="25"/>
      <c r="T70" s="2"/>
      <c r="U70" s="25"/>
      <c r="V70" s="2"/>
      <c r="W70" s="25"/>
      <c r="X70" s="2"/>
      <c r="Y70" s="25"/>
      <c r="Z70" s="2"/>
      <c r="AA70" s="25"/>
      <c r="AB70" s="2"/>
      <c r="AC70" s="25"/>
      <c r="AD70" s="2"/>
      <c r="AE70" s="25"/>
      <c r="AF70" s="2"/>
      <c r="AG70" s="25"/>
      <c r="AH70" s="2"/>
      <c r="AI70" s="25"/>
      <c r="AJ70" s="2"/>
      <c r="AK70" s="25"/>
      <c r="AL70" s="2"/>
      <c r="AM70" s="25"/>
      <c r="AN70" s="2"/>
      <c r="AO70" s="25"/>
      <c r="AP70" s="2"/>
      <c r="AQ70" s="25"/>
      <c r="AR70" s="2"/>
    </row>
    <row r="71" outlineLevel="1" hidden="0">
      <c r="A71" s="6" t="s">
        <v>14</v>
      </c>
      <c r="B71" s="9" t="s">
        <v>66</v>
      </c>
      <c r="C71" s="27" t="n">
        <v>0.329596723603265</v>
      </c>
      <c r="D71" s="9" t="n">
        <v>12064</v>
      </c>
      <c r="E71" s="27" t="n">
        <v>0.324785961340566</v>
      </c>
      <c r="F71" s="9" t="n">
        <v>4343</v>
      </c>
      <c r="G71" s="27" t="n">
        <v>0.0723866903266102</v>
      </c>
      <c r="H71" s="9" t="n">
        <v>4343</v>
      </c>
      <c r="I71" s="27" t="n">
        <v>0.180008656591567</v>
      </c>
      <c r="J71" s="9" t="n">
        <v>4343</v>
      </c>
      <c r="K71" s="27" t="n">
        <v>0.00622154564724699</v>
      </c>
      <c r="L71" s="9" t="n">
        <v>4343</v>
      </c>
      <c r="M71" s="27" t="n">
        <v>0.257218932993394</v>
      </c>
      <c r="N71" s="9" t="n">
        <v>4343</v>
      </c>
      <c r="O71" s="27" t="n">
        <v>0.159378213100616</v>
      </c>
      <c r="P71" s="9" t="n">
        <v>4343</v>
      </c>
      <c r="Q71" s="27" t="n">
        <v>0.332352493609212</v>
      </c>
      <c r="R71" s="9" t="n">
        <v>5917</v>
      </c>
      <c r="S71" s="27" t="n">
        <v>0.331106066712689</v>
      </c>
      <c r="T71" s="9" t="n">
        <v>2163</v>
      </c>
      <c r="U71" s="27" t="n">
        <v>0.0204798979698797</v>
      </c>
      <c r="V71" s="9" t="n">
        <v>2163</v>
      </c>
      <c r="W71" s="27" t="n">
        <v>0.20030015143452</v>
      </c>
      <c r="X71" s="9" t="n">
        <v>2163</v>
      </c>
      <c r="Y71" s="27" t="n">
        <v>0.00497148470595994</v>
      </c>
      <c r="Z71" s="9" t="n">
        <v>2163</v>
      </c>
      <c r="AA71" s="27" t="n">
        <v>0.272748383359298</v>
      </c>
      <c r="AB71" s="9" t="n">
        <v>2163</v>
      </c>
      <c r="AC71" s="27" t="n">
        <v>0.170394015817654</v>
      </c>
      <c r="AD71" s="9" t="n">
        <v>2163</v>
      </c>
      <c r="AE71" s="27" t="n">
        <v>0.327054106841328</v>
      </c>
      <c r="AF71" s="9" t="n">
        <v>6147</v>
      </c>
      <c r="AG71" s="27" t="n">
        <v>0.318846861401809</v>
      </c>
      <c r="AH71" s="9" t="n">
        <v>2180</v>
      </c>
      <c r="AI71" s="27" t="n">
        <v>0.121164299109322</v>
      </c>
      <c r="AJ71" s="9" t="n">
        <v>2180</v>
      </c>
      <c r="AK71" s="27" t="n">
        <v>0.160940427711929</v>
      </c>
      <c r="AL71" s="9" t="n">
        <v>2180</v>
      </c>
      <c r="AM71" s="27" t="n">
        <v>0.00739624708380653</v>
      </c>
      <c r="AN71" s="9" t="n">
        <v>2180</v>
      </c>
      <c r="AO71" s="27" t="n">
        <v>0.242625670336115</v>
      </c>
      <c r="AP71" s="9" t="n">
        <v>2180</v>
      </c>
      <c r="AQ71" s="27" t="n">
        <v>0.149026494357019</v>
      </c>
      <c r="AR71" s="11" t="n">
        <v>2180</v>
      </c>
    </row>
    <row r="72" outlineLevel="1" hidden="0">
      <c r="A72" s="8" t="s">
        <v>14</v>
      </c>
      <c r="B72" s="10" t="s">
        <v>67</v>
      </c>
      <c r="C72" s="28" t="n">
        <v>0.470266016283078</v>
      </c>
      <c r="D72" s="10" t="n">
        <v>498</v>
      </c>
      <c r="E72" s="28" t="n">
        <v>0.134162166321649</v>
      </c>
      <c r="F72" s="10" t="n">
        <v>254</v>
      </c>
      <c r="G72" s="28" t="n">
        <v>0.0337373655597269</v>
      </c>
      <c r="H72" s="10" t="n">
        <v>254</v>
      </c>
      <c r="I72" s="28" t="n">
        <v>0.111916055269494</v>
      </c>
      <c r="J72" s="10" t="n">
        <v>254</v>
      </c>
      <c r="K72" s="28" t="n">
        <v>0.568897303992347</v>
      </c>
      <c r="L72" s="10" t="n">
        <v>254</v>
      </c>
      <c r="M72" s="28" t="n">
        <v>0.0646557942787758</v>
      </c>
      <c r="N72" s="10" t="n">
        <v>254</v>
      </c>
      <c r="O72" s="28" t="n">
        <v>0.0866313145780072</v>
      </c>
      <c r="P72" s="10" t="n">
        <v>254</v>
      </c>
      <c r="Q72" s="28" t="n">
        <v>0.46906803619396</v>
      </c>
      <c r="R72" s="10" t="n">
        <v>219</v>
      </c>
      <c r="S72" s="28" t="n">
        <v>0.120459362897522</v>
      </c>
      <c r="T72" s="10" t="n">
        <v>103</v>
      </c>
      <c r="U72" s="28"/>
      <c r="V72" s="10"/>
      <c r="W72" s="28" t="n">
        <v>0.142750726073305</v>
      </c>
      <c r="X72" s="10" t="n">
        <v>103</v>
      </c>
      <c r="Y72" s="28" t="n">
        <v>0.570701002540796</v>
      </c>
      <c r="Z72" s="10" t="n">
        <v>103</v>
      </c>
      <c r="AA72" s="28" t="n">
        <v>0.0488080377479297</v>
      </c>
      <c r="AB72" s="10" t="n">
        <v>103</v>
      </c>
      <c r="AC72" s="28" t="n">
        <v>0.117280870740447</v>
      </c>
      <c r="AD72" s="10" t="n">
        <v>103</v>
      </c>
      <c r="AE72" s="28" t="n">
        <v>0.471377578452347</v>
      </c>
      <c r="AF72" s="10" t="n">
        <v>279</v>
      </c>
      <c r="AG72" s="28" t="n">
        <v>0.146698786045006</v>
      </c>
      <c r="AH72" s="10" t="n">
        <v>151</v>
      </c>
      <c r="AI72" s="28" t="n">
        <v>0.0646034963359653</v>
      </c>
      <c r="AJ72" s="10" t="n">
        <v>151</v>
      </c>
      <c r="AK72" s="28" t="n">
        <v>0.0837055840106238</v>
      </c>
      <c r="AL72" s="10" t="n">
        <v>151</v>
      </c>
      <c r="AM72" s="28" t="n">
        <v>0.567247110079643</v>
      </c>
      <c r="AN72" s="10" t="n">
        <v>151</v>
      </c>
      <c r="AO72" s="28" t="n">
        <v>0.079154819839177</v>
      </c>
      <c r="AP72" s="10" t="n">
        <v>151</v>
      </c>
      <c r="AQ72" s="28" t="n">
        <v>0.0585902036895849</v>
      </c>
      <c r="AR72" s="13" t="n">
        <v>151</v>
      </c>
    </row>
    <row r="73">
      <c r="C73" s="29"/>
      <c r="E73" s="29"/>
      <c r="G73" s="29"/>
      <c r="I73" s="29"/>
      <c r="K73" s="29"/>
      <c r="M73" s="29"/>
      <c r="O73" s="29"/>
      <c r="Q73" s="29"/>
      <c r="S73" s="29"/>
      <c r="U73" s="29"/>
      <c r="W73" s="29"/>
      <c r="Y73" s="29"/>
      <c r="AA73" s="29"/>
      <c r="AC73" s="29"/>
      <c r="AE73" s="29"/>
      <c r="AG73" s="29"/>
      <c r="AI73" s="29"/>
      <c r="AK73" s="29"/>
      <c r="AM73" s="29"/>
      <c r="AO73" s="29"/>
      <c r="AQ73" s="29"/>
    </row>
    <row r="74">
      <c r="C74" s="29"/>
      <c r="E74" s="29"/>
      <c r="G74" s="29"/>
      <c r="I74" s="29"/>
      <c r="K74" s="29"/>
      <c r="M74" s="29"/>
      <c r="O74" s="29"/>
      <c r="Q74" s="29"/>
      <c r="S74" s="29"/>
      <c r="U74" s="29"/>
      <c r="W74" s="29"/>
      <c r="Y74" s="29"/>
      <c r="AA74" s="29"/>
      <c r="AC74" s="29"/>
      <c r="AE74" s="29"/>
      <c r="AG74" s="29"/>
      <c r="AI74" s="29"/>
      <c r="AK74" s="29"/>
      <c r="AM74" s="29"/>
      <c r="AO74" s="29"/>
      <c r="AQ74" s="29"/>
    </row>
  </sheetData>
  <mergeCells count="38">
    <mergeCell ref="A1:AR1"/>
    <mergeCell ref="C2:P2"/>
    <mergeCell ref="Q2:AD2"/>
    <mergeCell ref="AE2:AR2"/>
    <mergeCell ref="E3:P3"/>
    <mergeCell ref="S3:AD3"/>
    <mergeCell ref="AG3:AR3"/>
    <mergeCell ref="E4:F4"/>
    <mergeCell ref="G4:H4"/>
    <mergeCell ref="I4:J4"/>
    <mergeCell ref="K4:L4"/>
    <mergeCell ref="M4:N4"/>
    <mergeCell ref="O4:P4"/>
    <mergeCell ref="C4:D4"/>
    <mergeCell ref="S4:T4"/>
    <mergeCell ref="U4:V4"/>
    <mergeCell ref="W4:X4"/>
    <mergeCell ref="Y4:Z4"/>
    <mergeCell ref="AA4:AB4"/>
    <mergeCell ref="AC4:AD4"/>
    <mergeCell ref="Q4:R4"/>
    <mergeCell ref="AG4:AH4"/>
    <mergeCell ref="AI4:AJ4"/>
    <mergeCell ref="AK4:AL4"/>
    <mergeCell ref="AM4:AN4"/>
    <mergeCell ref="AO4:AP4"/>
    <mergeCell ref="AQ4:AR4"/>
    <mergeCell ref="AE4:AF4"/>
    <mergeCell ref="A6:AR6"/>
    <mergeCell ref="A9:AR9"/>
    <mergeCell ref="A15:AR15"/>
    <mergeCell ref="A22:AR22"/>
    <mergeCell ref="A45:AR45"/>
    <mergeCell ref="A50:AR50"/>
    <mergeCell ref="A54:AR54"/>
    <mergeCell ref="A59:AR59"/>
    <mergeCell ref="A66:AR66"/>
    <mergeCell ref="A70:AR7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C2" s="2" t="s">
        <v>2</v>
      </c>
      <c r="D2" s="2"/>
      <c r="E2" s="2"/>
      <c r="F2" s="2"/>
      <c r="G2" s="2"/>
      <c r="H2" s="2"/>
      <c r="I2" s="2" t="s">
        <v>3</v>
      </c>
      <c r="J2" s="2"/>
      <c r="K2" s="2"/>
      <c r="L2" s="2"/>
      <c r="M2" s="2"/>
      <c r="N2" s="2"/>
      <c r="O2" s="2" t="s">
        <v>4</v>
      </c>
      <c r="P2" s="2"/>
      <c r="Q2" s="2"/>
      <c r="R2" s="2"/>
      <c r="S2" s="2"/>
      <c r="T2" s="2"/>
    </row>
    <row r="3">
      <c r="E3" s="2" t="s">
        <v>83</v>
      </c>
      <c r="F3" s="2"/>
      <c r="G3" s="2"/>
      <c r="H3" s="2"/>
      <c r="K3" s="2" t="s">
        <v>83</v>
      </c>
      <c r="L3" s="2"/>
      <c r="M3" s="2"/>
      <c r="N3" s="2"/>
      <c r="Q3" s="2" t="s">
        <v>83</v>
      </c>
      <c r="R3" s="2"/>
      <c r="S3" s="2"/>
      <c r="T3" s="2"/>
    </row>
    <row r="4">
      <c r="C4" s="2" t="s">
        <v>9</v>
      </c>
      <c r="D4" s="2"/>
      <c r="E4" s="2" t="s">
        <v>84</v>
      </c>
      <c r="F4" s="2"/>
      <c r="G4" s="2" t="s">
        <v>85</v>
      </c>
      <c r="H4" s="2"/>
      <c r="I4" s="2" t="s">
        <v>9</v>
      </c>
      <c r="J4" s="2"/>
      <c r="K4" s="2" t="s">
        <v>84</v>
      </c>
      <c r="L4" s="2"/>
      <c r="M4" s="2" t="s">
        <v>85</v>
      </c>
      <c r="N4" s="2"/>
      <c r="O4" s="2" t="s">
        <v>9</v>
      </c>
      <c r="P4" s="2"/>
      <c r="Q4" s="2" t="s">
        <v>84</v>
      </c>
      <c r="R4" s="2"/>
      <c r="S4" s="2" t="s">
        <v>85</v>
      </c>
      <c r="T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</row>
    <row r="6">
      <c r="A6" s="2" t="s">
        <v>15</v>
      </c>
      <c r="B6" s="2"/>
      <c r="C6" s="30"/>
      <c r="D6" s="2"/>
      <c r="E6" s="30"/>
      <c r="F6" s="2"/>
      <c r="G6" s="30"/>
      <c r="H6" s="2"/>
      <c r="I6" s="30"/>
      <c r="J6" s="2"/>
      <c r="K6" s="30"/>
      <c r="L6" s="2"/>
      <c r="M6" s="30"/>
      <c r="N6" s="2"/>
      <c r="O6" s="30"/>
      <c r="P6" s="2"/>
      <c r="Q6" s="30"/>
      <c r="R6" s="2"/>
      <c r="S6" s="30"/>
      <c r="T6" s="2"/>
    </row>
    <row r="7" outlineLevel="1" hidden="0">
      <c r="A7" s="3" t="s">
        <v>14</v>
      </c>
      <c r="B7" s="4" t="s">
        <v>16</v>
      </c>
      <c r="C7" s="31" t="n">
        <v>0.481042510822803</v>
      </c>
      <c r="D7" s="4" t="n">
        <v>1065</v>
      </c>
      <c r="E7" s="31" t="n">
        <v>0.481042510822803</v>
      </c>
      <c r="F7" s="4" t="n">
        <v>1065</v>
      </c>
      <c r="G7" s="31" t="n">
        <v>0.34443843007644</v>
      </c>
      <c r="H7" s="4" t="n">
        <v>1065</v>
      </c>
      <c r="I7" s="31" t="n">
        <v>0.41931118902598</v>
      </c>
      <c r="J7" s="4" t="n">
        <v>509</v>
      </c>
      <c r="K7" s="31" t="n">
        <v>0.41931118902598</v>
      </c>
      <c r="L7" s="4" t="n">
        <v>509</v>
      </c>
      <c r="M7" s="31" t="n">
        <v>0.316593855343881</v>
      </c>
      <c r="N7" s="4" t="n">
        <v>509</v>
      </c>
      <c r="O7" s="31" t="n">
        <v>0.536643898443554</v>
      </c>
      <c r="P7" s="4" t="n">
        <v>556</v>
      </c>
      <c r="Q7" s="31" t="n">
        <v>0.536643898443554</v>
      </c>
      <c r="R7" s="4" t="n">
        <v>556</v>
      </c>
      <c r="S7" s="31" t="n">
        <v>0.369518032258549</v>
      </c>
      <c r="T7" s="5" t="n">
        <v>556</v>
      </c>
    </row>
    <row r="8">
      <c r="C8" s="34"/>
      <c r="E8" s="34"/>
      <c r="G8" s="34"/>
      <c r="I8" s="34"/>
      <c r="K8" s="34"/>
      <c r="M8" s="34"/>
      <c r="O8" s="34"/>
      <c r="Q8" s="34"/>
      <c r="S8" s="34"/>
    </row>
    <row r="9">
      <c r="A9" s="2" t="s">
        <v>20</v>
      </c>
      <c r="B9" s="2"/>
      <c r="C9" s="30"/>
      <c r="D9" s="2"/>
      <c r="E9" s="30"/>
      <c r="F9" s="2"/>
      <c r="G9" s="30"/>
      <c r="H9" s="2"/>
      <c r="I9" s="30"/>
      <c r="J9" s="2"/>
      <c r="K9" s="30"/>
      <c r="L9" s="2"/>
      <c r="M9" s="30"/>
      <c r="N9" s="2"/>
      <c r="O9" s="30"/>
      <c r="P9" s="2"/>
      <c r="Q9" s="30"/>
      <c r="R9" s="2"/>
      <c r="S9" s="30"/>
      <c r="T9" s="2"/>
    </row>
    <row r="10" outlineLevel="1" hidden="0">
      <c r="A10" s="6" t="s">
        <v>14</v>
      </c>
      <c r="B10" s="9" t="s">
        <v>21</v>
      </c>
      <c r="C10" s="32" t="n">
        <v>0.648941441557125</v>
      </c>
      <c r="D10" s="9" t="n">
        <v>255</v>
      </c>
      <c r="E10" s="32" t="n">
        <v>0.648941441557125</v>
      </c>
      <c r="F10" s="9" t="n">
        <v>255</v>
      </c>
      <c r="G10" s="32" t="n">
        <v>0.476376899763936</v>
      </c>
      <c r="H10" s="9" t="n">
        <v>255</v>
      </c>
      <c r="I10" s="32" t="n">
        <v>0.601678116635492</v>
      </c>
      <c r="J10" s="9" t="n">
        <v>129</v>
      </c>
      <c r="K10" s="32" t="n">
        <v>0.601678116635492</v>
      </c>
      <c r="L10" s="9" t="n">
        <v>129</v>
      </c>
      <c r="M10" s="32" t="n">
        <v>0.453333890888709</v>
      </c>
      <c r="N10" s="9" t="n">
        <v>129</v>
      </c>
      <c r="O10" s="32" t="n">
        <v>0.69555116590465</v>
      </c>
      <c r="P10" s="9" t="n">
        <v>126</v>
      </c>
      <c r="Q10" s="32" t="n">
        <v>0.69555116590465</v>
      </c>
      <c r="R10" s="9" t="n">
        <v>126</v>
      </c>
      <c r="S10" s="32" t="n">
        <v>0.499101248793395</v>
      </c>
      <c r="T10" s="11" t="n">
        <v>126</v>
      </c>
    </row>
    <row r="11" outlineLevel="1" hidden="0">
      <c r="A11" s="7" t="s">
        <v>14</v>
      </c>
      <c r="B11" t="s">
        <v>22</v>
      </c>
      <c r="C11" s="34" t="n">
        <v>0.417863019706595</v>
      </c>
      <c r="D11" t="n">
        <v>239</v>
      </c>
      <c r="E11" s="34" t="n">
        <v>0.417863019706595</v>
      </c>
      <c r="F11" t="n">
        <v>239</v>
      </c>
      <c r="G11" s="34" t="n">
        <v>0.238466094431324</v>
      </c>
      <c r="H11" t="n">
        <v>239</v>
      </c>
      <c r="I11" s="34" t="n">
        <v>0.327135701815348</v>
      </c>
      <c r="J11" t="n">
        <v>104</v>
      </c>
      <c r="K11" s="34" t="n">
        <v>0.327135701815348</v>
      </c>
      <c r="L11" t="n">
        <v>104</v>
      </c>
      <c r="M11" s="34" t="n">
        <v>0.218628823721617</v>
      </c>
      <c r="N11" t="n">
        <v>104</v>
      </c>
      <c r="O11" s="34" t="n">
        <v>0.494305054567428</v>
      </c>
      <c r="P11" t="n">
        <v>135</v>
      </c>
      <c r="Q11" s="34" t="n">
        <v>0.494305054567428</v>
      </c>
      <c r="R11" t="n">
        <v>135</v>
      </c>
      <c r="S11" s="34" t="n">
        <v>0.255179928526506</v>
      </c>
      <c r="T11" s="12" t="n">
        <v>135</v>
      </c>
    </row>
    <row r="12" outlineLevel="1" hidden="0">
      <c r="A12" s="7" t="s">
        <v>14</v>
      </c>
      <c r="B12" t="s">
        <v>23</v>
      </c>
      <c r="C12" s="34" t="n">
        <v>0.371696204644139</v>
      </c>
      <c r="D12" t="n">
        <v>237</v>
      </c>
      <c r="E12" s="34" t="n">
        <v>0.371696204644139</v>
      </c>
      <c r="F12" t="n">
        <v>237</v>
      </c>
      <c r="G12" s="34" t="n">
        <v>0.251650641701435</v>
      </c>
      <c r="H12" t="n">
        <v>237</v>
      </c>
      <c r="I12" s="34" t="n">
        <v>0.304138724733802</v>
      </c>
      <c r="J12" t="n">
        <v>115</v>
      </c>
      <c r="K12" s="34" t="n">
        <v>0.304138724733802</v>
      </c>
      <c r="L12" t="n">
        <v>115</v>
      </c>
      <c r="M12" s="34" t="n">
        <v>0.20035742133793</v>
      </c>
      <c r="N12" t="n">
        <v>115</v>
      </c>
      <c r="O12" s="34" t="n">
        <v>0.43692257013925</v>
      </c>
      <c r="P12" t="n">
        <v>122</v>
      </c>
      <c r="Q12" s="34" t="n">
        <v>0.43692257013925</v>
      </c>
      <c r="R12" t="n">
        <v>122</v>
      </c>
      <c r="S12" s="34" t="n">
        <v>0.301173956414946</v>
      </c>
      <c r="T12" s="12" t="n">
        <v>122</v>
      </c>
    </row>
    <row r="13" outlineLevel="1" hidden="0">
      <c r="A13" s="7" t="s">
        <v>14</v>
      </c>
      <c r="B13" t="s">
        <v>24</v>
      </c>
      <c r="C13" s="34" t="n">
        <v>0.530969961183879</v>
      </c>
      <c r="D13" t="n">
        <v>161</v>
      </c>
      <c r="E13" s="34" t="n">
        <v>0.530969961183879</v>
      </c>
      <c r="F13" t="n">
        <v>161</v>
      </c>
      <c r="G13" s="34" t="n">
        <v>0.523232867391305</v>
      </c>
      <c r="H13" t="n">
        <v>161</v>
      </c>
      <c r="I13" s="34" t="n">
        <v>0.557087003935819</v>
      </c>
      <c r="J13" t="n">
        <v>77</v>
      </c>
      <c r="K13" s="34" t="n">
        <v>0.557087003935819</v>
      </c>
      <c r="L13" t="n">
        <v>77</v>
      </c>
      <c r="M13" s="34" t="n">
        <v>0.548951356162725</v>
      </c>
      <c r="N13" t="n">
        <v>77</v>
      </c>
      <c r="O13" s="34" t="n">
        <v>0.508668083346803</v>
      </c>
      <c r="P13" t="n">
        <v>84</v>
      </c>
      <c r="Q13" s="34" t="n">
        <v>0.508668083346803</v>
      </c>
      <c r="R13" t="n">
        <v>84</v>
      </c>
      <c r="S13" s="34" t="n">
        <v>0.501271322962933</v>
      </c>
      <c r="T13" s="12" t="n">
        <v>84</v>
      </c>
    </row>
    <row r="14" outlineLevel="1" hidden="0">
      <c r="A14" s="8" t="s">
        <v>14</v>
      </c>
      <c r="B14" s="10" t="s">
        <v>25</v>
      </c>
      <c r="C14" s="33" t="n">
        <v>0.482607006402319</v>
      </c>
      <c r="D14" s="10" t="n">
        <v>173</v>
      </c>
      <c r="E14" s="33" t="n">
        <v>0.482607006402319</v>
      </c>
      <c r="F14" s="10" t="n">
        <v>173</v>
      </c>
      <c r="G14" s="33" t="n">
        <v>0.443872623652795</v>
      </c>
      <c r="H14" s="10" t="n">
        <v>173</v>
      </c>
      <c r="I14" s="33" t="n">
        <v>0.409722987038273</v>
      </c>
      <c r="J14" s="10" t="n">
        <v>84</v>
      </c>
      <c r="K14" s="33" t="n">
        <v>0.409722987038273</v>
      </c>
      <c r="L14" s="10" t="n">
        <v>84</v>
      </c>
      <c r="M14" s="33" t="n">
        <v>0.36432645416205</v>
      </c>
      <c r="N14" s="10" t="n">
        <v>84</v>
      </c>
      <c r="O14" s="33" t="n">
        <v>0.544768281989702</v>
      </c>
      <c r="P14" s="10" t="n">
        <v>89</v>
      </c>
      <c r="Q14" s="33" t="n">
        <v>0.544768281989702</v>
      </c>
      <c r="R14" s="10" t="n">
        <v>89</v>
      </c>
      <c r="S14" s="33" t="n">
        <v>0.511715909557993</v>
      </c>
      <c r="T14" s="13" t="n">
        <v>89</v>
      </c>
    </row>
    <row r="15">
      <c r="C15" s="34"/>
      <c r="E15" s="34"/>
      <c r="G15" s="34"/>
      <c r="I15" s="34"/>
      <c r="K15" s="34"/>
      <c r="M15" s="34"/>
      <c r="O15" s="34"/>
      <c r="Q15" s="34"/>
      <c r="S15" s="34"/>
    </row>
    <row r="16">
      <c r="A16" s="2" t="s">
        <v>26</v>
      </c>
      <c r="B16" s="2"/>
      <c r="C16" s="30"/>
      <c r="D16" s="2"/>
      <c r="E16" s="30"/>
      <c r="F16" s="2"/>
      <c r="G16" s="30"/>
      <c r="H16" s="2"/>
      <c r="I16" s="30"/>
      <c r="J16" s="2"/>
      <c r="K16" s="30"/>
      <c r="L16" s="2"/>
      <c r="M16" s="30"/>
      <c r="N16" s="2"/>
      <c r="O16" s="30"/>
      <c r="P16" s="2"/>
      <c r="Q16" s="30"/>
      <c r="R16" s="2"/>
      <c r="S16" s="30"/>
      <c r="T16" s="2"/>
    </row>
    <row r="17" outlineLevel="1" hidden="0">
      <c r="A17" s="6" t="s">
        <v>14</v>
      </c>
      <c r="B17" s="9" t="s">
        <v>27</v>
      </c>
      <c r="C17" s="32" t="n">
        <v>0.826865993824515</v>
      </c>
      <c r="D17" s="9" t="n">
        <v>19</v>
      </c>
      <c r="E17" s="32" t="n">
        <v>0.826865993824515</v>
      </c>
      <c r="F17" s="9" t="n">
        <v>19</v>
      </c>
      <c r="G17" s="32" t="n">
        <v>0.229791796249374</v>
      </c>
      <c r="H17" s="9" t="n">
        <v>19</v>
      </c>
      <c r="I17" s="32" t="n">
        <v>0.671741449969768</v>
      </c>
      <c r="J17" s="9" t="n">
        <v>11</v>
      </c>
      <c r="K17" s="32" t="n">
        <v>0.671741449969768</v>
      </c>
      <c r="L17" s="9" t="n">
        <v>11</v>
      </c>
      <c r="M17" s="32" t="n">
        <v>0.280798285215135</v>
      </c>
      <c r="N17" s="9" t="n">
        <v>11</v>
      </c>
      <c r="O17" s="32" t="n">
        <v>0.972340468813298</v>
      </c>
      <c r="P17" s="9" t="n">
        <v>8</v>
      </c>
      <c r="Q17" s="32" t="n">
        <v>0.972340468813298</v>
      </c>
      <c r="R17" s="9" t="n">
        <v>8</v>
      </c>
      <c r="S17" s="32" t="n">
        <v>0.181958345662321</v>
      </c>
      <c r="T17" s="11" t="n">
        <v>8</v>
      </c>
    </row>
    <row r="18" outlineLevel="1" hidden="0">
      <c r="A18" s="7" t="s">
        <v>14</v>
      </c>
      <c r="B18" t="s">
        <v>28</v>
      </c>
      <c r="C18" s="34" t="n">
        <v>0.662513017114294</v>
      </c>
      <c r="D18" t="n">
        <v>39</v>
      </c>
      <c r="E18" s="34" t="n">
        <v>0.662513017114294</v>
      </c>
      <c r="F18" t="n">
        <v>39</v>
      </c>
      <c r="G18" s="34" t="n">
        <v>0.399611653618695</v>
      </c>
      <c r="H18" t="n">
        <v>39</v>
      </c>
      <c r="I18" s="34" t="n">
        <v>0.44506583673931</v>
      </c>
      <c r="J18" t="n">
        <v>21</v>
      </c>
      <c r="K18" s="34" t="n">
        <v>0.44506583673931</v>
      </c>
      <c r="L18" t="n">
        <v>21</v>
      </c>
      <c r="M18" s="34" t="n">
        <v>0.393376538017052</v>
      </c>
      <c r="N18" t="n">
        <v>21</v>
      </c>
      <c r="O18" s="34" t="n">
        <v>0.798688218332521</v>
      </c>
      <c r="P18" t="n">
        <v>18</v>
      </c>
      <c r="Q18" s="34" t="n">
        <v>0.798688218332521</v>
      </c>
      <c r="R18" t="n">
        <v>18</v>
      </c>
      <c r="S18" s="34" t="n">
        <v>0.403516363351921</v>
      </c>
      <c r="T18" s="12" t="n">
        <v>18</v>
      </c>
    </row>
    <row r="19" outlineLevel="1" hidden="0">
      <c r="A19" s="7" t="s">
        <v>14</v>
      </c>
      <c r="B19" t="s">
        <v>29</v>
      </c>
      <c r="C19" s="34" t="n">
        <v>0.898338945275514</v>
      </c>
      <c r="D19" t="n">
        <v>52</v>
      </c>
      <c r="E19" s="34" t="n">
        <v>0.898338945275514</v>
      </c>
      <c r="F19" t="n">
        <v>52</v>
      </c>
      <c r="G19" s="34" t="n">
        <v>0.76534998371994</v>
      </c>
      <c r="H19" t="n">
        <v>52</v>
      </c>
      <c r="I19" s="34" t="n">
        <v>0.864050868170302</v>
      </c>
      <c r="J19" t="n">
        <v>23</v>
      </c>
      <c r="K19" s="34" t="n">
        <v>0.864050868170302</v>
      </c>
      <c r="L19" t="n">
        <v>23</v>
      </c>
      <c r="M19" s="34" t="n">
        <v>0.61558146594055</v>
      </c>
      <c r="N19" t="n">
        <v>23</v>
      </c>
      <c r="O19" s="34" t="n">
        <v>0.932267288938603</v>
      </c>
      <c r="P19" t="n">
        <v>29</v>
      </c>
      <c r="Q19" s="34" t="n">
        <v>0.932267288938603</v>
      </c>
      <c r="R19" t="n">
        <v>29</v>
      </c>
      <c r="S19" s="34" t="n">
        <v>0.913547204740488</v>
      </c>
      <c r="T19" s="12" t="n">
        <v>29</v>
      </c>
    </row>
    <row r="20" outlineLevel="1" hidden="0">
      <c r="A20" s="7" t="s">
        <v>14</v>
      </c>
      <c r="B20" t="s">
        <v>30</v>
      </c>
      <c r="C20" s="34" t="n">
        <v>0.97759695298347</v>
      </c>
      <c r="D20" t="n">
        <v>33</v>
      </c>
      <c r="E20" s="34" t="n">
        <v>0.97759695298347</v>
      </c>
      <c r="F20" t="n">
        <v>33</v>
      </c>
      <c r="G20" s="34" t="n">
        <v>0.80122129127624</v>
      </c>
      <c r="H20" t="n">
        <v>33</v>
      </c>
      <c r="I20" s="34" t="n">
        <v>1</v>
      </c>
      <c r="J20" t="n">
        <v>13</v>
      </c>
      <c r="K20" s="34" t="n">
        <v>1</v>
      </c>
      <c r="L20" t="n">
        <v>13</v>
      </c>
      <c r="M20" s="34" t="n">
        <v>0.81397111063075</v>
      </c>
      <c r="N20" t="n">
        <v>13</v>
      </c>
      <c r="O20" s="34" t="n">
        <v>0.957381459657567</v>
      </c>
      <c r="P20" t="n">
        <v>20</v>
      </c>
      <c r="Q20" s="34" t="n">
        <v>0.957381459657567</v>
      </c>
      <c r="R20" t="n">
        <v>20</v>
      </c>
      <c r="S20" s="34" t="n">
        <v>0.789716432679221</v>
      </c>
      <c r="T20" s="12" t="n">
        <v>20</v>
      </c>
    </row>
    <row r="21" outlineLevel="1" hidden="0">
      <c r="A21" s="7" t="s">
        <v>14</v>
      </c>
      <c r="B21" t="s">
        <v>31</v>
      </c>
      <c r="C21" s="34" t="n">
        <v>0.511845862563138</v>
      </c>
      <c r="D21" t="n">
        <v>38</v>
      </c>
      <c r="E21" s="34" t="n">
        <v>0.511845862563138</v>
      </c>
      <c r="F21" t="n">
        <v>38</v>
      </c>
      <c r="G21" s="34" t="n">
        <v>0.441893019612464</v>
      </c>
      <c r="H21" t="n">
        <v>38</v>
      </c>
      <c r="I21" s="34" t="n">
        <v>0.499642200868579</v>
      </c>
      <c r="J21" t="n">
        <v>23</v>
      </c>
      <c r="K21" s="34" t="n">
        <v>0.499642200868579</v>
      </c>
      <c r="L21" t="n">
        <v>23</v>
      </c>
      <c r="M21" s="34" t="n">
        <v>0.392096849390521</v>
      </c>
      <c r="N21" t="n">
        <v>23</v>
      </c>
      <c r="O21" s="34" t="n">
        <v>0.528640595841171</v>
      </c>
      <c r="P21" t="n">
        <v>15</v>
      </c>
      <c r="Q21" s="34" t="n">
        <v>0.528640595841171</v>
      </c>
      <c r="R21" t="n">
        <v>15</v>
      </c>
      <c r="S21" s="34" t="n">
        <v>0.510422729635314</v>
      </c>
      <c r="T21" s="12" t="n">
        <v>15</v>
      </c>
    </row>
    <row r="22" outlineLevel="1" hidden="0">
      <c r="A22" s="7" t="s">
        <v>14</v>
      </c>
      <c r="B22" t="s">
        <v>32</v>
      </c>
      <c r="C22" s="34" t="n">
        <v>0.19345961333021</v>
      </c>
      <c r="D22" t="n">
        <v>49</v>
      </c>
      <c r="E22" s="34" t="n">
        <v>0.19345961333021</v>
      </c>
      <c r="F22" t="n">
        <v>49</v>
      </c>
      <c r="G22" s="34" t="n">
        <v>0.180835144917504</v>
      </c>
      <c r="H22" t="n">
        <v>49</v>
      </c>
      <c r="I22" s="34" t="n">
        <v>0.221908298930146</v>
      </c>
      <c r="J22" t="n">
        <v>23</v>
      </c>
      <c r="K22" s="34" t="n">
        <v>0.221908298930146</v>
      </c>
      <c r="L22" t="n">
        <v>23</v>
      </c>
      <c r="M22" s="34" t="n">
        <v>0.209417381133316</v>
      </c>
      <c r="N22" t="n">
        <v>23</v>
      </c>
      <c r="O22" s="34" t="n">
        <v>0.164396016895776</v>
      </c>
      <c r="P22" t="n">
        <v>26</v>
      </c>
      <c r="Q22" s="34" t="n">
        <v>0.164396016895776</v>
      </c>
      <c r="R22" t="n">
        <v>26</v>
      </c>
      <c r="S22" s="34" t="n">
        <v>0.151635111205864</v>
      </c>
      <c r="T22" s="12" t="n">
        <v>26</v>
      </c>
    </row>
    <row r="23" outlineLevel="1" hidden="0">
      <c r="A23" s="7" t="s">
        <v>14</v>
      </c>
      <c r="B23" t="s">
        <v>33</v>
      </c>
      <c r="C23" s="34" t="n">
        <v>0.435009537953732</v>
      </c>
      <c r="D23" t="n">
        <v>25</v>
      </c>
      <c r="E23" s="34" t="n">
        <v>0.435009537953732</v>
      </c>
      <c r="F23" t="n">
        <v>25</v>
      </c>
      <c r="G23" s="34" t="n">
        <v>0.391029690231599</v>
      </c>
      <c r="H23" t="n">
        <v>25</v>
      </c>
      <c r="I23" s="34" t="n">
        <v>0.471482628535005</v>
      </c>
      <c r="J23" t="n">
        <v>15</v>
      </c>
      <c r="K23" s="34" t="n">
        <v>0.471482628535005</v>
      </c>
      <c r="L23" t="n">
        <v>15</v>
      </c>
      <c r="M23" s="34" t="n">
        <v>0.396453050643355</v>
      </c>
      <c r="N23" t="n">
        <v>15</v>
      </c>
      <c r="O23" s="34" t="n">
        <v>0.383347866146525</v>
      </c>
      <c r="P23" t="n">
        <v>10</v>
      </c>
      <c r="Q23" s="34" t="n">
        <v>0.383347866146525</v>
      </c>
      <c r="R23" t="n">
        <v>10</v>
      </c>
      <c r="S23" s="34" t="n">
        <v>0.383347866146525</v>
      </c>
      <c r="T23" s="12" t="n">
        <v>10</v>
      </c>
    </row>
    <row r="24" outlineLevel="1" hidden="0">
      <c r="A24" s="7" t="s">
        <v>14</v>
      </c>
      <c r="B24" t="s">
        <v>34</v>
      </c>
      <c r="C24" s="34" t="n">
        <v>0.607727518875508</v>
      </c>
      <c r="D24" t="n">
        <v>68</v>
      </c>
      <c r="E24" s="34" t="n">
        <v>0.607727518875508</v>
      </c>
      <c r="F24" t="n">
        <v>68</v>
      </c>
      <c r="G24" s="34" t="n">
        <v>0.243665954929527</v>
      </c>
      <c r="H24" t="n">
        <v>68</v>
      </c>
      <c r="I24" s="34" t="n">
        <v>0.496526239246265</v>
      </c>
      <c r="J24" t="n">
        <v>30</v>
      </c>
      <c r="K24" s="34" t="n">
        <v>0.496526239246265</v>
      </c>
      <c r="L24" t="n">
        <v>30</v>
      </c>
      <c r="M24" s="34" t="n">
        <v>0.27204741651767</v>
      </c>
      <c r="N24" t="n">
        <v>30</v>
      </c>
      <c r="O24" s="34" t="n">
        <v>0.703865830622288</v>
      </c>
      <c r="P24" t="n">
        <v>38</v>
      </c>
      <c r="Q24" s="34" t="n">
        <v>0.703865830622288</v>
      </c>
      <c r="R24" t="n">
        <v>38</v>
      </c>
      <c r="S24" s="34" t="n">
        <v>0.219128954896008</v>
      </c>
      <c r="T24" s="12" t="n">
        <v>38</v>
      </c>
    </row>
    <row r="25" outlineLevel="1" hidden="0">
      <c r="A25" s="7" t="s">
        <v>14</v>
      </c>
      <c r="B25" t="s">
        <v>35</v>
      </c>
      <c r="C25" s="34" t="n">
        <v>0.266975137298321</v>
      </c>
      <c r="D25" t="n">
        <v>79</v>
      </c>
      <c r="E25" s="34" t="n">
        <v>0.266975137298321</v>
      </c>
      <c r="F25" t="n">
        <v>79</v>
      </c>
      <c r="G25" s="34" t="n">
        <v>0.190750592622856</v>
      </c>
      <c r="H25" t="n">
        <v>79</v>
      </c>
      <c r="I25" s="34" t="n">
        <v>0.155167097665901</v>
      </c>
      <c r="J25" t="n">
        <v>36</v>
      </c>
      <c r="K25" s="34" t="n">
        <v>0.155167097665901</v>
      </c>
      <c r="L25" t="n">
        <v>36</v>
      </c>
      <c r="M25" s="34" t="n">
        <v>0.121904932193424</v>
      </c>
      <c r="N25" t="n">
        <v>36</v>
      </c>
      <c r="O25" s="34" t="n">
        <v>0.364299574832716</v>
      </c>
      <c r="P25" t="n">
        <v>43</v>
      </c>
      <c r="Q25" s="34" t="n">
        <v>0.364299574832716</v>
      </c>
      <c r="R25" t="n">
        <v>43</v>
      </c>
      <c r="S25" s="34" t="n">
        <v>0.250677993192678</v>
      </c>
      <c r="T25" s="12" t="n">
        <v>43</v>
      </c>
    </row>
    <row r="26" outlineLevel="1" hidden="0">
      <c r="A26" s="7" t="s">
        <v>14</v>
      </c>
      <c r="B26" t="s">
        <v>36</v>
      </c>
      <c r="C26" s="34" t="n">
        <v>0.573897201190128</v>
      </c>
      <c r="D26" t="n">
        <v>49</v>
      </c>
      <c r="E26" s="34" t="n">
        <v>0.573897201190128</v>
      </c>
      <c r="F26" t="n">
        <v>49</v>
      </c>
      <c r="G26" s="34" t="n">
        <v>0.424132890095726</v>
      </c>
      <c r="H26" t="n">
        <v>49</v>
      </c>
      <c r="I26" s="34" t="n">
        <v>0.629182284359927</v>
      </c>
      <c r="J26" t="n">
        <v>19</v>
      </c>
      <c r="K26" s="34" t="n">
        <v>0.629182284359927</v>
      </c>
      <c r="L26" t="n">
        <v>19</v>
      </c>
      <c r="M26" s="34" t="n">
        <v>0.518051425454042</v>
      </c>
      <c r="N26" t="n">
        <v>19</v>
      </c>
      <c r="O26" s="34" t="n">
        <v>0.536979867805415</v>
      </c>
      <c r="P26" t="n">
        <v>30</v>
      </c>
      <c r="Q26" s="34" t="n">
        <v>0.536979867805415</v>
      </c>
      <c r="R26" t="n">
        <v>30</v>
      </c>
      <c r="S26" s="34" t="n">
        <v>0.361417566503321</v>
      </c>
      <c r="T26" s="12" t="n">
        <v>30</v>
      </c>
    </row>
    <row r="27" outlineLevel="1" hidden="0">
      <c r="A27" s="7" t="s">
        <v>14</v>
      </c>
      <c r="B27" t="s">
        <v>37</v>
      </c>
      <c r="C27" s="34" t="n">
        <v>0.653819583256027</v>
      </c>
      <c r="D27" t="n">
        <v>43</v>
      </c>
      <c r="E27" s="34" t="n">
        <v>0.653819583256027</v>
      </c>
      <c r="F27" t="n">
        <v>43</v>
      </c>
      <c r="G27" s="34" t="n">
        <v>0.352248094972161</v>
      </c>
      <c r="H27" t="n">
        <v>43</v>
      </c>
      <c r="I27" s="34" t="n">
        <v>0.719590824601995</v>
      </c>
      <c r="J27" t="n">
        <v>19</v>
      </c>
      <c r="K27" s="34" t="n">
        <v>0.719590824601995</v>
      </c>
      <c r="L27" t="n">
        <v>19</v>
      </c>
      <c r="M27" s="34" t="n">
        <v>0.453710248229865</v>
      </c>
      <c r="N27" t="n">
        <v>19</v>
      </c>
      <c r="O27" s="34" t="n">
        <v>0.600515540649077</v>
      </c>
      <c r="P27" t="n">
        <v>24</v>
      </c>
      <c r="Q27" s="34" t="n">
        <v>0.600515540649077</v>
      </c>
      <c r="R27" t="n">
        <v>24</v>
      </c>
      <c r="S27" s="34" t="n">
        <v>0.270018493864394</v>
      </c>
      <c r="T27" s="12" t="n">
        <v>24</v>
      </c>
    </row>
    <row r="28" outlineLevel="1" hidden="0">
      <c r="A28" s="7" t="s">
        <v>14</v>
      </c>
      <c r="B28" t="s">
        <v>38</v>
      </c>
      <c r="C28" s="34" t="n">
        <v>0.292569306206623</v>
      </c>
      <c r="D28" t="n">
        <v>135</v>
      </c>
      <c r="E28" s="34" t="n">
        <v>0.292569306206623</v>
      </c>
      <c r="F28" t="n">
        <v>135</v>
      </c>
      <c r="G28" s="34" t="n">
        <v>0.253736123293707</v>
      </c>
      <c r="H28" t="n">
        <v>135</v>
      </c>
      <c r="I28" s="34" t="n">
        <v>0.211305841916444</v>
      </c>
      <c r="J28" t="n">
        <v>73</v>
      </c>
      <c r="K28" s="34" t="n">
        <v>0.211305841916444</v>
      </c>
      <c r="L28" t="n">
        <v>73</v>
      </c>
      <c r="M28" s="34" t="n">
        <v>0.170761030214703</v>
      </c>
      <c r="N28" t="n">
        <v>73</v>
      </c>
      <c r="O28" s="34" t="n">
        <v>0.409282931203856</v>
      </c>
      <c r="P28" t="n">
        <v>62</v>
      </c>
      <c r="Q28" s="34" t="n">
        <v>0.409282931203856</v>
      </c>
      <c r="R28" t="n">
        <v>62</v>
      </c>
      <c r="S28" s="34" t="n">
        <v>0.372908053537196</v>
      </c>
      <c r="T28" s="12" t="n">
        <v>62</v>
      </c>
    </row>
    <row r="29" outlineLevel="1" hidden="0">
      <c r="A29" s="7" t="s">
        <v>14</v>
      </c>
      <c r="B29" t="s">
        <v>39</v>
      </c>
      <c r="C29" s="34" t="n">
        <v>0.457311273308238</v>
      </c>
      <c r="D29" t="n">
        <v>43</v>
      </c>
      <c r="E29" s="34" t="n">
        <v>0.457311273308238</v>
      </c>
      <c r="F29" t="n">
        <v>43</v>
      </c>
      <c r="G29" s="34" t="n">
        <v>0.252581829574979</v>
      </c>
      <c r="H29" t="n">
        <v>43</v>
      </c>
      <c r="I29" s="34" t="n">
        <v>0.471773604343576</v>
      </c>
      <c r="J29" t="n">
        <v>19</v>
      </c>
      <c r="K29" s="34" t="n">
        <v>0.471773604343576</v>
      </c>
      <c r="L29" t="n">
        <v>19</v>
      </c>
      <c r="M29" s="34" t="n">
        <v>0.347585936621343</v>
      </c>
      <c r="N29" t="n">
        <v>19</v>
      </c>
      <c r="O29" s="34" t="n">
        <v>0.451561174312532</v>
      </c>
      <c r="P29" t="n">
        <v>24</v>
      </c>
      <c r="Q29" s="34" t="n">
        <v>0.451561174312532</v>
      </c>
      <c r="R29" t="n">
        <v>24</v>
      </c>
      <c r="S29" s="34" t="n">
        <v>0.21480901002186</v>
      </c>
      <c r="T29" s="12" t="n">
        <v>24</v>
      </c>
    </row>
    <row r="30" outlineLevel="1" hidden="0">
      <c r="A30" s="7" t="s">
        <v>14</v>
      </c>
      <c r="B30" t="s">
        <v>40</v>
      </c>
      <c r="C30" s="34" t="n">
        <v>0.49020473817302</v>
      </c>
      <c r="D30" t="n">
        <v>39</v>
      </c>
      <c r="E30" s="34" t="n">
        <v>0.49020473817302</v>
      </c>
      <c r="F30" t="n">
        <v>39</v>
      </c>
      <c r="G30" s="34" t="n">
        <v>0.139496155118526</v>
      </c>
      <c r="H30" t="n">
        <v>39</v>
      </c>
      <c r="I30" s="34" t="n">
        <v>0.623141091811249</v>
      </c>
      <c r="J30" t="n">
        <v>17</v>
      </c>
      <c r="K30" s="34" t="n">
        <v>0.623141091811249</v>
      </c>
      <c r="L30" t="n">
        <v>17</v>
      </c>
      <c r="M30" s="34" t="n">
        <v>0.19544626266911</v>
      </c>
      <c r="N30" t="n">
        <v>17</v>
      </c>
      <c r="O30" s="34" t="n">
        <v>0.384238773302161</v>
      </c>
      <c r="P30" t="n">
        <v>22</v>
      </c>
      <c r="Q30" s="34" t="n">
        <v>0.384238773302161</v>
      </c>
      <c r="R30" t="n">
        <v>22</v>
      </c>
      <c r="S30" s="34" t="n">
        <v>0.0948973153808228</v>
      </c>
      <c r="T30" s="12" t="n">
        <v>22</v>
      </c>
    </row>
    <row r="31" outlineLevel="1" hidden="0">
      <c r="A31" s="7" t="s">
        <v>14</v>
      </c>
      <c r="B31" t="s">
        <v>41</v>
      </c>
      <c r="C31" s="34" t="n">
        <v>0.707090198168838</v>
      </c>
      <c r="D31" t="n">
        <v>20</v>
      </c>
      <c r="E31" s="34" t="n">
        <v>0.707090198168838</v>
      </c>
      <c r="F31" t="n">
        <v>20</v>
      </c>
      <c r="G31" s="34" t="n">
        <v>0.554492268243195</v>
      </c>
      <c r="H31" t="n">
        <v>20</v>
      </c>
      <c r="I31" s="34" t="n">
        <v>0.688827500646827</v>
      </c>
      <c r="J31" t="n">
        <v>6</v>
      </c>
      <c r="K31" s="34" t="n">
        <v>0.688827500646827</v>
      </c>
      <c r="L31" t="n">
        <v>6</v>
      </c>
      <c r="M31" s="34" t="n">
        <v>0.339968727351033</v>
      </c>
      <c r="N31" t="n">
        <v>6</v>
      </c>
      <c r="O31" s="34" t="n">
        <v>0.714608200023328</v>
      </c>
      <c r="P31" t="n">
        <v>14</v>
      </c>
      <c r="Q31" s="34" t="n">
        <v>0.714608200023328</v>
      </c>
      <c r="R31" t="n">
        <v>14</v>
      </c>
      <c r="S31" s="34" t="n">
        <v>0.642802791719546</v>
      </c>
      <c r="T31" s="12" t="n">
        <v>14</v>
      </c>
    </row>
    <row r="32" outlineLevel="1" hidden="0">
      <c r="A32" s="7" t="s">
        <v>14</v>
      </c>
      <c r="B32" t="s">
        <v>42</v>
      </c>
      <c r="C32" s="34" t="n">
        <v>0.493093623463653</v>
      </c>
      <c r="D32" t="n">
        <v>84</v>
      </c>
      <c r="E32" s="34" t="n">
        <v>0.493093623463653</v>
      </c>
      <c r="F32" t="n">
        <v>84</v>
      </c>
      <c r="G32" s="34" t="n">
        <v>0.486296417311912</v>
      </c>
      <c r="H32" t="n">
        <v>84</v>
      </c>
      <c r="I32" s="34" t="n">
        <v>0.511368972276613</v>
      </c>
      <c r="J32" t="n">
        <v>42</v>
      </c>
      <c r="K32" s="34" t="n">
        <v>0.511368972276613</v>
      </c>
      <c r="L32" t="n">
        <v>42</v>
      </c>
      <c r="M32" s="34" t="n">
        <v>0.511368972276613</v>
      </c>
      <c r="N32" t="n">
        <v>42</v>
      </c>
      <c r="O32" s="34" t="n">
        <v>0.475980317793039</v>
      </c>
      <c r="P32" t="n">
        <v>42</v>
      </c>
      <c r="Q32" s="34" t="n">
        <v>0.475980317793039</v>
      </c>
      <c r="R32" t="n">
        <v>42</v>
      </c>
      <c r="S32" s="34" t="n">
        <v>0.462818107735138</v>
      </c>
      <c r="T32" s="12" t="n">
        <v>42</v>
      </c>
    </row>
    <row r="33" outlineLevel="1" hidden="0">
      <c r="A33" s="7" t="s">
        <v>14</v>
      </c>
      <c r="B33" t="s">
        <v>43</v>
      </c>
      <c r="C33" s="34" t="n">
        <v>0.560692856154989</v>
      </c>
      <c r="D33" t="n">
        <v>46</v>
      </c>
      <c r="E33" s="34" t="n">
        <v>0.560692856154989</v>
      </c>
      <c r="F33" t="n">
        <v>46</v>
      </c>
      <c r="G33" s="34" t="n">
        <v>0.560692856154989</v>
      </c>
      <c r="H33" t="n">
        <v>46</v>
      </c>
      <c r="I33" s="34" t="n">
        <v>0.581642958362488</v>
      </c>
      <c r="J33" t="n">
        <v>20</v>
      </c>
      <c r="K33" s="34" t="n">
        <v>0.581642958362488</v>
      </c>
      <c r="L33" t="n">
        <v>20</v>
      </c>
      <c r="M33" s="34" t="n">
        <v>0.581642958362488</v>
      </c>
      <c r="N33" t="n">
        <v>20</v>
      </c>
      <c r="O33" s="34" t="n">
        <v>0.546379753801469</v>
      </c>
      <c r="P33" t="n">
        <v>26</v>
      </c>
      <c r="Q33" s="34" t="n">
        <v>0.546379753801469</v>
      </c>
      <c r="R33" t="n">
        <v>26</v>
      </c>
      <c r="S33" s="34" t="n">
        <v>0.546379753801469</v>
      </c>
      <c r="T33" s="12" t="n">
        <v>26</v>
      </c>
    </row>
    <row r="34" outlineLevel="1" hidden="0">
      <c r="A34" s="7" t="s">
        <v>14</v>
      </c>
      <c r="B34" t="s">
        <v>44</v>
      </c>
      <c r="C34" s="34" t="n">
        <v>0.646011886045882</v>
      </c>
      <c r="D34" t="n">
        <v>31</v>
      </c>
      <c r="E34" s="34" t="n">
        <v>0.646011886045882</v>
      </c>
      <c r="F34" t="n">
        <v>31</v>
      </c>
      <c r="G34" s="34" t="n">
        <v>0.613899637939461</v>
      </c>
      <c r="H34" t="n">
        <v>31</v>
      </c>
      <c r="I34" s="34" t="n">
        <v>0.734578741854346</v>
      </c>
      <c r="J34" t="n">
        <v>15</v>
      </c>
      <c r="K34" s="34" t="n">
        <v>0.734578741854346</v>
      </c>
      <c r="L34" t="n">
        <v>15</v>
      </c>
      <c r="M34" s="34" t="n">
        <v>0.668223427317933</v>
      </c>
      <c r="N34" t="n">
        <v>15</v>
      </c>
      <c r="O34" s="34" t="n">
        <v>0.562956215387956</v>
      </c>
      <c r="P34" t="n">
        <v>16</v>
      </c>
      <c r="Q34" s="34" t="n">
        <v>0.562956215387956</v>
      </c>
      <c r="R34" t="n">
        <v>16</v>
      </c>
      <c r="S34" s="34" t="n">
        <v>0.562956215387956</v>
      </c>
      <c r="T34" s="12" t="n">
        <v>16</v>
      </c>
    </row>
    <row r="35" outlineLevel="1" hidden="0">
      <c r="A35" s="7" t="s">
        <v>14</v>
      </c>
      <c r="B35" t="s">
        <v>45</v>
      </c>
      <c r="C35" s="34" t="n">
        <v>0.405544337555864</v>
      </c>
      <c r="D35" t="n">
        <v>72</v>
      </c>
      <c r="E35" s="34" t="n">
        <v>0.405544337555864</v>
      </c>
      <c r="F35" t="n">
        <v>72</v>
      </c>
      <c r="G35" s="34" t="n">
        <v>0.405544337555864</v>
      </c>
      <c r="H35" t="n">
        <v>72</v>
      </c>
      <c r="I35" s="34" t="n">
        <v>0.263974296513087</v>
      </c>
      <c r="J35" t="n">
        <v>35</v>
      </c>
      <c r="K35" s="34" t="n">
        <v>0.263974296513087</v>
      </c>
      <c r="L35" t="n">
        <v>35</v>
      </c>
      <c r="M35" s="34" t="n">
        <v>0.263974296513087</v>
      </c>
      <c r="N35" t="n">
        <v>35</v>
      </c>
      <c r="O35" s="34" t="n">
        <v>0.524179286052041</v>
      </c>
      <c r="P35" t="n">
        <v>37</v>
      </c>
      <c r="Q35" s="34" t="n">
        <v>0.524179286052041</v>
      </c>
      <c r="R35" t="n">
        <v>37</v>
      </c>
      <c r="S35" s="34" t="n">
        <v>0.524179286052041</v>
      </c>
      <c r="T35" s="12" t="n">
        <v>37</v>
      </c>
    </row>
    <row r="36" outlineLevel="1" hidden="0">
      <c r="A36" s="7" t="s">
        <v>14</v>
      </c>
      <c r="B36" t="s">
        <v>46</v>
      </c>
      <c r="C36" s="34" t="n">
        <v>0.578864769594492</v>
      </c>
      <c r="D36" t="n">
        <v>49</v>
      </c>
      <c r="E36" s="34" t="n">
        <v>0.578864769594492</v>
      </c>
      <c r="F36" t="n">
        <v>49</v>
      </c>
      <c r="G36" s="34" t="n">
        <v>0.386859030626263</v>
      </c>
      <c r="H36" t="n">
        <v>49</v>
      </c>
      <c r="I36" s="34" t="n">
        <v>0.619440589694395</v>
      </c>
      <c r="J36" t="n">
        <v>25</v>
      </c>
      <c r="K36" s="34" t="n">
        <v>0.619440589694395</v>
      </c>
      <c r="L36" t="n">
        <v>25</v>
      </c>
      <c r="M36" s="34" t="n">
        <v>0.351303805100577</v>
      </c>
      <c r="N36" t="n">
        <v>25</v>
      </c>
      <c r="O36" s="34" t="n">
        <v>0.541800967714125</v>
      </c>
      <c r="P36" t="n">
        <v>24</v>
      </c>
      <c r="Q36" s="34" t="n">
        <v>0.541800967714125</v>
      </c>
      <c r="R36" t="n">
        <v>24</v>
      </c>
      <c r="S36" s="34" t="n">
        <v>0.41933679278735</v>
      </c>
      <c r="T36" s="12" t="n">
        <v>24</v>
      </c>
    </row>
    <row r="37" outlineLevel="1" hidden="0">
      <c r="A37" s="8" t="s">
        <v>14</v>
      </c>
      <c r="B37" s="10" t="s">
        <v>47</v>
      </c>
      <c r="C37" s="33" t="n">
        <v>0.625973287434904</v>
      </c>
      <c r="D37" s="10" t="n">
        <v>52</v>
      </c>
      <c r="E37" s="33" t="n">
        <v>0.625973287434904</v>
      </c>
      <c r="F37" s="10" t="n">
        <v>52</v>
      </c>
      <c r="G37" s="33" t="n">
        <v>0.568171213994485</v>
      </c>
      <c r="H37" s="10" t="n">
        <v>52</v>
      </c>
      <c r="I37" s="33" t="n">
        <v>0.658294492476166</v>
      </c>
      <c r="J37" s="10" t="n">
        <v>24</v>
      </c>
      <c r="K37" s="33" t="n">
        <v>0.658294492476166</v>
      </c>
      <c r="L37" s="10" t="n">
        <v>24</v>
      </c>
      <c r="M37" s="33" t="n">
        <v>0.617557295812694</v>
      </c>
      <c r="N37" s="10" t="n">
        <v>24</v>
      </c>
      <c r="O37" s="33" t="n">
        <v>0.598155545827504</v>
      </c>
      <c r="P37" s="10" t="n">
        <v>28</v>
      </c>
      <c r="Q37" s="33" t="n">
        <v>0.598155545827504</v>
      </c>
      <c r="R37" s="10" t="n">
        <v>28</v>
      </c>
      <c r="S37" s="33" t="n">
        <v>0.525666324054057</v>
      </c>
      <c r="T37" s="13" t="n">
        <v>28</v>
      </c>
    </row>
    <row r="38">
      <c r="C38" s="34"/>
      <c r="E38" s="34"/>
      <c r="G38" s="34"/>
      <c r="I38" s="34"/>
      <c r="K38" s="34"/>
      <c r="M38" s="34"/>
      <c r="O38" s="34"/>
      <c r="Q38" s="34"/>
      <c r="S38" s="34"/>
    </row>
    <row r="39">
      <c r="A39" s="2" t="s">
        <v>48</v>
      </c>
      <c r="B39" s="2"/>
      <c r="C39" s="30"/>
      <c r="D39" s="2"/>
      <c r="E39" s="30"/>
      <c r="F39" s="2"/>
      <c r="G39" s="30"/>
      <c r="H39" s="2"/>
      <c r="I39" s="30"/>
      <c r="J39" s="2"/>
      <c r="K39" s="30"/>
      <c r="L39" s="2"/>
      <c r="M39" s="30"/>
      <c r="N39" s="2"/>
      <c r="O39" s="30"/>
      <c r="P39" s="2"/>
      <c r="Q39" s="30"/>
      <c r="R39" s="2"/>
      <c r="S39" s="30"/>
      <c r="T39" s="2"/>
    </row>
    <row r="40" outlineLevel="1" hidden="0">
      <c r="A40" s="6" t="s">
        <v>14</v>
      </c>
      <c r="B40" s="9" t="s">
        <v>49</v>
      </c>
      <c r="C40" s="32" t="n">
        <v>0.352694373297573</v>
      </c>
      <c r="D40" s="9" t="n">
        <v>150</v>
      </c>
      <c r="E40" s="32" t="n">
        <v>0.352694373297573</v>
      </c>
      <c r="F40" s="9" t="n">
        <v>150</v>
      </c>
      <c r="G40" s="32" t="n">
        <v>0.299992634287861</v>
      </c>
      <c r="H40" s="9" t="n">
        <v>150</v>
      </c>
      <c r="I40" s="32" t="n">
        <v>0.278721441568662</v>
      </c>
      <c r="J40" s="9" t="n">
        <v>80</v>
      </c>
      <c r="K40" s="32" t="n">
        <v>0.278721441568662</v>
      </c>
      <c r="L40" s="9" t="n">
        <v>80</v>
      </c>
      <c r="M40" s="32" t="n">
        <v>0.241626656118324</v>
      </c>
      <c r="N40" s="9" t="n">
        <v>80</v>
      </c>
      <c r="O40" s="32" t="n">
        <v>0.453993855899122</v>
      </c>
      <c r="P40" s="9" t="n">
        <v>70</v>
      </c>
      <c r="Q40" s="32" t="n">
        <v>0.453993855899122</v>
      </c>
      <c r="R40" s="9" t="n">
        <v>70</v>
      </c>
      <c r="S40" s="32" t="n">
        <v>0.379919754275139</v>
      </c>
      <c r="T40" s="11" t="n">
        <v>70</v>
      </c>
    </row>
    <row r="41" outlineLevel="1" hidden="0">
      <c r="A41" s="7" t="s">
        <v>14</v>
      </c>
      <c r="B41" t="s">
        <v>50</v>
      </c>
      <c r="C41" s="34" t="n">
        <v>0.573488008437641</v>
      </c>
      <c r="D41" t="n">
        <v>265</v>
      </c>
      <c r="E41" s="34" t="n">
        <v>0.573488008437641</v>
      </c>
      <c r="F41" t="n">
        <v>265</v>
      </c>
      <c r="G41" s="34" t="n">
        <v>0.385430340526397</v>
      </c>
      <c r="H41" t="n">
        <v>265</v>
      </c>
      <c r="I41" s="34" t="n">
        <v>0.566402587636023</v>
      </c>
      <c r="J41" t="n">
        <v>117</v>
      </c>
      <c r="K41" s="34" t="n">
        <v>0.566402587636023</v>
      </c>
      <c r="L41" t="n">
        <v>117</v>
      </c>
      <c r="M41" s="34" t="n">
        <v>0.403873895210291</v>
      </c>
      <c r="N41" t="n">
        <v>117</v>
      </c>
      <c r="O41" s="34" t="n">
        <v>0.578798912458447</v>
      </c>
      <c r="P41" t="n">
        <v>148</v>
      </c>
      <c r="Q41" s="34" t="n">
        <v>0.578798912458447</v>
      </c>
      <c r="R41" t="n">
        <v>148</v>
      </c>
      <c r="S41" s="34" t="n">
        <v>0.371605904198454</v>
      </c>
      <c r="T41" s="12" t="n">
        <v>148</v>
      </c>
    </row>
    <row r="42" outlineLevel="1" hidden="0">
      <c r="A42" s="8" t="s">
        <v>14</v>
      </c>
      <c r="B42" s="10" t="s">
        <v>51</v>
      </c>
      <c r="C42" s="33" t="n">
        <v>0.495006646660823</v>
      </c>
      <c r="D42" s="10" t="n">
        <v>650</v>
      </c>
      <c r="E42" s="33" t="n">
        <v>0.495006646660823</v>
      </c>
      <c r="F42" s="10" t="n">
        <v>650</v>
      </c>
      <c r="G42" s="33" t="n">
        <v>0.344479921048892</v>
      </c>
      <c r="H42" s="10" t="n">
        <v>650</v>
      </c>
      <c r="I42" s="33" t="n">
        <v>0.43372869489509</v>
      </c>
      <c r="J42" s="10" t="n">
        <v>312</v>
      </c>
      <c r="K42" s="33" t="n">
        <v>0.43372869489509</v>
      </c>
      <c r="L42" s="10" t="n">
        <v>312</v>
      </c>
      <c r="M42" s="33" t="n">
        <v>0.319752783205804</v>
      </c>
      <c r="N42" s="10" t="n">
        <v>312</v>
      </c>
      <c r="O42" s="33" t="n">
        <v>0.544498170534888</v>
      </c>
      <c r="P42" s="10" t="n">
        <v>338</v>
      </c>
      <c r="Q42" s="33" t="n">
        <v>0.544498170534888</v>
      </c>
      <c r="R42" s="10" t="n">
        <v>338</v>
      </c>
      <c r="S42" s="33" t="n">
        <v>0.364450949740861</v>
      </c>
      <c r="T42" s="13" t="n">
        <v>338</v>
      </c>
    </row>
    <row r="43">
      <c r="C43" s="34"/>
      <c r="E43" s="34"/>
      <c r="G43" s="34"/>
      <c r="I43" s="34"/>
      <c r="K43" s="34"/>
      <c r="M43" s="34"/>
      <c r="O43" s="34"/>
      <c r="Q43" s="34"/>
      <c r="S43" s="34"/>
    </row>
    <row r="44">
      <c r="A44" s="2" t="s">
        <v>52</v>
      </c>
      <c r="B44" s="2"/>
      <c r="C44" s="30"/>
      <c r="D44" s="2"/>
      <c r="E44" s="30"/>
      <c r="F44" s="2"/>
      <c r="G44" s="30"/>
      <c r="H44" s="2"/>
      <c r="I44" s="30"/>
      <c r="J44" s="2"/>
      <c r="K44" s="30"/>
      <c r="L44" s="2"/>
      <c r="M44" s="30"/>
      <c r="N44" s="2"/>
      <c r="O44" s="30"/>
      <c r="P44" s="2"/>
      <c r="Q44" s="30"/>
      <c r="R44" s="2"/>
      <c r="S44" s="30"/>
      <c r="T44" s="2"/>
    </row>
    <row r="45" outlineLevel="1" hidden="0">
      <c r="A45" s="6" t="s">
        <v>14</v>
      </c>
      <c r="B45" s="9" t="s">
        <v>53</v>
      </c>
      <c r="C45" s="32" t="n">
        <v>0.421616386012059</v>
      </c>
      <c r="D45" s="9" t="n">
        <v>254</v>
      </c>
      <c r="E45" s="32" t="n">
        <v>0.421616386012059</v>
      </c>
      <c r="F45" s="9" t="n">
        <v>254</v>
      </c>
      <c r="G45" s="32" t="n">
        <v>0.28312456741434</v>
      </c>
      <c r="H45" s="9" t="n">
        <v>254</v>
      </c>
      <c r="I45" s="32" t="n">
        <v>0.483845736741843</v>
      </c>
      <c r="J45" s="9" t="n">
        <v>123</v>
      </c>
      <c r="K45" s="32" t="n">
        <v>0.483845736741843</v>
      </c>
      <c r="L45" s="9" t="n">
        <v>123</v>
      </c>
      <c r="M45" s="32" t="n">
        <v>0.380261230921392</v>
      </c>
      <c r="N45" s="9" t="n">
        <v>123</v>
      </c>
      <c r="O45" s="32" t="n">
        <v>0.367722325210566</v>
      </c>
      <c r="P45" s="9" t="n">
        <v>131</v>
      </c>
      <c r="Q45" s="32" t="n">
        <v>0.367722325210566</v>
      </c>
      <c r="R45" s="9" t="n">
        <v>131</v>
      </c>
      <c r="S45" s="32" t="n">
        <v>0.198998842371258</v>
      </c>
      <c r="T45" s="11" t="n">
        <v>131</v>
      </c>
    </row>
    <row r="46" outlineLevel="1" hidden="0">
      <c r="A46" s="8" t="s">
        <v>14</v>
      </c>
      <c r="B46" s="10" t="s">
        <v>54</v>
      </c>
      <c r="C46" s="33" t="n">
        <v>0.497725137116085</v>
      </c>
      <c r="D46" s="10" t="n">
        <v>811</v>
      </c>
      <c r="E46" s="33" t="n">
        <v>0.497725137116085</v>
      </c>
      <c r="F46" s="10" t="n">
        <v>811</v>
      </c>
      <c r="G46" s="33" t="n">
        <v>0.361650998801846</v>
      </c>
      <c r="H46" s="10" t="n">
        <v>811</v>
      </c>
      <c r="I46" s="33" t="n">
        <v>0.401669991225932</v>
      </c>
      <c r="J46" s="10" t="n">
        <v>386</v>
      </c>
      <c r="K46" s="33" t="n">
        <v>0.401669991225932</v>
      </c>
      <c r="L46" s="10" t="n">
        <v>386</v>
      </c>
      <c r="M46" s="33" t="n">
        <v>0.299189708174244</v>
      </c>
      <c r="N46" s="10" t="n">
        <v>386</v>
      </c>
      <c r="O46" s="33" t="n">
        <v>0.585198517767658</v>
      </c>
      <c r="P46" s="10" t="n">
        <v>425</v>
      </c>
      <c r="Q46" s="33" t="n">
        <v>0.585198517767658</v>
      </c>
      <c r="R46" s="10" t="n">
        <v>425</v>
      </c>
      <c r="S46" s="33" t="n">
        <v>0.418531868644102</v>
      </c>
      <c r="T46" s="13" t="n">
        <v>425</v>
      </c>
    </row>
    <row r="47">
      <c r="C47" s="34"/>
      <c r="E47" s="34"/>
      <c r="G47" s="34"/>
      <c r="I47" s="34"/>
      <c r="K47" s="34"/>
      <c r="M47" s="34"/>
      <c r="O47" s="34"/>
      <c r="Q47" s="34"/>
      <c r="S47" s="34"/>
    </row>
    <row r="48">
      <c r="A48" s="2" t="s">
        <v>55</v>
      </c>
      <c r="B48" s="2"/>
      <c r="C48" s="30"/>
      <c r="D48" s="2"/>
      <c r="E48" s="30"/>
      <c r="F48" s="2"/>
      <c r="G48" s="30"/>
      <c r="H48" s="2"/>
      <c r="I48" s="30"/>
      <c r="J48" s="2"/>
      <c r="K48" s="30"/>
      <c r="L48" s="2"/>
      <c r="M48" s="30"/>
      <c r="N48" s="2"/>
      <c r="O48" s="30"/>
      <c r="P48" s="2"/>
      <c r="Q48" s="30"/>
      <c r="R48" s="2"/>
      <c r="S48" s="30"/>
      <c r="T48" s="2"/>
    </row>
    <row r="49" outlineLevel="1" hidden="0">
      <c r="A49" s="6" t="s">
        <v>14</v>
      </c>
      <c r="B49" s="9" t="s">
        <v>56</v>
      </c>
      <c r="C49" s="32" t="n">
        <v>0.352694373297573</v>
      </c>
      <c r="D49" s="9" t="n">
        <v>150</v>
      </c>
      <c r="E49" s="32" t="n">
        <v>0.352694373297573</v>
      </c>
      <c r="F49" s="9" t="n">
        <v>150</v>
      </c>
      <c r="G49" s="32" t="n">
        <v>0.299992634287861</v>
      </c>
      <c r="H49" s="9" t="n">
        <v>150</v>
      </c>
      <c r="I49" s="32" t="n">
        <v>0.278721441568662</v>
      </c>
      <c r="J49" s="9" t="n">
        <v>80</v>
      </c>
      <c r="K49" s="32" t="n">
        <v>0.278721441568662</v>
      </c>
      <c r="L49" s="9" t="n">
        <v>80</v>
      </c>
      <c r="M49" s="32" t="n">
        <v>0.241626656118324</v>
      </c>
      <c r="N49" s="9" t="n">
        <v>80</v>
      </c>
      <c r="O49" s="32" t="n">
        <v>0.453993855899122</v>
      </c>
      <c r="P49" s="9" t="n">
        <v>70</v>
      </c>
      <c r="Q49" s="32" t="n">
        <v>0.453993855899122</v>
      </c>
      <c r="R49" s="9" t="n">
        <v>70</v>
      </c>
      <c r="S49" s="32" t="n">
        <v>0.379919754275139</v>
      </c>
      <c r="T49" s="11" t="n">
        <v>70</v>
      </c>
    </row>
    <row r="50" outlineLevel="1" hidden="0">
      <c r="A50" s="7" t="s">
        <v>14</v>
      </c>
      <c r="B50" t="s">
        <v>57</v>
      </c>
      <c r="C50" s="34" t="n">
        <v>0.538439806154917</v>
      </c>
      <c r="D50" t="n">
        <v>668</v>
      </c>
      <c r="E50" s="34" t="n">
        <v>0.538439806154917</v>
      </c>
      <c r="F50" t="n">
        <v>668</v>
      </c>
      <c r="G50" s="34" t="n">
        <v>0.387081733450762</v>
      </c>
      <c r="H50" t="n">
        <v>668</v>
      </c>
      <c r="I50" s="34" t="n">
        <v>0.525717419106936</v>
      </c>
      <c r="J50" t="n">
        <v>322</v>
      </c>
      <c r="K50" s="34" t="n">
        <v>0.525717419106936</v>
      </c>
      <c r="L50" t="n">
        <v>322</v>
      </c>
      <c r="M50" s="34" t="n">
        <v>0.389945370022628</v>
      </c>
      <c r="N50" t="n">
        <v>322</v>
      </c>
      <c r="O50" s="34" t="n">
        <v>0.549009532061378</v>
      </c>
      <c r="P50" t="n">
        <v>346</v>
      </c>
      <c r="Q50" s="34" t="n">
        <v>0.549009532061378</v>
      </c>
      <c r="R50" t="n">
        <v>346</v>
      </c>
      <c r="S50" s="34" t="n">
        <v>0.384702631671656</v>
      </c>
      <c r="T50" s="12" t="n">
        <v>346</v>
      </c>
    </row>
    <row r="51" outlineLevel="1" hidden="0">
      <c r="A51" s="8" t="s">
        <v>14</v>
      </c>
      <c r="B51" s="10" t="s">
        <v>58</v>
      </c>
      <c r="C51" s="33" t="n">
        <v>0.504446432497235</v>
      </c>
      <c r="D51" s="10" t="n">
        <v>247</v>
      </c>
      <c r="E51" s="33" t="n">
        <v>0.504446432497235</v>
      </c>
      <c r="F51" s="10" t="n">
        <v>247</v>
      </c>
      <c r="G51" s="33" t="n">
        <v>0.327284916943524</v>
      </c>
      <c r="H51" s="10" t="n">
        <v>247</v>
      </c>
      <c r="I51" s="33" t="n">
        <v>0.422977311000824</v>
      </c>
      <c r="J51" s="10" t="n">
        <v>107</v>
      </c>
      <c r="K51" s="33" t="n">
        <v>0.422977311000824</v>
      </c>
      <c r="L51" s="10" t="n">
        <v>107</v>
      </c>
      <c r="M51" s="33" t="n">
        <v>0.29889612887013</v>
      </c>
      <c r="N51" s="10" t="n">
        <v>107</v>
      </c>
      <c r="O51" s="33" t="n">
        <v>0.564798527787988</v>
      </c>
      <c r="P51" s="10" t="n">
        <v>140</v>
      </c>
      <c r="Q51" s="33" t="n">
        <v>0.564798527787988</v>
      </c>
      <c r="R51" s="10" t="n">
        <v>140</v>
      </c>
      <c r="S51" s="33" t="n">
        <v>0.348315251032372</v>
      </c>
      <c r="T51" s="13" t="n">
        <v>140</v>
      </c>
    </row>
    <row r="52">
      <c r="C52" s="34"/>
      <c r="E52" s="34"/>
      <c r="G52" s="34"/>
      <c r="I52" s="34"/>
      <c r="K52" s="34"/>
      <c r="M52" s="34"/>
      <c r="O52" s="34"/>
      <c r="Q52" s="34"/>
      <c r="S52" s="34"/>
    </row>
    <row r="53">
      <c r="A53" s="2" t="s">
        <v>59</v>
      </c>
      <c r="B53" s="2"/>
      <c r="C53" s="30"/>
      <c r="D53" s="2"/>
      <c r="E53" s="30"/>
      <c r="F53" s="2"/>
      <c r="G53" s="30"/>
      <c r="H53" s="2"/>
      <c r="I53" s="30"/>
      <c r="J53" s="2"/>
      <c r="K53" s="30"/>
      <c r="L53" s="2"/>
      <c r="M53" s="30"/>
      <c r="N53" s="2"/>
      <c r="O53" s="30"/>
      <c r="P53" s="2"/>
      <c r="Q53" s="30"/>
      <c r="R53" s="2"/>
      <c r="S53" s="30"/>
      <c r="T53" s="2"/>
    </row>
    <row r="54" outlineLevel="1" hidden="0">
      <c r="A54" s="6" t="s">
        <v>14</v>
      </c>
      <c r="B54" s="9" t="s">
        <v>60</v>
      </c>
      <c r="C54" s="32" t="n">
        <v>0.466090705076541</v>
      </c>
      <c r="D54" s="9" t="n">
        <v>403</v>
      </c>
      <c r="E54" s="32" t="n">
        <v>0.466090705076541</v>
      </c>
      <c r="F54" s="9" t="n">
        <v>403</v>
      </c>
      <c r="G54" s="32" t="n">
        <v>0.341474747881159</v>
      </c>
      <c r="H54" s="9" t="n">
        <v>403</v>
      </c>
      <c r="I54" s="32" t="n">
        <v>0.409020770694104</v>
      </c>
      <c r="J54" s="9" t="n">
        <v>193</v>
      </c>
      <c r="K54" s="32" t="n">
        <v>0.409020770694104</v>
      </c>
      <c r="L54" s="9" t="n">
        <v>193</v>
      </c>
      <c r="M54" s="32" t="n">
        <v>0.31448563828435</v>
      </c>
      <c r="N54" s="9" t="n">
        <v>193</v>
      </c>
      <c r="O54" s="32" t="n">
        <v>0.523838155062738</v>
      </c>
      <c r="P54" s="9" t="n">
        <v>210</v>
      </c>
      <c r="Q54" s="32" t="n">
        <v>0.523838155062738</v>
      </c>
      <c r="R54" s="9" t="n">
        <v>210</v>
      </c>
      <c r="S54" s="32" t="n">
        <v>0.368784263363857</v>
      </c>
      <c r="T54" s="11" t="n">
        <v>210</v>
      </c>
    </row>
    <row r="55" outlineLevel="1" hidden="0">
      <c r="A55" s="7" t="s">
        <v>14</v>
      </c>
      <c r="B55" t="s">
        <v>61</v>
      </c>
      <c r="C55" s="34" t="n">
        <v>0.737244499369222</v>
      </c>
      <c r="D55" t="n">
        <v>5</v>
      </c>
      <c r="E55" s="34" t="n">
        <v>0.737244499369222</v>
      </c>
      <c r="F55" t="n">
        <v>5</v>
      </c>
      <c r="G55" s="34" t="n">
        <v>0.654336073916352</v>
      </c>
      <c r="H55" t="n">
        <v>5</v>
      </c>
      <c r="I55" s="34"/>
      <c r="J55"/>
      <c r="K55" s="34"/>
      <c r="L55"/>
      <c r="M55" s="34"/>
      <c r="N55"/>
      <c r="O55" s="34" t="n">
        <v>0.737244499369222</v>
      </c>
      <c r="P55" t="n">
        <v>5</v>
      </c>
      <c r="Q55" s="34" t="n">
        <v>0.737244499369222</v>
      </c>
      <c r="R55" t="n">
        <v>5</v>
      </c>
      <c r="S55" s="34" t="n">
        <v>0.654336073916352</v>
      </c>
      <c r="T55" s="12" t="n">
        <v>5</v>
      </c>
    </row>
    <row r="56" outlineLevel="1" hidden="0">
      <c r="A56" s="7" t="s">
        <v>14</v>
      </c>
      <c r="B56" t="s">
        <v>62</v>
      </c>
      <c r="C56" s="34" t="n">
        <v>0.414270812727959</v>
      </c>
      <c r="D56" t="n">
        <v>5</v>
      </c>
      <c r="E56" s="34" t="n">
        <v>0.414270812727959</v>
      </c>
      <c r="F56" t="n">
        <v>5</v>
      </c>
      <c r="G56" s="34" t="n">
        <v>0.414270812727959</v>
      </c>
      <c r="H56" t="n">
        <v>5</v>
      </c>
      <c r="I56" s="34" t="n">
        <v>0.455544137934952</v>
      </c>
      <c r="J56" t="n">
        <v>3</v>
      </c>
      <c r="K56" s="34" t="n">
        <v>0.455544137934952</v>
      </c>
      <c r="L56" t="n">
        <v>3</v>
      </c>
      <c r="M56" s="34" t="n">
        <v>0.455544137934952</v>
      </c>
      <c r="N56" t="n">
        <v>3</v>
      </c>
      <c r="O56" s="34" t="n">
        <v>0.304211395540875</v>
      </c>
      <c r="P56" t="n">
        <v>2</v>
      </c>
      <c r="Q56" s="34" t="n">
        <v>0.304211395540875</v>
      </c>
      <c r="R56" t="n">
        <v>2</v>
      </c>
      <c r="S56" s="34" t="n">
        <v>0.304211395540875</v>
      </c>
      <c r="T56" s="12" t="n">
        <v>2</v>
      </c>
    </row>
    <row r="57" outlineLevel="1" hidden="0">
      <c r="A57" s="7" t="s">
        <v>14</v>
      </c>
      <c r="B57" t="s">
        <v>63</v>
      </c>
      <c r="C57" s="34" t="n">
        <v>0.0701918709374259</v>
      </c>
      <c r="D57" t="n">
        <v>2</v>
      </c>
      <c r="E57" s="34" t="n">
        <v>0.0701918709374259</v>
      </c>
      <c r="F57" t="n">
        <v>2</v>
      </c>
      <c r="G57" s="34"/>
      <c r="H57"/>
      <c r="I57" s="34"/>
      <c r="J57"/>
      <c r="K57" s="34"/>
      <c r="L57"/>
      <c r="M57" s="34"/>
      <c r="N57"/>
      <c r="O57" s="34" t="n">
        <v>1</v>
      </c>
      <c r="P57" t="n">
        <v>1</v>
      </c>
      <c r="Q57" s="34" t="n">
        <v>1</v>
      </c>
      <c r="R57" t="n">
        <v>1</v>
      </c>
      <c r="S57" s="34"/>
      <c r="T57" s="12"/>
    </row>
    <row r="58" outlineLevel="1" hidden="0">
      <c r="A58" s="7" t="s">
        <v>14</v>
      </c>
      <c r="B58" t="s">
        <v>64</v>
      </c>
      <c r="C58" s="34"/>
      <c r="D58"/>
      <c r="E58" s="34"/>
      <c r="F58"/>
      <c r="G58" s="34"/>
      <c r="H58"/>
      <c r="I58" s="34" t="n">
        <v>0.43372869489509</v>
      </c>
      <c r="J58" t="n">
        <v>312</v>
      </c>
      <c r="K58" s="34" t="n">
        <v>0.43372869489509</v>
      </c>
      <c r="L58" t="n">
        <v>312</v>
      </c>
      <c r="M58" s="34" t="n">
        <v>0.319752783205804</v>
      </c>
      <c r="N58" t="n">
        <v>312</v>
      </c>
      <c r="O58" s="34" t="n">
        <v>0.544498170534888</v>
      </c>
      <c r="P58" t="n">
        <v>338</v>
      </c>
      <c r="Q58" s="34" t="n">
        <v>0.544498170534888</v>
      </c>
      <c r="R58" t="n">
        <v>338</v>
      </c>
      <c r="S58" s="34" t="n">
        <v>0.364450949740861</v>
      </c>
      <c r="T58" s="12" t="n">
        <v>338</v>
      </c>
    </row>
    <row r="59" outlineLevel="1" hidden="0">
      <c r="A59" s="8" t="s">
        <v>14</v>
      </c>
      <c r="B59" s="10" t="s">
        <v>14</v>
      </c>
      <c r="C59" s="33" t="n">
        <v>0.495006646660823</v>
      </c>
      <c r="D59" s="10" t="n">
        <v>650</v>
      </c>
      <c r="E59" s="33" t="n">
        <v>0.495006646660823</v>
      </c>
      <c r="F59" s="10" t="n">
        <v>650</v>
      </c>
      <c r="G59" s="33" t="n">
        <v>0.344479921048892</v>
      </c>
      <c r="H59" s="10" t="n">
        <v>650</v>
      </c>
      <c r="I59" s="33"/>
      <c r="J59" s="10"/>
      <c r="K59" s="33"/>
      <c r="L59" s="10"/>
      <c r="M59" s="33"/>
      <c r="N59" s="10"/>
      <c r="O59" s="33"/>
      <c r="P59" s="10"/>
      <c r="Q59" s="33"/>
      <c r="R59" s="10"/>
      <c r="S59" s="33"/>
      <c r="T59" s="13"/>
    </row>
    <row r="60">
      <c r="C60" s="34"/>
      <c r="E60" s="34"/>
      <c r="G60" s="34"/>
      <c r="I60" s="34"/>
      <c r="K60" s="34"/>
      <c r="M60" s="34"/>
      <c r="O60" s="34"/>
      <c r="Q60" s="34"/>
      <c r="S60" s="34"/>
    </row>
    <row r="61">
      <c r="A61" s="2" t="s">
        <v>65</v>
      </c>
      <c r="B61" s="2"/>
      <c r="C61" s="30"/>
      <c r="D61" s="2"/>
      <c r="E61" s="30"/>
      <c r="F61" s="2"/>
      <c r="G61" s="30"/>
      <c r="H61" s="2"/>
      <c r="I61" s="30"/>
      <c r="J61" s="2"/>
      <c r="K61" s="30"/>
      <c r="L61" s="2"/>
      <c r="M61" s="30"/>
      <c r="N61" s="2"/>
      <c r="O61" s="30"/>
      <c r="P61" s="2"/>
      <c r="Q61" s="30"/>
      <c r="R61" s="2"/>
      <c r="S61" s="30"/>
      <c r="T61" s="2"/>
    </row>
    <row r="62" outlineLevel="1" hidden="0">
      <c r="A62" s="6" t="s">
        <v>14</v>
      </c>
      <c r="B62" s="9" t="s">
        <v>66</v>
      </c>
      <c r="C62" s="32" t="n">
        <v>0.488930916139016</v>
      </c>
      <c r="D62" s="9" t="n">
        <v>1047</v>
      </c>
      <c r="E62" s="32" t="n">
        <v>0.488930916139016</v>
      </c>
      <c r="F62" s="9" t="n">
        <v>1047</v>
      </c>
      <c r="G62" s="32" t="n">
        <v>0.351102642007942</v>
      </c>
      <c r="H62" s="9" t="n">
        <v>1047</v>
      </c>
      <c r="I62" s="32" t="n">
        <v>0.431638681846242</v>
      </c>
      <c r="J62" s="9" t="n">
        <v>499</v>
      </c>
      <c r="K62" s="32" t="n">
        <v>0.431638681846242</v>
      </c>
      <c r="L62" s="9" t="n">
        <v>499</v>
      </c>
      <c r="M62" s="32" t="n">
        <v>0.32906484422567</v>
      </c>
      <c r="N62" s="9" t="n">
        <v>499</v>
      </c>
      <c r="O62" s="32" t="n">
        <v>0.538716094252615</v>
      </c>
      <c r="P62" s="9" t="n">
        <v>548</v>
      </c>
      <c r="Q62" s="32" t="n">
        <v>0.538716094252615</v>
      </c>
      <c r="R62" s="9" t="n">
        <v>548</v>
      </c>
      <c r="S62" s="32" t="n">
        <v>0.37025280609851</v>
      </c>
      <c r="T62" s="11" t="n">
        <v>548</v>
      </c>
    </row>
    <row r="63" outlineLevel="1" hidden="0">
      <c r="A63" s="8" t="s">
        <v>14</v>
      </c>
      <c r="B63" s="10" t="s">
        <v>67</v>
      </c>
      <c r="C63" s="33" t="n">
        <v>0.166963767614498</v>
      </c>
      <c r="D63" s="10" t="n">
        <v>18</v>
      </c>
      <c r="E63" s="33" t="n">
        <v>0.166963767614498</v>
      </c>
      <c r="F63" s="10" t="n">
        <v>18</v>
      </c>
      <c r="G63" s="33" t="n">
        <v>0.0791012390959208</v>
      </c>
      <c r="H63" s="10" t="n">
        <v>18</v>
      </c>
      <c r="I63" s="33" t="n">
        <v>0.144205781814566</v>
      </c>
      <c r="J63" s="10" t="n">
        <v>10</v>
      </c>
      <c r="K63" s="33" t="n">
        <v>0.144205781814566</v>
      </c>
      <c r="L63" s="10" t="n">
        <v>10</v>
      </c>
      <c r="M63" s="33" t="n">
        <v>0.0382861309204356</v>
      </c>
      <c r="N63" s="10" t="n">
        <v>10</v>
      </c>
      <c r="O63" s="33" t="n">
        <v>0.277699804884701</v>
      </c>
      <c r="P63" s="10" t="n">
        <v>8</v>
      </c>
      <c r="Q63" s="33" t="n">
        <v>0.277699804884701</v>
      </c>
      <c r="R63" s="10" t="n">
        <v>8</v>
      </c>
      <c r="S63" s="33" t="n">
        <v>0.277699804884701</v>
      </c>
      <c r="T63" s="13" t="n">
        <v>8</v>
      </c>
    </row>
    <row r="64">
      <c r="C64" s="34"/>
      <c r="E64" s="34"/>
      <c r="G64" s="34"/>
      <c r="I64" s="34"/>
      <c r="K64" s="34"/>
      <c r="M64" s="34"/>
      <c r="O64" s="34"/>
      <c r="Q64" s="34"/>
      <c r="S64" s="34"/>
    </row>
    <row r="65">
      <c r="A65" s="2" t="s">
        <v>68</v>
      </c>
      <c r="B65" s="2"/>
      <c r="C65" s="30"/>
      <c r="D65" s="2"/>
      <c r="E65" s="30"/>
      <c r="F65" s="2"/>
      <c r="G65" s="30"/>
      <c r="H65" s="2"/>
      <c r="I65" s="30"/>
      <c r="J65" s="2"/>
      <c r="K65" s="30"/>
      <c r="L65" s="2"/>
      <c r="M65" s="30"/>
      <c r="N65" s="2"/>
      <c r="O65" s="30"/>
      <c r="P65" s="2"/>
      <c r="Q65" s="30"/>
      <c r="R65" s="2"/>
      <c r="S65" s="30"/>
      <c r="T65" s="2"/>
    </row>
    <row r="66" outlineLevel="1" hidden="0">
      <c r="A66" s="6" t="s">
        <v>14</v>
      </c>
      <c r="B66" s="9" t="s">
        <v>66</v>
      </c>
      <c r="C66" s="32" t="n">
        <v>0.487596992682651</v>
      </c>
      <c r="D66" s="9" t="n">
        <v>1026</v>
      </c>
      <c r="E66" s="32" t="n">
        <v>0.487596992682651</v>
      </c>
      <c r="F66" s="9" t="n">
        <v>1026</v>
      </c>
      <c r="G66" s="32" t="n">
        <v>0.353449647945985</v>
      </c>
      <c r="H66" s="9" t="n">
        <v>1026</v>
      </c>
      <c r="I66" s="32" t="n">
        <v>0.428563987023507</v>
      </c>
      <c r="J66" s="9" t="n">
        <v>490</v>
      </c>
      <c r="K66" s="32" t="n">
        <v>0.428563987023507</v>
      </c>
      <c r="L66" s="9" t="n">
        <v>490</v>
      </c>
      <c r="M66" s="32" t="n">
        <v>0.331509566830542</v>
      </c>
      <c r="N66" s="9" t="n">
        <v>490</v>
      </c>
      <c r="O66" s="32" t="n">
        <v>0.538817716572341</v>
      </c>
      <c r="P66" s="9" t="n">
        <v>536</v>
      </c>
      <c r="Q66" s="32" t="n">
        <v>0.538817716572341</v>
      </c>
      <c r="R66" s="9" t="n">
        <v>536</v>
      </c>
      <c r="S66" s="32" t="n">
        <v>0.372486233062796</v>
      </c>
      <c r="T66" s="11" t="n">
        <v>536</v>
      </c>
    </row>
    <row r="67" outlineLevel="1" hidden="0">
      <c r="A67" s="8" t="s">
        <v>14</v>
      </c>
      <c r="B67" s="10" t="s">
        <v>67</v>
      </c>
      <c r="C67" s="33" t="n">
        <v>0.316229980397186</v>
      </c>
      <c r="D67" s="10" t="n">
        <v>39</v>
      </c>
      <c r="E67" s="33" t="n">
        <v>0.316229980397186</v>
      </c>
      <c r="F67" s="10" t="n">
        <v>39</v>
      </c>
      <c r="G67" s="33" t="n">
        <v>0.11785124117993</v>
      </c>
      <c r="H67" s="10" t="n">
        <v>39</v>
      </c>
      <c r="I67" s="33" t="n">
        <v>0.266621572640096</v>
      </c>
      <c r="J67" s="10" t="n">
        <v>19</v>
      </c>
      <c r="K67" s="33" t="n">
        <v>0.266621572640096</v>
      </c>
      <c r="L67" s="10" t="n">
        <v>19</v>
      </c>
      <c r="M67" s="33" t="n">
        <v>0.0704548749371431</v>
      </c>
      <c r="N67" s="10" t="n">
        <v>19</v>
      </c>
      <c r="O67" s="33" t="n">
        <v>0.436451378538032</v>
      </c>
      <c r="P67" s="10" t="n">
        <v>20</v>
      </c>
      <c r="Q67" s="33" t="n">
        <v>0.436451378538032</v>
      </c>
      <c r="R67" s="10" t="n">
        <v>20</v>
      </c>
      <c r="S67" s="33" t="n">
        <v>0.232711960846728</v>
      </c>
      <c r="T67" s="13" t="n">
        <v>20</v>
      </c>
    </row>
    <row r="68">
      <c r="C68" s="34"/>
      <c r="E68" s="34"/>
      <c r="G68" s="34"/>
      <c r="I68" s="34"/>
      <c r="K68" s="34"/>
      <c r="M68" s="34"/>
      <c r="O68" s="34"/>
      <c r="Q68" s="34"/>
      <c r="S68" s="34"/>
    </row>
    <row r="69">
      <c r="C69" s="34"/>
      <c r="E69" s="34"/>
      <c r="G69" s="34"/>
      <c r="I69" s="34"/>
      <c r="K69" s="34"/>
      <c r="M69" s="34"/>
      <c r="O69" s="34"/>
      <c r="Q69" s="34"/>
      <c r="S69" s="34"/>
    </row>
  </sheetData>
  <mergeCells count="25">
    <mergeCell ref="A1:T1"/>
    <mergeCell ref="C2:H2"/>
    <mergeCell ref="I2:N2"/>
    <mergeCell ref="O2:T2"/>
    <mergeCell ref="E3:H3"/>
    <mergeCell ref="K3:N3"/>
    <mergeCell ref="Q3:T3"/>
    <mergeCell ref="E4:F4"/>
    <mergeCell ref="G4:H4"/>
    <mergeCell ref="C4:D4"/>
    <mergeCell ref="K4:L4"/>
    <mergeCell ref="M4:N4"/>
    <mergeCell ref="I4:J4"/>
    <mergeCell ref="Q4:R4"/>
    <mergeCell ref="S4:T4"/>
    <mergeCell ref="O4:P4"/>
    <mergeCell ref="A6:T6"/>
    <mergeCell ref="A9:T9"/>
    <mergeCell ref="A16:T16"/>
    <mergeCell ref="A39:T39"/>
    <mergeCell ref="A44:T44"/>
    <mergeCell ref="A48:T48"/>
    <mergeCell ref="A53:T53"/>
    <mergeCell ref="A61:T61"/>
    <mergeCell ref="A65:T65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C2" s="2" t="s">
        <v>2</v>
      </c>
      <c r="D2" s="2"/>
      <c r="E2" s="2"/>
      <c r="F2" s="2"/>
      <c r="G2" s="2" t="s">
        <v>3</v>
      </c>
      <c r="H2" s="2"/>
      <c r="I2" s="2"/>
      <c r="J2" s="2"/>
      <c r="K2" s="2" t="s">
        <v>4</v>
      </c>
      <c r="L2" s="2"/>
      <c r="M2" s="2"/>
      <c r="N2" s="2"/>
    </row>
    <row r="3">
      <c r="E3" s="2" t="s">
        <v>83</v>
      </c>
      <c r="F3" s="2"/>
      <c r="I3" s="2" t="s">
        <v>83</v>
      </c>
      <c r="J3" s="2"/>
      <c r="M3" s="2" t="s">
        <v>83</v>
      </c>
      <c r="N3" s="2"/>
    </row>
    <row r="4">
      <c r="C4" s="2" t="s">
        <v>9</v>
      </c>
      <c r="D4" s="2"/>
      <c r="E4" s="2" t="s">
        <v>87</v>
      </c>
      <c r="F4" s="2"/>
      <c r="G4" s="2" t="s">
        <v>9</v>
      </c>
      <c r="H4" s="2"/>
      <c r="I4" s="2" t="s">
        <v>87</v>
      </c>
      <c r="J4" s="2"/>
      <c r="K4" s="2" t="s">
        <v>9</v>
      </c>
      <c r="L4" s="2"/>
      <c r="M4" s="2" t="s">
        <v>87</v>
      </c>
      <c r="N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</row>
    <row r="6">
      <c r="A6" s="2" t="s">
        <v>15</v>
      </c>
      <c r="B6" s="2"/>
      <c r="C6" s="35"/>
      <c r="D6" s="2"/>
      <c r="E6" s="35"/>
      <c r="F6" s="2"/>
      <c r="G6" s="35"/>
      <c r="H6" s="2"/>
      <c r="I6" s="35"/>
      <c r="J6" s="2"/>
      <c r="K6" s="35"/>
      <c r="L6" s="2"/>
      <c r="M6" s="35"/>
      <c r="N6" s="2"/>
    </row>
    <row r="7" outlineLevel="1" hidden="0">
      <c r="A7" s="3" t="s">
        <v>14</v>
      </c>
      <c r="B7" s="4" t="s">
        <v>17</v>
      </c>
      <c r="C7" s="36" t="n">
        <v>0.831213601519806</v>
      </c>
      <c r="D7" s="4" t="n">
        <v>6423</v>
      </c>
      <c r="E7" s="36" t="n">
        <v>0.825648724899068</v>
      </c>
      <c r="F7" s="4" t="n">
        <v>6423</v>
      </c>
      <c r="G7" s="36" t="n">
        <v>0.824719487411758</v>
      </c>
      <c r="H7" s="4" t="n">
        <v>3144</v>
      </c>
      <c r="I7" s="36" t="n">
        <v>0.820606275586217</v>
      </c>
      <c r="J7" s="4" t="n">
        <v>3144</v>
      </c>
      <c r="K7" s="36" t="n">
        <v>0.836869388123325</v>
      </c>
      <c r="L7" s="4" t="n">
        <v>3279</v>
      </c>
      <c r="M7" s="36" t="n">
        <v>0.830040242633135</v>
      </c>
      <c r="N7" s="5" t="n">
        <v>3279</v>
      </c>
    </row>
    <row r="8">
      <c r="C8" s="39"/>
      <c r="E8" s="39"/>
      <c r="G8" s="39"/>
      <c r="I8" s="39"/>
      <c r="K8" s="39"/>
      <c r="M8" s="39"/>
    </row>
    <row r="9">
      <c r="A9" s="2" t="s">
        <v>20</v>
      </c>
      <c r="B9" s="2"/>
      <c r="C9" s="35"/>
      <c r="D9" s="2"/>
      <c r="E9" s="35"/>
      <c r="F9" s="2"/>
      <c r="G9" s="35"/>
      <c r="H9" s="2"/>
      <c r="I9" s="35"/>
      <c r="J9" s="2"/>
      <c r="K9" s="35"/>
      <c r="L9" s="2"/>
      <c r="M9" s="35"/>
      <c r="N9" s="2"/>
    </row>
    <row r="10" outlineLevel="1" hidden="0">
      <c r="A10" s="6" t="s">
        <v>14</v>
      </c>
      <c r="B10" s="9" t="s">
        <v>21</v>
      </c>
      <c r="C10" s="37" t="n">
        <v>0.858322757100373</v>
      </c>
      <c r="D10" s="9" t="n">
        <v>1669</v>
      </c>
      <c r="E10" s="37" t="n">
        <v>0.857681214939952</v>
      </c>
      <c r="F10" s="9" t="n">
        <v>1669</v>
      </c>
      <c r="G10" s="37" t="n">
        <v>0.844833811525749</v>
      </c>
      <c r="H10" s="9" t="n">
        <v>796</v>
      </c>
      <c r="I10" s="37" t="n">
        <v>0.844833811525749</v>
      </c>
      <c r="J10" s="9" t="n">
        <v>796</v>
      </c>
      <c r="K10" s="37" t="n">
        <v>0.870300639454179</v>
      </c>
      <c r="L10" s="9" t="n">
        <v>873</v>
      </c>
      <c r="M10" s="37" t="n">
        <v>0.869089422186092</v>
      </c>
      <c r="N10" s="11" t="n">
        <v>873</v>
      </c>
    </row>
    <row r="11" outlineLevel="1" hidden="0">
      <c r="A11" s="7" t="s">
        <v>14</v>
      </c>
      <c r="B11" t="s">
        <v>22</v>
      </c>
      <c r="C11" s="39" t="n">
        <v>0.8934944951344</v>
      </c>
      <c r="D11" t="n">
        <v>1456</v>
      </c>
      <c r="E11" s="39" t="n">
        <v>0.884567241850866</v>
      </c>
      <c r="F11" t="n">
        <v>1456</v>
      </c>
      <c r="G11" s="39" t="n">
        <v>0.896169644945029</v>
      </c>
      <c r="H11" t="n">
        <v>714</v>
      </c>
      <c r="I11" s="39" t="n">
        <v>0.890688117586103</v>
      </c>
      <c r="J11" t="n">
        <v>714</v>
      </c>
      <c r="K11" s="39" t="n">
        <v>0.891360073787755</v>
      </c>
      <c r="L11" t="n">
        <v>742</v>
      </c>
      <c r="M11" s="39" t="n">
        <v>0.879683579718174</v>
      </c>
      <c r="N11" s="12" t="n">
        <v>742</v>
      </c>
    </row>
    <row r="12" outlineLevel="1" hidden="0">
      <c r="A12" s="7" t="s">
        <v>14</v>
      </c>
      <c r="B12" t="s">
        <v>23</v>
      </c>
      <c r="C12" s="39" t="n">
        <v>0.756032783293356</v>
      </c>
      <c r="D12" t="n">
        <v>1370</v>
      </c>
      <c r="E12" s="39" t="n">
        <v>0.746431871255701</v>
      </c>
      <c r="F12" t="n">
        <v>1370</v>
      </c>
      <c r="G12" s="39" t="n">
        <v>0.75970654411423</v>
      </c>
      <c r="H12" t="n">
        <v>676</v>
      </c>
      <c r="I12" s="39" t="n">
        <v>0.749786711414906</v>
      </c>
      <c r="J12" t="n">
        <v>676</v>
      </c>
      <c r="K12" s="39" t="n">
        <v>0.752549318797397</v>
      </c>
      <c r="L12" t="n">
        <v>694</v>
      </c>
      <c r="M12" s="39" t="n">
        <v>0.743250807720533</v>
      </c>
      <c r="N12" s="12" t="n">
        <v>694</v>
      </c>
    </row>
    <row r="13" outlineLevel="1" hidden="0">
      <c r="A13" s="7" t="s">
        <v>14</v>
      </c>
      <c r="B13" t="s">
        <v>24</v>
      </c>
      <c r="C13" s="39" t="n">
        <v>0.641640394499072</v>
      </c>
      <c r="D13" t="n">
        <v>874</v>
      </c>
      <c r="E13" s="39" t="n">
        <v>0.641640394499072</v>
      </c>
      <c r="F13" t="n">
        <v>874</v>
      </c>
      <c r="G13" s="39" t="n">
        <v>0.625215754413856</v>
      </c>
      <c r="H13" t="n">
        <v>452</v>
      </c>
      <c r="I13" s="39" t="n">
        <v>0.625215754413856</v>
      </c>
      <c r="J13" t="n">
        <v>452</v>
      </c>
      <c r="K13" s="39" t="n">
        <v>0.658928489001339</v>
      </c>
      <c r="L13" t="n">
        <v>422</v>
      </c>
      <c r="M13" s="39" t="n">
        <v>0.658928489001339</v>
      </c>
      <c r="N13" s="12" t="n">
        <v>422</v>
      </c>
    </row>
    <row r="14" outlineLevel="1" hidden="0">
      <c r="A14" s="8" t="s">
        <v>14</v>
      </c>
      <c r="B14" s="10" t="s">
        <v>25</v>
      </c>
      <c r="C14" s="38" t="n">
        <v>0.770880283241687</v>
      </c>
      <c r="D14" s="10" t="n">
        <v>1054</v>
      </c>
      <c r="E14" s="38" t="n">
        <v>0.768863239210999</v>
      </c>
      <c r="F14" s="10" t="n">
        <v>1054</v>
      </c>
      <c r="G14" s="38" t="n">
        <v>0.767134403220284</v>
      </c>
      <c r="H14" s="10" t="n">
        <v>506</v>
      </c>
      <c r="I14" s="38" t="n">
        <v>0.764468583243957</v>
      </c>
      <c r="J14" s="10" t="n">
        <v>506</v>
      </c>
      <c r="K14" s="38" t="n">
        <v>0.774250326359111</v>
      </c>
      <c r="L14" s="10" t="n">
        <v>548</v>
      </c>
      <c r="M14" s="38" t="n">
        <v>0.772816964373194</v>
      </c>
      <c r="N14" s="13" t="n">
        <v>548</v>
      </c>
    </row>
    <row r="15">
      <c r="C15" s="39"/>
      <c r="E15" s="39"/>
      <c r="G15" s="39"/>
      <c r="I15" s="39"/>
      <c r="K15" s="39"/>
      <c r="M15" s="39"/>
    </row>
    <row r="16">
      <c r="A16" s="2" t="s">
        <v>26</v>
      </c>
      <c r="B16" s="2"/>
      <c r="C16" s="35"/>
      <c r="D16" s="2"/>
      <c r="E16" s="35"/>
      <c r="F16" s="2"/>
      <c r="G16" s="35"/>
      <c r="H16" s="2"/>
      <c r="I16" s="35"/>
      <c r="J16" s="2"/>
      <c r="K16" s="35"/>
      <c r="L16" s="2"/>
      <c r="M16" s="35"/>
      <c r="N16" s="2"/>
    </row>
    <row r="17" outlineLevel="1" hidden="0">
      <c r="A17" s="6" t="s">
        <v>14</v>
      </c>
      <c r="B17" s="9" t="s">
        <v>27</v>
      </c>
      <c r="C17" s="37" t="n">
        <v>0.781506143165586</v>
      </c>
      <c r="D17" s="9" t="n">
        <v>169</v>
      </c>
      <c r="E17" s="37" t="n">
        <v>0.781506143165586</v>
      </c>
      <c r="F17" s="9" t="n">
        <v>169</v>
      </c>
      <c r="G17" s="37" t="n">
        <v>0.730509792114554</v>
      </c>
      <c r="H17" s="9" t="n">
        <v>79</v>
      </c>
      <c r="I17" s="37" t="n">
        <v>0.730509792114554</v>
      </c>
      <c r="J17" s="9" t="n">
        <v>79</v>
      </c>
      <c r="K17" s="37" t="n">
        <v>0.829124549634386</v>
      </c>
      <c r="L17" s="9" t="n">
        <v>90</v>
      </c>
      <c r="M17" s="37" t="n">
        <v>0.829124549634386</v>
      </c>
      <c r="N17" s="11" t="n">
        <v>90</v>
      </c>
    </row>
    <row r="18" outlineLevel="1" hidden="0">
      <c r="A18" s="7" t="s">
        <v>14</v>
      </c>
      <c r="B18" t="s">
        <v>28</v>
      </c>
      <c r="C18" s="39" t="n">
        <v>0.891757283635008</v>
      </c>
      <c r="D18" t="n">
        <v>242</v>
      </c>
      <c r="E18" s="39" t="n">
        <v>0.891757283635008</v>
      </c>
      <c r="F18" t="n">
        <v>242</v>
      </c>
      <c r="G18" s="39" t="n">
        <v>0.927385340614046</v>
      </c>
      <c r="H18" t="n">
        <v>106</v>
      </c>
      <c r="I18" s="39" t="n">
        <v>0.927385340614046</v>
      </c>
      <c r="J18" t="n">
        <v>106</v>
      </c>
      <c r="K18" s="39" t="n">
        <v>0.861439614937936</v>
      </c>
      <c r="L18" t="n">
        <v>136</v>
      </c>
      <c r="M18" s="39" t="n">
        <v>0.861439614937936</v>
      </c>
      <c r="N18" s="12" t="n">
        <v>136</v>
      </c>
    </row>
    <row r="19" outlineLevel="1" hidden="0">
      <c r="A19" s="7" t="s">
        <v>14</v>
      </c>
      <c r="B19" t="s">
        <v>29</v>
      </c>
      <c r="C19" s="39" t="n">
        <v>0.929453426453387</v>
      </c>
      <c r="D19" t="n">
        <v>366</v>
      </c>
      <c r="E19" s="39" t="n">
        <v>0.929453426453387</v>
      </c>
      <c r="F19" t="n">
        <v>366</v>
      </c>
      <c r="G19" s="39" t="n">
        <v>0.89546013148807</v>
      </c>
      <c r="H19" t="n">
        <v>178</v>
      </c>
      <c r="I19" s="39" t="n">
        <v>0.89546013148807</v>
      </c>
      <c r="J19" t="n">
        <v>178</v>
      </c>
      <c r="K19" s="39" t="n">
        <v>0.955904733340445</v>
      </c>
      <c r="L19" t="n">
        <v>188</v>
      </c>
      <c r="M19" s="39" t="n">
        <v>0.955904733340445</v>
      </c>
      <c r="N19" s="12" t="n">
        <v>188</v>
      </c>
    </row>
    <row r="20" outlineLevel="1" hidden="0">
      <c r="A20" s="7" t="s">
        <v>14</v>
      </c>
      <c r="B20" t="s">
        <v>30</v>
      </c>
      <c r="C20" s="39" t="n">
        <v>0.924514941509634</v>
      </c>
      <c r="D20" t="n">
        <v>211</v>
      </c>
      <c r="E20" s="39" t="n">
        <v>0.924514941509634</v>
      </c>
      <c r="F20" t="n">
        <v>211</v>
      </c>
      <c r="G20" s="39" t="n">
        <v>0.885877785950131</v>
      </c>
      <c r="H20" t="n">
        <v>98</v>
      </c>
      <c r="I20" s="39" t="n">
        <v>0.885877785950131</v>
      </c>
      <c r="J20" t="n">
        <v>98</v>
      </c>
      <c r="K20" s="39" t="n">
        <v>0.955631644007129</v>
      </c>
      <c r="L20" t="n">
        <v>113</v>
      </c>
      <c r="M20" s="39" t="n">
        <v>0.955631644007129</v>
      </c>
      <c r="N20" s="12" t="n">
        <v>113</v>
      </c>
    </row>
    <row r="21" outlineLevel="1" hidden="0">
      <c r="A21" s="7" t="s">
        <v>14</v>
      </c>
      <c r="B21" t="s">
        <v>31</v>
      </c>
      <c r="C21" s="39" t="n">
        <v>0.798875170635567</v>
      </c>
      <c r="D21" t="n">
        <v>245</v>
      </c>
      <c r="E21" s="39" t="n">
        <v>0.798875170635567</v>
      </c>
      <c r="F21" t="n">
        <v>245</v>
      </c>
      <c r="G21" s="39" t="n">
        <v>0.829054534429108</v>
      </c>
      <c r="H21" t="n">
        <v>117</v>
      </c>
      <c r="I21" s="39" t="n">
        <v>0.829054534429108</v>
      </c>
      <c r="J21" t="n">
        <v>117</v>
      </c>
      <c r="K21" s="39" t="n">
        <v>0.769697468872895</v>
      </c>
      <c r="L21" t="n">
        <v>128</v>
      </c>
      <c r="M21" s="39" t="n">
        <v>0.769697468872895</v>
      </c>
      <c r="N21" s="12" t="n">
        <v>128</v>
      </c>
    </row>
    <row r="22" outlineLevel="1" hidden="0">
      <c r="A22" s="7" t="s">
        <v>14</v>
      </c>
      <c r="B22" t="s">
        <v>32</v>
      </c>
      <c r="C22" s="39" t="n">
        <v>0.845652174479301</v>
      </c>
      <c r="D22" t="n">
        <v>267</v>
      </c>
      <c r="E22" s="39" t="n">
        <v>0.845652174479301</v>
      </c>
      <c r="F22" t="n">
        <v>267</v>
      </c>
      <c r="G22" s="39" t="n">
        <v>0.831839460995146</v>
      </c>
      <c r="H22" t="n">
        <v>132</v>
      </c>
      <c r="I22" s="39" t="n">
        <v>0.831839460995146</v>
      </c>
      <c r="J22" t="n">
        <v>132</v>
      </c>
      <c r="K22" s="39" t="n">
        <v>0.858647414194268</v>
      </c>
      <c r="L22" t="n">
        <v>135</v>
      </c>
      <c r="M22" s="39" t="n">
        <v>0.858647414194268</v>
      </c>
      <c r="N22" s="12" t="n">
        <v>135</v>
      </c>
    </row>
    <row r="23" outlineLevel="1" hidden="0">
      <c r="A23" s="7" t="s">
        <v>14</v>
      </c>
      <c r="B23" t="s">
        <v>33</v>
      </c>
      <c r="C23" s="39" t="n">
        <v>0.800522613643787</v>
      </c>
      <c r="D23" t="n">
        <v>169</v>
      </c>
      <c r="E23" s="39" t="n">
        <v>0.791219067183493</v>
      </c>
      <c r="F23" t="n">
        <v>169</v>
      </c>
      <c r="G23" s="39" t="n">
        <v>0.817380888880236</v>
      </c>
      <c r="H23" t="n">
        <v>86</v>
      </c>
      <c r="I23" s="39" t="n">
        <v>0.817380888880236</v>
      </c>
      <c r="J23" t="n">
        <v>86</v>
      </c>
      <c r="K23" s="39" t="n">
        <v>0.782213523073543</v>
      </c>
      <c r="L23" t="n">
        <v>83</v>
      </c>
      <c r="M23" s="39" t="n">
        <v>0.762805771267397</v>
      </c>
      <c r="N23" s="12" t="n">
        <v>83</v>
      </c>
    </row>
    <row r="24" outlineLevel="1" hidden="0">
      <c r="A24" s="7" t="s">
        <v>14</v>
      </c>
      <c r="B24" t="s">
        <v>34</v>
      </c>
      <c r="C24" s="39" t="n">
        <v>0.871490869433906</v>
      </c>
      <c r="D24" t="n">
        <v>355</v>
      </c>
      <c r="E24" s="39" t="n">
        <v>0.861561809184697</v>
      </c>
      <c r="F24" t="n">
        <v>355</v>
      </c>
      <c r="G24" s="39" t="n">
        <v>0.875113308009103</v>
      </c>
      <c r="H24" t="n">
        <v>169</v>
      </c>
      <c r="I24" s="39" t="n">
        <v>0.864500417003368</v>
      </c>
      <c r="J24" t="n">
        <v>169</v>
      </c>
      <c r="K24" s="39" t="n">
        <v>0.868306989046382</v>
      </c>
      <c r="L24" t="n">
        <v>186</v>
      </c>
      <c r="M24" s="39" t="n">
        <v>0.858978970136836</v>
      </c>
      <c r="N24" s="12" t="n">
        <v>186</v>
      </c>
    </row>
    <row r="25" outlineLevel="1" hidden="0">
      <c r="A25" s="7" t="s">
        <v>14</v>
      </c>
      <c r="B25" t="s">
        <v>35</v>
      </c>
      <c r="C25" s="39" t="n">
        <v>0.894231272329364</v>
      </c>
      <c r="D25" t="n">
        <v>550</v>
      </c>
      <c r="E25" s="39" t="n">
        <v>0.886499585137268</v>
      </c>
      <c r="F25" t="n">
        <v>550</v>
      </c>
      <c r="G25" s="39" t="n">
        <v>0.897144927912156</v>
      </c>
      <c r="H25" t="n">
        <v>275</v>
      </c>
      <c r="I25" s="39" t="n">
        <v>0.89613414785374</v>
      </c>
      <c r="J25" t="n">
        <v>275</v>
      </c>
      <c r="K25" s="39" t="n">
        <v>0.892070802978109</v>
      </c>
      <c r="L25" t="n">
        <v>275</v>
      </c>
      <c r="M25" s="39" t="n">
        <v>0.879355577594093</v>
      </c>
      <c r="N25" s="12" t="n">
        <v>275</v>
      </c>
    </row>
    <row r="26" outlineLevel="1" hidden="0">
      <c r="A26" s="7" t="s">
        <v>14</v>
      </c>
      <c r="B26" t="s">
        <v>36</v>
      </c>
      <c r="C26" s="39" t="n">
        <v>0.940432983048556</v>
      </c>
      <c r="D26" t="n">
        <v>304</v>
      </c>
      <c r="E26" s="39" t="n">
        <v>0.928342668217051</v>
      </c>
      <c r="F26" t="n">
        <v>304</v>
      </c>
      <c r="G26" s="39" t="n">
        <v>0.934836103843299</v>
      </c>
      <c r="H26" t="n">
        <v>153</v>
      </c>
      <c r="I26" s="39" t="n">
        <v>0.920252298033208</v>
      </c>
      <c r="J26" t="n">
        <v>153</v>
      </c>
      <c r="K26" s="39" t="n">
        <v>0.945972907095191</v>
      </c>
      <c r="L26" t="n">
        <v>151</v>
      </c>
      <c r="M26" s="39" t="n">
        <v>0.936350708891853</v>
      </c>
      <c r="N26" s="12" t="n">
        <v>151</v>
      </c>
    </row>
    <row r="27" outlineLevel="1" hidden="0">
      <c r="A27" s="7" t="s">
        <v>14</v>
      </c>
      <c r="B27" t="s">
        <v>37</v>
      </c>
      <c r="C27" s="39" t="n">
        <v>0.911927420731867</v>
      </c>
      <c r="D27" t="n">
        <v>247</v>
      </c>
      <c r="E27" s="39" t="n">
        <v>0.898110173737007</v>
      </c>
      <c r="F27" t="n">
        <v>247</v>
      </c>
      <c r="G27" s="39" t="n">
        <v>0.919163729487015</v>
      </c>
      <c r="H27" t="n">
        <v>117</v>
      </c>
      <c r="I27" s="39" t="n">
        <v>0.904067119545339</v>
      </c>
      <c r="J27" t="n">
        <v>117</v>
      </c>
      <c r="K27" s="39" t="n">
        <v>0.905827667491816</v>
      </c>
      <c r="L27" t="n">
        <v>130</v>
      </c>
      <c r="M27" s="39" t="n">
        <v>0.893088843010987</v>
      </c>
      <c r="N27" s="12" t="n">
        <v>130</v>
      </c>
    </row>
    <row r="28" outlineLevel="1" hidden="0">
      <c r="A28" s="7" t="s">
        <v>14</v>
      </c>
      <c r="B28" t="s">
        <v>38</v>
      </c>
      <c r="C28" s="39" t="n">
        <v>0.678643398602236</v>
      </c>
      <c r="D28" t="n">
        <v>696</v>
      </c>
      <c r="E28" s="39" t="n">
        <v>0.670492785072008</v>
      </c>
      <c r="F28" t="n">
        <v>696</v>
      </c>
      <c r="G28" s="39" t="n">
        <v>0.687875832681899</v>
      </c>
      <c r="H28" t="n">
        <v>364</v>
      </c>
      <c r="I28" s="39" t="n">
        <v>0.681481420294126</v>
      </c>
      <c r="J28" t="n">
        <v>364</v>
      </c>
      <c r="K28" s="39" t="n">
        <v>0.669466875247861</v>
      </c>
      <c r="L28" t="n">
        <v>332</v>
      </c>
      <c r="M28" s="39" t="n">
        <v>0.659570695958954</v>
      </c>
      <c r="N28" s="12" t="n">
        <v>332</v>
      </c>
    </row>
    <row r="29" outlineLevel="1" hidden="0">
      <c r="A29" s="7" t="s">
        <v>14</v>
      </c>
      <c r="B29" t="s">
        <v>39</v>
      </c>
      <c r="C29" s="39" t="n">
        <v>0.871881014624391</v>
      </c>
      <c r="D29" t="n">
        <v>275</v>
      </c>
      <c r="E29" s="39" t="n">
        <v>0.862048582894695</v>
      </c>
      <c r="F29" t="n">
        <v>275</v>
      </c>
      <c r="G29" s="39" t="n">
        <v>0.887362772510036</v>
      </c>
      <c r="H29" t="n">
        <v>127</v>
      </c>
      <c r="I29" s="39" t="n">
        <v>0.880510443524679</v>
      </c>
      <c r="J29" t="n">
        <v>127</v>
      </c>
      <c r="K29" s="39" t="n">
        <v>0.857687108746417</v>
      </c>
      <c r="L29" t="n">
        <v>148</v>
      </c>
      <c r="M29" s="39" t="n">
        <v>0.845122474499909</v>
      </c>
      <c r="N29" s="12" t="n">
        <v>148</v>
      </c>
    </row>
    <row r="30" outlineLevel="1" hidden="0">
      <c r="A30" s="7" t="s">
        <v>14</v>
      </c>
      <c r="B30" t="s">
        <v>40</v>
      </c>
      <c r="C30" s="39" t="n">
        <v>0.833165754604791</v>
      </c>
      <c r="D30" t="n">
        <v>227</v>
      </c>
      <c r="E30" s="39" t="n">
        <v>0.815706858231842</v>
      </c>
      <c r="F30" t="n">
        <v>227</v>
      </c>
      <c r="G30" s="39" t="n">
        <v>0.826950510572458</v>
      </c>
      <c r="H30" t="n">
        <v>107</v>
      </c>
      <c r="I30" s="39" t="n">
        <v>0.795524173348231</v>
      </c>
      <c r="J30" t="n">
        <v>107</v>
      </c>
      <c r="K30" s="39" t="n">
        <v>0.838731184893393</v>
      </c>
      <c r="L30" t="n">
        <v>120</v>
      </c>
      <c r="M30" s="39" t="n">
        <v>0.833779411002452</v>
      </c>
      <c r="N30" s="12" t="n">
        <v>120</v>
      </c>
    </row>
    <row r="31" outlineLevel="1" hidden="0">
      <c r="A31" s="7" t="s">
        <v>14</v>
      </c>
      <c r="B31" t="s">
        <v>41</v>
      </c>
      <c r="C31" s="39" t="n">
        <v>0.78120687496812</v>
      </c>
      <c r="D31" t="n">
        <v>172</v>
      </c>
      <c r="E31" s="39" t="n">
        <v>0.775428652051415</v>
      </c>
      <c r="F31" t="n">
        <v>172</v>
      </c>
      <c r="G31" s="39" t="n">
        <v>0.734268354756843</v>
      </c>
      <c r="H31" t="n">
        <v>78</v>
      </c>
      <c r="I31" s="39" t="n">
        <v>0.72142582161705</v>
      </c>
      <c r="J31" t="n">
        <v>78</v>
      </c>
      <c r="K31" s="39" t="n">
        <v>0.819600040697824</v>
      </c>
      <c r="L31" t="n">
        <v>94</v>
      </c>
      <c r="M31" s="39" t="n">
        <v>0.819600040697824</v>
      </c>
      <c r="N31" s="12" t="n">
        <v>94</v>
      </c>
    </row>
    <row r="32" outlineLevel="1" hidden="0">
      <c r="A32" s="7" t="s">
        <v>14</v>
      </c>
      <c r="B32" t="s">
        <v>42</v>
      </c>
      <c r="C32" s="39" t="n">
        <v>0.528205776729479</v>
      </c>
      <c r="D32" t="n">
        <v>469</v>
      </c>
      <c r="E32" s="39" t="n">
        <v>0.528205776729479</v>
      </c>
      <c r="F32" t="n">
        <v>469</v>
      </c>
      <c r="G32" s="39" t="n">
        <v>0.49880160099239</v>
      </c>
      <c r="H32" t="n">
        <v>224</v>
      </c>
      <c r="I32" s="39" t="n">
        <v>0.49880160099239</v>
      </c>
      <c r="J32" t="n">
        <v>224</v>
      </c>
      <c r="K32" s="39" t="n">
        <v>0.554754888259006</v>
      </c>
      <c r="L32" t="n">
        <v>245</v>
      </c>
      <c r="M32" s="39" t="n">
        <v>0.554754888259006</v>
      </c>
      <c r="N32" s="12" t="n">
        <v>245</v>
      </c>
    </row>
    <row r="33" outlineLevel="1" hidden="0">
      <c r="A33" s="7" t="s">
        <v>14</v>
      </c>
      <c r="B33" t="s">
        <v>43</v>
      </c>
      <c r="C33" s="39" t="n">
        <v>0.787779817805776</v>
      </c>
      <c r="D33" t="n">
        <v>255</v>
      </c>
      <c r="E33" s="39" t="n">
        <v>0.787779817805776</v>
      </c>
      <c r="F33" t="n">
        <v>255</v>
      </c>
      <c r="G33" s="39" t="n">
        <v>0.762368197566568</v>
      </c>
      <c r="H33" t="n">
        <v>155</v>
      </c>
      <c r="I33" s="39" t="n">
        <v>0.762368197566568</v>
      </c>
      <c r="J33" t="n">
        <v>155</v>
      </c>
      <c r="K33" s="39" t="n">
        <v>0.825200381291837</v>
      </c>
      <c r="L33" t="n">
        <v>100</v>
      </c>
      <c r="M33" s="39" t="n">
        <v>0.825200381291837</v>
      </c>
      <c r="N33" s="12" t="n">
        <v>100</v>
      </c>
    </row>
    <row r="34" outlineLevel="1" hidden="0">
      <c r="A34" s="7" t="s">
        <v>14</v>
      </c>
      <c r="B34" t="s">
        <v>44</v>
      </c>
      <c r="C34" s="39" t="n">
        <v>0.846185322273831</v>
      </c>
      <c r="D34" t="n">
        <v>150</v>
      </c>
      <c r="E34" s="39" t="n">
        <v>0.846185322273831</v>
      </c>
      <c r="F34" t="n">
        <v>150</v>
      </c>
      <c r="G34" s="39" t="n">
        <v>0.821676213645621</v>
      </c>
      <c r="H34" t="n">
        <v>73</v>
      </c>
      <c r="I34" s="39" t="n">
        <v>0.821676213645621</v>
      </c>
      <c r="J34" t="n">
        <v>73</v>
      </c>
      <c r="K34" s="39" t="n">
        <v>0.869388666501915</v>
      </c>
      <c r="L34" t="n">
        <v>77</v>
      </c>
      <c r="M34" s="39" t="n">
        <v>0.869388666501915</v>
      </c>
      <c r="N34" s="12" t="n">
        <v>77</v>
      </c>
    </row>
    <row r="35" outlineLevel="1" hidden="0">
      <c r="A35" s="7" t="s">
        <v>14</v>
      </c>
      <c r="B35" t="s">
        <v>45</v>
      </c>
      <c r="C35" s="39" t="n">
        <v>0.749558061019294</v>
      </c>
      <c r="D35" t="n">
        <v>423</v>
      </c>
      <c r="E35" s="39" t="n">
        <v>0.747701637733931</v>
      </c>
      <c r="F35" t="n">
        <v>423</v>
      </c>
      <c r="G35" s="39" t="n">
        <v>0.738029899686136</v>
      </c>
      <c r="H35" t="n">
        <v>190</v>
      </c>
      <c r="I35" s="39" t="n">
        <v>0.734029182274483</v>
      </c>
      <c r="J35" t="n">
        <v>190</v>
      </c>
      <c r="K35" s="39" t="n">
        <v>0.759538570163961</v>
      </c>
      <c r="L35" t="n">
        <v>233</v>
      </c>
      <c r="M35" s="39" t="n">
        <v>0.759538570163961</v>
      </c>
      <c r="N35" s="12" t="n">
        <v>233</v>
      </c>
    </row>
    <row r="36" outlineLevel="1" hidden="0">
      <c r="A36" s="7" t="s">
        <v>14</v>
      </c>
      <c r="B36" t="s">
        <v>46</v>
      </c>
      <c r="C36" s="39" t="n">
        <v>0.887938505304471</v>
      </c>
      <c r="D36" t="n">
        <v>339</v>
      </c>
      <c r="E36" s="39" t="n">
        <v>0.887938505304471</v>
      </c>
      <c r="F36" t="n">
        <v>339</v>
      </c>
      <c r="G36" s="39" t="n">
        <v>0.881225234585366</v>
      </c>
      <c r="H36" t="n">
        <v>177</v>
      </c>
      <c r="I36" s="39" t="n">
        <v>0.881225234585366</v>
      </c>
      <c r="J36" t="n">
        <v>177</v>
      </c>
      <c r="K36" s="39" t="n">
        <v>0.895362238511326</v>
      </c>
      <c r="L36" t="n">
        <v>162</v>
      </c>
      <c r="M36" s="39" t="n">
        <v>0.895362238511326</v>
      </c>
      <c r="N36" s="12" t="n">
        <v>162</v>
      </c>
    </row>
    <row r="37" outlineLevel="1" hidden="0">
      <c r="A37" s="8" t="s">
        <v>14</v>
      </c>
      <c r="B37" s="10" t="s">
        <v>47</v>
      </c>
      <c r="C37" s="38" t="n">
        <v>0.770819044772046</v>
      </c>
      <c r="D37" s="10" t="n">
        <v>292</v>
      </c>
      <c r="E37" s="38" t="n">
        <v>0.766968288085333</v>
      </c>
      <c r="F37" s="10" t="n">
        <v>292</v>
      </c>
      <c r="G37" s="38" t="n">
        <v>0.786040528240478</v>
      </c>
      <c r="H37" s="10" t="n">
        <v>139</v>
      </c>
      <c r="I37" s="38" t="n">
        <v>0.786040528240478</v>
      </c>
      <c r="J37" s="10" t="n">
        <v>139</v>
      </c>
      <c r="K37" s="38" t="n">
        <v>0.757091539990261</v>
      </c>
      <c r="L37" s="10" t="n">
        <v>153</v>
      </c>
      <c r="M37" s="38" t="n">
        <v>0.749767975877126</v>
      </c>
      <c r="N37" s="13" t="n">
        <v>153</v>
      </c>
    </row>
    <row r="38">
      <c r="C38" s="39"/>
      <c r="E38" s="39"/>
      <c r="G38" s="39"/>
      <c r="I38" s="39"/>
      <c r="K38" s="39"/>
      <c r="M38" s="39"/>
    </row>
    <row r="39">
      <c r="A39" s="2" t="s">
        <v>48</v>
      </c>
      <c r="B39" s="2"/>
      <c r="C39" s="35"/>
      <c r="D39" s="2"/>
      <c r="E39" s="35"/>
      <c r="F39" s="2"/>
      <c r="G39" s="35"/>
      <c r="H39" s="2"/>
      <c r="I39" s="35"/>
      <c r="J39" s="2"/>
      <c r="K39" s="35"/>
      <c r="L39" s="2"/>
      <c r="M39" s="35"/>
      <c r="N39" s="2"/>
    </row>
    <row r="40" outlineLevel="1" hidden="0">
      <c r="A40" s="6" t="s">
        <v>14</v>
      </c>
      <c r="B40" s="9" t="s">
        <v>49</v>
      </c>
      <c r="C40" s="37" t="n">
        <v>0.827446792093351</v>
      </c>
      <c r="D40" s="9" t="n">
        <v>1049</v>
      </c>
      <c r="E40" s="37" t="n">
        <v>0.817829713683742</v>
      </c>
      <c r="F40" s="9" t="n">
        <v>1049</v>
      </c>
      <c r="G40" s="37" t="n">
        <v>0.812642314923163</v>
      </c>
      <c r="H40" s="9" t="n">
        <v>513</v>
      </c>
      <c r="I40" s="37" t="n">
        <v>0.809858792160442</v>
      </c>
      <c r="J40" s="9" t="n">
        <v>513</v>
      </c>
      <c r="K40" s="37" t="n">
        <v>0.83939504977232</v>
      </c>
      <c r="L40" s="9" t="n">
        <v>536</v>
      </c>
      <c r="M40" s="37" t="n">
        <v>0.824262809780577</v>
      </c>
      <c r="N40" s="11" t="n">
        <v>536</v>
      </c>
    </row>
    <row r="41" outlineLevel="1" hidden="0">
      <c r="A41" s="7" t="s">
        <v>14</v>
      </c>
      <c r="B41" t="s">
        <v>50</v>
      </c>
      <c r="C41" s="39" t="n">
        <v>0.837152266819163</v>
      </c>
      <c r="D41" t="n">
        <v>1466</v>
      </c>
      <c r="E41" s="39" t="n">
        <v>0.831895964024615</v>
      </c>
      <c r="F41" t="n">
        <v>1466</v>
      </c>
      <c r="G41" s="39" t="n">
        <v>0.818205922480719</v>
      </c>
      <c r="H41" t="n">
        <v>697</v>
      </c>
      <c r="I41" s="39" t="n">
        <v>0.812771911677399</v>
      </c>
      <c r="J41" t="n">
        <v>697</v>
      </c>
      <c r="K41" s="39" t="n">
        <v>0.853755599127935</v>
      </c>
      <c r="L41" t="n">
        <v>769</v>
      </c>
      <c r="M41" s="39" t="n">
        <v>0.84865502796535</v>
      </c>
      <c r="N41" s="12" t="n">
        <v>769</v>
      </c>
    </row>
    <row r="42" outlineLevel="1" hidden="0">
      <c r="A42" s="8" t="s">
        <v>14</v>
      </c>
      <c r="B42" s="10" t="s">
        <v>51</v>
      </c>
      <c r="C42" s="38" t="n">
        <v>0.830824870365893</v>
      </c>
      <c r="D42" s="10" t="n">
        <v>3908</v>
      </c>
      <c r="E42" s="38" t="n">
        <v>0.827844320005408</v>
      </c>
      <c r="F42" s="10" t="n">
        <v>3908</v>
      </c>
      <c r="G42" s="38" t="n">
        <v>0.835494860696311</v>
      </c>
      <c r="H42" s="10" t="n">
        <v>1934</v>
      </c>
      <c r="I42" s="38" t="n">
        <v>0.83117967138635</v>
      </c>
      <c r="J42" s="10" t="n">
        <v>1934</v>
      </c>
      <c r="K42" s="38" t="n">
        <v>0.826557250241822</v>
      </c>
      <c r="L42" s="10" t="n">
        <v>1974</v>
      </c>
      <c r="M42" s="38" t="n">
        <v>0.824796345241639</v>
      </c>
      <c r="N42" s="13" t="n">
        <v>1974</v>
      </c>
    </row>
    <row r="43">
      <c r="C43" s="39"/>
      <c r="E43" s="39"/>
      <c r="G43" s="39"/>
      <c r="I43" s="39"/>
      <c r="K43" s="39"/>
      <c r="M43" s="39"/>
    </row>
    <row r="44">
      <c r="A44" s="2" t="s">
        <v>52</v>
      </c>
      <c r="B44" s="2"/>
      <c r="C44" s="35"/>
      <c r="D44" s="2"/>
      <c r="E44" s="35"/>
      <c r="F44" s="2"/>
      <c r="G44" s="35"/>
      <c r="H44" s="2"/>
      <c r="I44" s="35"/>
      <c r="J44" s="2"/>
      <c r="K44" s="35"/>
      <c r="L44" s="2"/>
      <c r="M44" s="35"/>
      <c r="N44" s="2"/>
    </row>
    <row r="45" outlineLevel="1" hidden="0">
      <c r="A45" s="6" t="s">
        <v>14</v>
      </c>
      <c r="B45" s="9" t="s">
        <v>53</v>
      </c>
      <c r="C45" s="37" t="n">
        <v>0.801316871953935</v>
      </c>
      <c r="D45" s="9" t="n">
        <v>1577</v>
      </c>
      <c r="E45" s="37" t="n">
        <v>0.788077387799518</v>
      </c>
      <c r="F45" s="9" t="n">
        <v>1577</v>
      </c>
      <c r="G45" s="37" t="n">
        <v>0.807412827941472</v>
      </c>
      <c r="H45" s="9" t="n">
        <v>802</v>
      </c>
      <c r="I45" s="37" t="n">
        <v>0.80125761018793</v>
      </c>
      <c r="J45" s="9" t="n">
        <v>802</v>
      </c>
      <c r="K45" s="37" t="n">
        <v>0.794856433623492</v>
      </c>
      <c r="L45" s="9" t="n">
        <v>775</v>
      </c>
      <c r="M45" s="37" t="n">
        <v>0.774109108813263</v>
      </c>
      <c r="N45" s="11" t="n">
        <v>775</v>
      </c>
    </row>
    <row r="46" outlineLevel="1" hidden="0">
      <c r="A46" s="8" t="s">
        <v>14</v>
      </c>
      <c r="B46" s="10" t="s">
        <v>54</v>
      </c>
      <c r="C46" s="38" t="n">
        <v>0.840391564789346</v>
      </c>
      <c r="D46" s="10" t="n">
        <v>4846</v>
      </c>
      <c r="E46" s="38" t="n">
        <v>0.837182707274211</v>
      </c>
      <c r="F46" s="10" t="n">
        <v>4846</v>
      </c>
      <c r="G46" s="38" t="n">
        <v>0.830788001041525</v>
      </c>
      <c r="H46" s="10" t="n">
        <v>2342</v>
      </c>
      <c r="I46" s="38" t="n">
        <v>0.827390810746737</v>
      </c>
      <c r="J46" s="10" t="n">
        <v>2342</v>
      </c>
      <c r="K46" s="38" t="n">
        <v>0.84826345587069</v>
      </c>
      <c r="L46" s="10" t="n">
        <v>2504</v>
      </c>
      <c r="M46" s="38" t="n">
        <v>0.845208971791021</v>
      </c>
      <c r="N46" s="13" t="n">
        <v>2504</v>
      </c>
    </row>
    <row r="47">
      <c r="C47" s="39"/>
      <c r="E47" s="39"/>
      <c r="G47" s="39"/>
      <c r="I47" s="39"/>
      <c r="K47" s="39"/>
      <c r="M47" s="39"/>
    </row>
    <row r="48">
      <c r="A48" s="2" t="s">
        <v>55</v>
      </c>
      <c r="B48" s="2"/>
      <c r="C48" s="35"/>
      <c r="D48" s="2"/>
      <c r="E48" s="35"/>
      <c r="F48" s="2"/>
      <c r="G48" s="35"/>
      <c r="H48" s="2"/>
      <c r="I48" s="35"/>
      <c r="J48" s="2"/>
      <c r="K48" s="35"/>
      <c r="L48" s="2"/>
      <c r="M48" s="35"/>
      <c r="N48" s="2"/>
    </row>
    <row r="49" outlineLevel="1" hidden="0">
      <c r="A49" s="6" t="s">
        <v>14</v>
      </c>
      <c r="B49" s="9" t="s">
        <v>56</v>
      </c>
      <c r="C49" s="37" t="n">
        <v>0.827446792093351</v>
      </c>
      <c r="D49" s="9" t="n">
        <v>1049</v>
      </c>
      <c r="E49" s="37" t="n">
        <v>0.817829713683742</v>
      </c>
      <c r="F49" s="9" t="n">
        <v>1049</v>
      </c>
      <c r="G49" s="37" t="n">
        <v>0.812642314923163</v>
      </c>
      <c r="H49" s="9" t="n">
        <v>513</v>
      </c>
      <c r="I49" s="37" t="n">
        <v>0.809858792160442</v>
      </c>
      <c r="J49" s="9" t="n">
        <v>513</v>
      </c>
      <c r="K49" s="37" t="n">
        <v>0.83939504977232</v>
      </c>
      <c r="L49" s="9" t="n">
        <v>536</v>
      </c>
      <c r="M49" s="37" t="n">
        <v>0.824262809780577</v>
      </c>
      <c r="N49" s="11" t="n">
        <v>536</v>
      </c>
    </row>
    <row r="50" outlineLevel="1" hidden="0">
      <c r="A50" s="7" t="s">
        <v>14</v>
      </c>
      <c r="B50" t="s">
        <v>57</v>
      </c>
      <c r="C50" s="39" t="n">
        <v>0.81690278725148</v>
      </c>
      <c r="D50" t="n">
        <v>3865</v>
      </c>
      <c r="E50" s="39" t="n">
        <v>0.814905550300405</v>
      </c>
      <c r="F50" t="n">
        <v>3865</v>
      </c>
      <c r="G50" s="39" t="n">
        <v>0.806118425723882</v>
      </c>
      <c r="H50" t="n">
        <v>1903</v>
      </c>
      <c r="I50" s="39" t="n">
        <v>0.803506451270972</v>
      </c>
      <c r="J50" t="n">
        <v>1903</v>
      </c>
      <c r="K50" s="39" t="n">
        <v>0.827121004415631</v>
      </c>
      <c r="L50" t="n">
        <v>1962</v>
      </c>
      <c r="M50" s="39" t="n">
        <v>0.825706233220794</v>
      </c>
      <c r="N50" s="12" t="n">
        <v>1962</v>
      </c>
    </row>
    <row r="51" outlineLevel="1" hidden="0">
      <c r="A51" s="8" t="s">
        <v>14</v>
      </c>
      <c r="B51" s="10" t="s">
        <v>58</v>
      </c>
      <c r="C51" s="38" t="n">
        <v>0.853221357074056</v>
      </c>
      <c r="D51" s="10" t="n">
        <v>1509</v>
      </c>
      <c r="E51" s="38" t="n">
        <v>0.847287784124592</v>
      </c>
      <c r="F51" s="10" t="n">
        <v>1509</v>
      </c>
      <c r="G51" s="38" t="n">
        <v>0.861832308610675</v>
      </c>
      <c r="H51" s="10" t="n">
        <v>728</v>
      </c>
      <c r="I51" s="38" t="n">
        <v>0.854369062148298</v>
      </c>
      <c r="J51" s="10" t="n">
        <v>728</v>
      </c>
      <c r="K51" s="38" t="n">
        <v>0.845938858239151</v>
      </c>
      <c r="L51" s="10" t="n">
        <v>781</v>
      </c>
      <c r="M51" s="38" t="n">
        <v>0.84129896874943</v>
      </c>
      <c r="N51" s="13" t="n">
        <v>781</v>
      </c>
    </row>
    <row r="52">
      <c r="C52" s="39"/>
      <c r="E52" s="39"/>
      <c r="G52" s="39"/>
      <c r="I52" s="39"/>
      <c r="K52" s="39"/>
      <c r="M52" s="39"/>
    </row>
    <row r="53">
      <c r="A53" s="2" t="s">
        <v>59</v>
      </c>
      <c r="B53" s="2"/>
      <c r="C53" s="35"/>
      <c r="D53" s="2"/>
      <c r="E53" s="35"/>
      <c r="F53" s="2"/>
      <c r="G53" s="35"/>
      <c r="H53" s="2"/>
      <c r="I53" s="35"/>
      <c r="J53" s="2"/>
      <c r="K53" s="35"/>
      <c r="L53" s="2"/>
      <c r="M53" s="35"/>
      <c r="N53" s="2"/>
    </row>
    <row r="54" outlineLevel="1" hidden="0">
      <c r="A54" s="6" t="s">
        <v>14</v>
      </c>
      <c r="B54" s="9" t="s">
        <v>60</v>
      </c>
      <c r="C54" s="37" t="n">
        <v>0.832477233467944</v>
      </c>
      <c r="D54" s="9" t="n">
        <v>2458</v>
      </c>
      <c r="E54" s="37" t="n">
        <v>0.824577041440694</v>
      </c>
      <c r="F54" s="9" t="n">
        <v>2458</v>
      </c>
      <c r="G54" s="37" t="n">
        <v>0.814118952906836</v>
      </c>
      <c r="H54" s="9" t="n">
        <v>1187</v>
      </c>
      <c r="I54" s="37" t="n">
        <v>0.810144156152373</v>
      </c>
      <c r="J54" s="9" t="n">
        <v>1187</v>
      </c>
      <c r="K54" s="37" t="n">
        <v>0.847964424611805</v>
      </c>
      <c r="L54" s="9" t="n">
        <v>1271</v>
      </c>
      <c r="M54" s="37" t="n">
        <v>0.836752737986653</v>
      </c>
      <c r="N54" s="11" t="n">
        <v>1271</v>
      </c>
    </row>
    <row r="55" outlineLevel="1" hidden="0">
      <c r="A55" s="7" t="s">
        <v>14</v>
      </c>
      <c r="B55" t="s">
        <v>61</v>
      </c>
      <c r="C55" s="39" t="n">
        <v>0.872029595742132</v>
      </c>
      <c r="D55" t="n">
        <v>14</v>
      </c>
      <c r="E55" s="39" t="n">
        <v>0.872029595742132</v>
      </c>
      <c r="F55" t="n">
        <v>14</v>
      </c>
      <c r="G55" s="39" t="n">
        <v>0.984859560642275</v>
      </c>
      <c r="H55" t="n">
        <v>7</v>
      </c>
      <c r="I55" s="39" t="n">
        <v>0.984859560642275</v>
      </c>
      <c r="J55" t="n">
        <v>7</v>
      </c>
      <c r="K55" s="39" t="n">
        <v>0.751935721157004</v>
      </c>
      <c r="L55" t="n">
        <v>7</v>
      </c>
      <c r="M55" s="39" t="n">
        <v>0.751935721157004</v>
      </c>
      <c r="N55" s="12" t="n">
        <v>7</v>
      </c>
    </row>
    <row r="56" outlineLevel="1" hidden="0">
      <c r="A56" s="7" t="s">
        <v>14</v>
      </c>
      <c r="B56" t="s">
        <v>62</v>
      </c>
      <c r="C56" s="39" t="n">
        <v>0.718079467403968</v>
      </c>
      <c r="D56" t="n">
        <v>24</v>
      </c>
      <c r="E56" s="39" t="n">
        <v>0.718079467403968</v>
      </c>
      <c r="F56" t="n">
        <v>24</v>
      </c>
      <c r="G56" s="39" t="n">
        <v>1</v>
      </c>
      <c r="H56" t="n">
        <v>7</v>
      </c>
      <c r="I56" s="39" t="n">
        <v>1</v>
      </c>
      <c r="J56" t="n">
        <v>7</v>
      </c>
      <c r="K56" s="39" t="n">
        <v>0.653363344342643</v>
      </c>
      <c r="L56" t="n">
        <v>17</v>
      </c>
      <c r="M56" s="39" t="n">
        <v>0.653363344342643</v>
      </c>
      <c r="N56" s="12" t="n">
        <v>17</v>
      </c>
    </row>
    <row r="57" outlineLevel="1" hidden="0">
      <c r="A57" s="7" t="s">
        <v>14</v>
      </c>
      <c r="B57" t="s">
        <v>63</v>
      </c>
      <c r="C57" s="39" t="n">
        <v>0.833554364900107</v>
      </c>
      <c r="D57" t="n">
        <v>19</v>
      </c>
      <c r="E57" s="39" t="n">
        <v>0.833554364900107</v>
      </c>
      <c r="F57" t="n">
        <v>19</v>
      </c>
      <c r="G57" s="39" t="n">
        <v>0.782154687945553</v>
      </c>
      <c r="H57" t="n">
        <v>9</v>
      </c>
      <c r="I57" s="39" t="n">
        <v>0.782154687945553</v>
      </c>
      <c r="J57" t="n">
        <v>9</v>
      </c>
      <c r="K57" s="39" t="n">
        <v>0.875235980503879</v>
      </c>
      <c r="L57" t="n">
        <v>10</v>
      </c>
      <c r="M57" s="39" t="n">
        <v>0.875235980503879</v>
      </c>
      <c r="N57" s="12" t="n">
        <v>10</v>
      </c>
    </row>
    <row r="58" outlineLevel="1" hidden="0">
      <c r="A58" s="7" t="s">
        <v>14</v>
      </c>
      <c r="B58" t="s">
        <v>64</v>
      </c>
      <c r="C58" s="39"/>
      <c r="D58"/>
      <c r="E58" s="39"/>
      <c r="F58"/>
      <c r="G58" s="39" t="n">
        <v>0.835494860696311</v>
      </c>
      <c r="H58" t="n">
        <v>1934</v>
      </c>
      <c r="I58" s="39" t="n">
        <v>0.83117967138635</v>
      </c>
      <c r="J58" t="n">
        <v>1934</v>
      </c>
      <c r="K58" s="39" t="n">
        <v>0.826557250241822</v>
      </c>
      <c r="L58" t="n">
        <v>1974</v>
      </c>
      <c r="M58" s="39" t="n">
        <v>0.824796345241639</v>
      </c>
      <c r="N58" s="12" t="n">
        <v>1974</v>
      </c>
    </row>
    <row r="59" outlineLevel="1" hidden="0">
      <c r="A59" s="8" t="s">
        <v>14</v>
      </c>
      <c r="B59" s="10" t="s">
        <v>14</v>
      </c>
      <c r="C59" s="38" t="n">
        <v>0.830824870365893</v>
      </c>
      <c r="D59" s="10" t="n">
        <v>3908</v>
      </c>
      <c r="E59" s="38" t="n">
        <v>0.827844320005408</v>
      </c>
      <c r="F59" s="10" t="n">
        <v>3908</v>
      </c>
      <c r="G59" s="38"/>
      <c r="H59" s="10"/>
      <c r="I59" s="38"/>
      <c r="J59" s="10"/>
      <c r="K59" s="38"/>
      <c r="L59" s="10"/>
      <c r="M59" s="38"/>
      <c r="N59" s="13"/>
    </row>
    <row r="60">
      <c r="C60" s="39"/>
      <c r="E60" s="39"/>
      <c r="G60" s="39"/>
      <c r="I60" s="39"/>
      <c r="K60" s="39"/>
      <c r="M60" s="39"/>
    </row>
    <row r="61">
      <c r="A61" s="2" t="s">
        <v>65</v>
      </c>
      <c r="B61" s="2"/>
      <c r="C61" s="35"/>
      <c r="D61" s="2"/>
      <c r="E61" s="35"/>
      <c r="F61" s="2"/>
      <c r="G61" s="35"/>
      <c r="H61" s="2"/>
      <c r="I61" s="35"/>
      <c r="J61" s="2"/>
      <c r="K61" s="35"/>
      <c r="L61" s="2"/>
      <c r="M61" s="35"/>
      <c r="N61" s="2"/>
    </row>
    <row r="62" outlineLevel="1" hidden="0">
      <c r="A62" s="6" t="s">
        <v>14</v>
      </c>
      <c r="B62" s="9" t="s">
        <v>66</v>
      </c>
      <c r="C62" s="37" t="n">
        <v>0.837499839091463</v>
      </c>
      <c r="D62" s="9" t="n">
        <v>6235</v>
      </c>
      <c r="E62" s="37" t="n">
        <v>0.832364255346319</v>
      </c>
      <c r="F62" s="9" t="n">
        <v>6235</v>
      </c>
      <c r="G62" s="37" t="n">
        <v>0.830126104651413</v>
      </c>
      <c r="H62" s="9" t="n">
        <v>3050</v>
      </c>
      <c r="I62" s="37" t="n">
        <v>0.82680151703743</v>
      </c>
      <c r="J62" s="9" t="n">
        <v>3050</v>
      </c>
      <c r="K62" s="37" t="n">
        <v>0.843860962829189</v>
      </c>
      <c r="L62" s="9" t="n">
        <v>3185</v>
      </c>
      <c r="M62" s="37" t="n">
        <v>0.837163081096164</v>
      </c>
      <c r="N62" s="11" t="n">
        <v>3185</v>
      </c>
    </row>
    <row r="63" outlineLevel="1" hidden="0">
      <c r="A63" s="8" t="s">
        <v>14</v>
      </c>
      <c r="B63" s="10" t="s">
        <v>67</v>
      </c>
      <c r="C63" s="38" t="n">
        <v>0.620550054428695</v>
      </c>
      <c r="D63" s="10" t="n">
        <v>188</v>
      </c>
      <c r="E63" s="38" t="n">
        <v>0.600598772763165</v>
      </c>
      <c r="F63" s="10" t="n">
        <v>188</v>
      </c>
      <c r="G63" s="38" t="n">
        <v>0.670665394073399</v>
      </c>
      <c r="H63" s="10" t="n">
        <v>94</v>
      </c>
      <c r="I63" s="38" t="n">
        <v>0.644081424191383</v>
      </c>
      <c r="J63" s="10" t="n">
        <v>94</v>
      </c>
      <c r="K63" s="38" t="n">
        <v>0.560593372048149</v>
      </c>
      <c r="L63" s="10" t="n">
        <v>94</v>
      </c>
      <c r="M63" s="38" t="n">
        <v>0.548577265192258</v>
      </c>
      <c r="N63" s="13" t="n">
        <v>94</v>
      </c>
    </row>
    <row r="64">
      <c r="C64" s="39"/>
      <c r="E64" s="39"/>
      <c r="G64" s="39"/>
      <c r="I64" s="39"/>
      <c r="K64" s="39"/>
      <c r="M64" s="39"/>
    </row>
    <row r="65">
      <c r="A65" s="2" t="s">
        <v>68</v>
      </c>
      <c r="B65" s="2"/>
      <c r="C65" s="35"/>
      <c r="D65" s="2"/>
      <c r="E65" s="35"/>
      <c r="F65" s="2"/>
      <c r="G65" s="35"/>
      <c r="H65" s="2"/>
      <c r="I65" s="35"/>
      <c r="J65" s="2"/>
      <c r="K65" s="35"/>
      <c r="L65" s="2"/>
      <c r="M65" s="35"/>
      <c r="N65" s="2"/>
    </row>
    <row r="66" outlineLevel="1" hidden="0">
      <c r="A66" s="6" t="s">
        <v>14</v>
      </c>
      <c r="B66" s="9" t="s">
        <v>66</v>
      </c>
      <c r="C66" s="37" t="n">
        <v>0.8373515053281</v>
      </c>
      <c r="D66" s="9" t="n">
        <v>6160</v>
      </c>
      <c r="E66" s="37" t="n">
        <v>0.8321481121041</v>
      </c>
      <c r="F66" s="9" t="n">
        <v>6160</v>
      </c>
      <c r="G66" s="37" t="n">
        <v>0.830756463759855</v>
      </c>
      <c r="H66" s="9" t="n">
        <v>3018</v>
      </c>
      <c r="I66" s="37" t="n">
        <v>0.827401259377803</v>
      </c>
      <c r="J66" s="9" t="n">
        <v>3018</v>
      </c>
      <c r="K66" s="37" t="n">
        <v>0.84308296205864</v>
      </c>
      <c r="L66" s="9" t="n">
        <v>3142</v>
      </c>
      <c r="M66" s="37" t="n">
        <v>0.836273390273388</v>
      </c>
      <c r="N66" s="11" t="n">
        <v>3142</v>
      </c>
    </row>
    <row r="67" outlineLevel="1" hidden="0">
      <c r="A67" s="8" t="s">
        <v>14</v>
      </c>
      <c r="B67" s="10" t="s">
        <v>67</v>
      </c>
      <c r="C67" s="38" t="n">
        <v>0.689911074042288</v>
      </c>
      <c r="D67" s="10" t="n">
        <v>263</v>
      </c>
      <c r="E67" s="38" t="n">
        <v>0.676024379550869</v>
      </c>
      <c r="F67" s="10" t="n">
        <v>263</v>
      </c>
      <c r="G67" s="38" t="n">
        <v>0.689446111257507</v>
      </c>
      <c r="H67" s="10" t="n">
        <v>126</v>
      </c>
      <c r="I67" s="38" t="n">
        <v>0.668347869158817</v>
      </c>
      <c r="J67" s="10" t="n">
        <v>126</v>
      </c>
      <c r="K67" s="38" t="n">
        <v>0.690336346164793</v>
      </c>
      <c r="L67" s="10" t="n">
        <v>137</v>
      </c>
      <c r="M67" s="38" t="n">
        <v>0.683045599258591</v>
      </c>
      <c r="N67" s="13" t="n">
        <v>137</v>
      </c>
    </row>
    <row r="68">
      <c r="C68" s="39"/>
      <c r="E68" s="39"/>
      <c r="G68" s="39"/>
      <c r="I68" s="39"/>
      <c r="K68" s="39"/>
      <c r="M68" s="39"/>
    </row>
    <row r="69">
      <c r="C69" s="39"/>
      <c r="E69" s="39"/>
      <c r="G69" s="39"/>
      <c r="I69" s="39"/>
      <c r="K69" s="39"/>
      <c r="M69" s="39"/>
    </row>
  </sheetData>
  <mergeCells count="22">
    <mergeCell ref="A1:N1"/>
    <mergeCell ref="C2:F2"/>
    <mergeCell ref="G2:J2"/>
    <mergeCell ref="K2:N2"/>
    <mergeCell ref="E3:F3"/>
    <mergeCell ref="I3:J3"/>
    <mergeCell ref="M3:N3"/>
    <mergeCell ref="E4:F4"/>
    <mergeCell ref="C4:D4"/>
    <mergeCell ref="I4:J4"/>
    <mergeCell ref="G4:H4"/>
    <mergeCell ref="M4:N4"/>
    <mergeCell ref="K4:L4"/>
    <mergeCell ref="A6:N6"/>
    <mergeCell ref="A9:N9"/>
    <mergeCell ref="A16:N16"/>
    <mergeCell ref="A39:N39"/>
    <mergeCell ref="A44:N44"/>
    <mergeCell ref="A48:N48"/>
    <mergeCell ref="A53:N53"/>
    <mergeCell ref="A61:N61"/>
    <mergeCell ref="A65:N65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C2" s="2" t="s">
        <v>2</v>
      </c>
      <c r="D2" s="2"/>
      <c r="E2" s="2"/>
      <c r="F2" s="2"/>
      <c r="G2" s="2" t="s">
        <v>3</v>
      </c>
      <c r="H2" s="2"/>
      <c r="I2" s="2"/>
      <c r="J2" s="2"/>
      <c r="K2" s="2" t="s">
        <v>4</v>
      </c>
      <c r="L2" s="2"/>
      <c r="M2" s="2"/>
      <c r="N2" s="2"/>
    </row>
    <row r="3">
      <c r="E3" s="2" t="s">
        <v>83</v>
      </c>
      <c r="F3" s="2"/>
      <c r="I3" s="2" t="s">
        <v>83</v>
      </c>
      <c r="J3" s="2"/>
      <c r="M3" s="2" t="s">
        <v>83</v>
      </c>
      <c r="N3" s="2"/>
    </row>
    <row r="4">
      <c r="C4" s="2" t="s">
        <v>9</v>
      </c>
      <c r="D4" s="2"/>
      <c r="E4" s="2" t="s">
        <v>89</v>
      </c>
      <c r="F4" s="2"/>
      <c r="G4" s="2" t="s">
        <v>9</v>
      </c>
      <c r="H4" s="2"/>
      <c r="I4" s="2" t="s">
        <v>89</v>
      </c>
      <c r="J4" s="2"/>
      <c r="K4" s="2" t="s">
        <v>9</v>
      </c>
      <c r="L4" s="2"/>
      <c r="M4" s="2" t="s">
        <v>89</v>
      </c>
      <c r="N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</row>
    <row r="6">
      <c r="A6" s="2" t="s">
        <v>15</v>
      </c>
      <c r="B6" s="2"/>
      <c r="C6" s="40"/>
      <c r="D6" s="2"/>
      <c r="E6" s="40"/>
      <c r="F6" s="2"/>
      <c r="G6" s="40"/>
      <c r="H6" s="2"/>
      <c r="I6" s="40"/>
      <c r="J6" s="2"/>
      <c r="K6" s="40"/>
      <c r="L6" s="2"/>
      <c r="M6" s="40"/>
      <c r="N6" s="2"/>
    </row>
    <row r="7" outlineLevel="1" hidden="0">
      <c r="A7" s="3" t="s">
        <v>14</v>
      </c>
      <c r="B7" s="4" t="s">
        <v>18</v>
      </c>
      <c r="C7" s="41" t="n">
        <v>0.596237250022479</v>
      </c>
      <c r="D7" s="4" t="n">
        <v>2865</v>
      </c>
      <c r="E7" s="41" t="n">
        <v>0.463943264330349</v>
      </c>
      <c r="F7" s="4" t="n">
        <v>2865</v>
      </c>
      <c r="G7" s="41" t="n">
        <v>0.626615848391362</v>
      </c>
      <c r="H7" s="4" t="n">
        <v>1385</v>
      </c>
      <c r="I7" s="41" t="n">
        <v>0.484841240287979</v>
      </c>
      <c r="J7" s="4" t="n">
        <v>1385</v>
      </c>
      <c r="K7" s="41" t="n">
        <v>0.564711179463944</v>
      </c>
      <c r="L7" s="4" t="n">
        <v>1480</v>
      </c>
      <c r="M7" s="41" t="n">
        <v>0.442255921926637</v>
      </c>
      <c r="N7" s="5" t="n">
        <v>1480</v>
      </c>
    </row>
    <row r="8">
      <c r="C8" s="44"/>
      <c r="E8" s="44"/>
      <c r="G8" s="44"/>
      <c r="I8" s="44"/>
      <c r="K8" s="44"/>
      <c r="M8" s="44"/>
    </row>
    <row r="9">
      <c r="A9" s="2" t="s">
        <v>20</v>
      </c>
      <c r="B9" s="2"/>
      <c r="C9" s="40"/>
      <c r="D9" s="2"/>
      <c r="E9" s="40"/>
      <c r="F9" s="2"/>
      <c r="G9" s="40"/>
      <c r="H9" s="2"/>
      <c r="I9" s="40"/>
      <c r="J9" s="2"/>
      <c r="K9" s="40"/>
      <c r="L9" s="2"/>
      <c r="M9" s="40"/>
      <c r="N9" s="2"/>
    </row>
    <row r="10" outlineLevel="1" hidden="0">
      <c r="A10" s="6" t="s">
        <v>14</v>
      </c>
      <c r="B10" s="9" t="s">
        <v>21</v>
      </c>
      <c r="C10" s="42" t="n">
        <v>0.637550434277879</v>
      </c>
      <c r="D10" s="9" t="n">
        <v>828</v>
      </c>
      <c r="E10" s="42" t="n">
        <v>0.56783863691514</v>
      </c>
      <c r="F10" s="9" t="n">
        <v>828</v>
      </c>
      <c r="G10" s="42" t="n">
        <v>0.614042986603953</v>
      </c>
      <c r="H10" s="9" t="n">
        <v>394</v>
      </c>
      <c r="I10" s="42" t="n">
        <v>0.548182989655018</v>
      </c>
      <c r="J10" s="9" t="n">
        <v>394</v>
      </c>
      <c r="K10" s="42" t="n">
        <v>0.659448190243205</v>
      </c>
      <c r="L10" s="9" t="n">
        <v>434</v>
      </c>
      <c r="M10" s="42" t="n">
        <v>0.586148347650775</v>
      </c>
      <c r="N10" s="11" t="n">
        <v>434</v>
      </c>
    </row>
    <row r="11" outlineLevel="1" hidden="0">
      <c r="A11" s="7" t="s">
        <v>14</v>
      </c>
      <c r="B11" t="s">
        <v>22</v>
      </c>
      <c r="C11" s="44" t="n">
        <v>0.65285999716406</v>
      </c>
      <c r="D11" t="n">
        <v>638</v>
      </c>
      <c r="E11" s="44" t="n">
        <v>0.463569140730979</v>
      </c>
      <c r="F11" t="n">
        <v>638</v>
      </c>
      <c r="G11" s="44" t="n">
        <v>0.7227547674641</v>
      </c>
      <c r="H11" t="n">
        <v>300</v>
      </c>
      <c r="I11" s="44" t="n">
        <v>0.530482609055246</v>
      </c>
      <c r="J11" t="n">
        <v>300</v>
      </c>
      <c r="K11" s="44" t="n">
        <v>0.56837510882513</v>
      </c>
      <c r="L11" t="n">
        <v>338</v>
      </c>
      <c r="M11" s="44" t="n">
        <v>0.382687883442649</v>
      </c>
      <c r="N11" s="12" t="n">
        <v>338</v>
      </c>
    </row>
    <row r="12" outlineLevel="1" hidden="0">
      <c r="A12" s="7" t="s">
        <v>14</v>
      </c>
      <c r="B12" t="s">
        <v>23</v>
      </c>
      <c r="C12" s="44" t="n">
        <v>0.553062718442508</v>
      </c>
      <c r="D12" t="n">
        <v>621</v>
      </c>
      <c r="E12" s="44" t="n">
        <v>0.454691132374265</v>
      </c>
      <c r="F12" t="n">
        <v>621</v>
      </c>
      <c r="G12" s="44" t="n">
        <v>0.547284597800769</v>
      </c>
      <c r="H12" t="n">
        <v>305</v>
      </c>
      <c r="I12" s="44" t="n">
        <v>0.418895994047547</v>
      </c>
      <c r="J12" t="n">
        <v>305</v>
      </c>
      <c r="K12" s="44" t="n">
        <v>0.558066780054665</v>
      </c>
      <c r="L12" t="n">
        <v>316</v>
      </c>
      <c r="M12" s="44" t="n">
        <v>0.485691017753726</v>
      </c>
      <c r="N12" s="12" t="n">
        <v>316</v>
      </c>
    </row>
    <row r="13" outlineLevel="1" hidden="0">
      <c r="A13" s="7" t="s">
        <v>14</v>
      </c>
      <c r="B13" t="s">
        <v>24</v>
      </c>
      <c r="C13" s="44" t="n">
        <v>0.384132748751644</v>
      </c>
      <c r="D13" t="n">
        <v>351</v>
      </c>
      <c r="E13" s="44" t="n">
        <v>0.238053172469526</v>
      </c>
      <c r="F13" t="n">
        <v>351</v>
      </c>
      <c r="G13" s="44" t="n">
        <v>0.390233460781648</v>
      </c>
      <c r="H13" t="n">
        <v>183</v>
      </c>
      <c r="I13" s="44" t="n">
        <v>0.229391791293642</v>
      </c>
      <c r="J13" t="n">
        <v>183</v>
      </c>
      <c r="K13" s="44" t="n">
        <v>0.377820856644248</v>
      </c>
      <c r="L13" t="n">
        <v>168</v>
      </c>
      <c r="M13" s="44" t="n">
        <v>0.247014372935036</v>
      </c>
      <c r="N13" s="12" t="n">
        <v>168</v>
      </c>
    </row>
    <row r="14" outlineLevel="1" hidden="0">
      <c r="A14" s="8" t="s">
        <v>14</v>
      </c>
      <c r="B14" s="10" t="s">
        <v>25</v>
      </c>
      <c r="C14" s="43" t="n">
        <v>0.484498848267182</v>
      </c>
      <c r="D14" s="10" t="n">
        <v>427</v>
      </c>
      <c r="E14" s="43" t="n">
        <v>0.347951553211248</v>
      </c>
      <c r="F14" s="10" t="n">
        <v>427</v>
      </c>
      <c r="G14" s="43" t="n">
        <v>0.547699129770976</v>
      </c>
      <c r="H14" s="10" t="n">
        <v>203</v>
      </c>
      <c r="I14" s="43" t="n">
        <v>0.406384976464128</v>
      </c>
      <c r="J14" s="10" t="n">
        <v>203</v>
      </c>
      <c r="K14" s="43" t="n">
        <v>0.416894832590808</v>
      </c>
      <c r="L14" s="10" t="n">
        <v>224</v>
      </c>
      <c r="M14" s="43" t="n">
        <v>0.285446545834425</v>
      </c>
      <c r="N14" s="13" t="n">
        <v>224</v>
      </c>
    </row>
    <row r="15">
      <c r="C15" s="44"/>
      <c r="E15" s="44"/>
      <c r="G15" s="44"/>
      <c r="I15" s="44"/>
      <c r="K15" s="44"/>
      <c r="M15" s="44"/>
    </row>
    <row r="16">
      <c r="A16" s="2" t="s">
        <v>26</v>
      </c>
      <c r="B16" s="2"/>
      <c r="C16" s="40"/>
      <c r="D16" s="2"/>
      <c r="E16" s="40"/>
      <c r="F16" s="2"/>
      <c r="G16" s="40"/>
      <c r="H16" s="2"/>
      <c r="I16" s="40"/>
      <c r="J16" s="2"/>
      <c r="K16" s="40"/>
      <c r="L16" s="2"/>
      <c r="M16" s="40"/>
      <c r="N16" s="2"/>
    </row>
    <row r="17" outlineLevel="1" hidden="0">
      <c r="A17" s="6" t="s">
        <v>14</v>
      </c>
      <c r="B17" s="9" t="s">
        <v>27</v>
      </c>
      <c r="C17" s="42" t="n">
        <v>0.607716919716645</v>
      </c>
      <c r="D17" s="9" t="n">
        <v>88</v>
      </c>
      <c r="E17" s="42" t="n">
        <v>0.514951658725306</v>
      </c>
      <c r="F17" s="9" t="n">
        <v>88</v>
      </c>
      <c r="G17" s="42" t="n">
        <v>0.576860868565177</v>
      </c>
      <c r="H17" s="9" t="n">
        <v>51</v>
      </c>
      <c r="I17" s="42" t="n">
        <v>0.482439061486382</v>
      </c>
      <c r="J17" s="9" t="n">
        <v>51</v>
      </c>
      <c r="K17" s="42" t="n">
        <v>0.654344798203312</v>
      </c>
      <c r="L17" s="9" t="n">
        <v>37</v>
      </c>
      <c r="M17" s="42" t="n">
        <v>0.564082813774949</v>
      </c>
      <c r="N17" s="11" t="n">
        <v>37</v>
      </c>
    </row>
    <row r="18" outlineLevel="1" hidden="0">
      <c r="A18" s="7" t="s">
        <v>14</v>
      </c>
      <c r="B18" t="s">
        <v>28</v>
      </c>
      <c r="C18" s="44" t="n">
        <v>0.728519276613756</v>
      </c>
      <c r="D18" t="n">
        <v>103</v>
      </c>
      <c r="E18" s="44" t="n">
        <v>0.643100862245361</v>
      </c>
      <c r="F18" t="n">
        <v>103</v>
      </c>
      <c r="G18" s="44" t="n">
        <v>0.846892031236507</v>
      </c>
      <c r="H18" t="n">
        <v>38</v>
      </c>
      <c r="I18" s="44" t="n">
        <v>0.76664839702699</v>
      </c>
      <c r="J18" t="n">
        <v>38</v>
      </c>
      <c r="K18" s="44" t="n">
        <v>0.649555873970028</v>
      </c>
      <c r="L18" t="n">
        <v>65</v>
      </c>
      <c r="M18" s="44" t="n">
        <v>0.560685497614429</v>
      </c>
      <c r="N18" s="12" t="n">
        <v>65</v>
      </c>
    </row>
    <row r="19" outlineLevel="1" hidden="0">
      <c r="A19" s="7" t="s">
        <v>14</v>
      </c>
      <c r="B19" t="s">
        <v>29</v>
      </c>
      <c r="C19" s="44" t="n">
        <v>0.748907615065547</v>
      </c>
      <c r="D19" t="n">
        <v>189</v>
      </c>
      <c r="E19" s="44" t="n">
        <v>0.654868535879913</v>
      </c>
      <c r="F19" t="n">
        <v>189</v>
      </c>
      <c r="G19" s="44" t="n">
        <v>0.662048864547983</v>
      </c>
      <c r="H19" t="n">
        <v>84</v>
      </c>
      <c r="I19" s="44" t="n">
        <v>0.566821393422133</v>
      </c>
      <c r="J19" t="n">
        <v>84</v>
      </c>
      <c r="K19" s="44" t="n">
        <v>0.832206366579663</v>
      </c>
      <c r="L19" t="n">
        <v>105</v>
      </c>
      <c r="M19" s="44" t="n">
        <v>0.739306971816607</v>
      </c>
      <c r="N19" s="12" t="n">
        <v>105</v>
      </c>
    </row>
    <row r="20" outlineLevel="1" hidden="0">
      <c r="A20" s="7" t="s">
        <v>14</v>
      </c>
      <c r="B20" t="s">
        <v>30</v>
      </c>
      <c r="C20" s="44" t="n">
        <v>0.738199707069033</v>
      </c>
      <c r="D20" t="n">
        <v>115</v>
      </c>
      <c r="E20" s="44" t="n">
        <v>0.71588979085954</v>
      </c>
      <c r="F20" t="n">
        <v>115</v>
      </c>
      <c r="G20" s="44" t="n">
        <v>0.655176268484225</v>
      </c>
      <c r="H20" t="n">
        <v>60</v>
      </c>
      <c r="I20" s="44" t="n">
        <v>0.634368083615698</v>
      </c>
      <c r="J20" t="n">
        <v>60</v>
      </c>
      <c r="K20" s="44" t="n">
        <v>0.841915289259484</v>
      </c>
      <c r="L20" t="n">
        <v>55</v>
      </c>
      <c r="M20" s="44" t="n">
        <v>0.817729361372121</v>
      </c>
      <c r="N20" s="12" t="n">
        <v>55</v>
      </c>
    </row>
    <row r="21" outlineLevel="1" hidden="0">
      <c r="A21" s="7" t="s">
        <v>14</v>
      </c>
      <c r="B21" t="s">
        <v>31</v>
      </c>
      <c r="C21" s="44" t="n">
        <v>0.478238570504547</v>
      </c>
      <c r="D21" t="n">
        <v>134</v>
      </c>
      <c r="E21" s="44" t="n">
        <v>0.45365227678895</v>
      </c>
      <c r="F21" t="n">
        <v>134</v>
      </c>
      <c r="G21" s="44" t="n">
        <v>0.415041666102869</v>
      </c>
      <c r="H21" t="n">
        <v>49</v>
      </c>
      <c r="I21" s="44" t="n">
        <v>0.362919544195347</v>
      </c>
      <c r="J21" t="n">
        <v>49</v>
      </c>
      <c r="K21" s="44" t="n">
        <v>0.502284910190999</v>
      </c>
      <c r="L21" t="n">
        <v>85</v>
      </c>
      <c r="M21" s="44" t="n">
        <v>0.488175963182802</v>
      </c>
      <c r="N21" s="12" t="n">
        <v>85</v>
      </c>
    </row>
    <row r="22" outlineLevel="1" hidden="0">
      <c r="A22" s="7" t="s">
        <v>14</v>
      </c>
      <c r="B22" t="s">
        <v>32</v>
      </c>
      <c r="C22" s="44" t="n">
        <v>0.635031772918157</v>
      </c>
      <c r="D22" t="n">
        <v>127</v>
      </c>
      <c r="E22" s="44" t="n">
        <v>0.50584313555132</v>
      </c>
      <c r="F22" t="n">
        <v>127</v>
      </c>
      <c r="G22" s="44" t="n">
        <v>0.637523577109065</v>
      </c>
      <c r="H22" t="n">
        <v>73</v>
      </c>
      <c r="I22" s="44" t="n">
        <v>0.580117723000207</v>
      </c>
      <c r="J22" t="n">
        <v>73</v>
      </c>
      <c r="K22" s="44" t="n">
        <v>0.631722352226262</v>
      </c>
      <c r="L22" t="n">
        <v>54</v>
      </c>
      <c r="M22" s="44" t="n">
        <v>0.407197400271569</v>
      </c>
      <c r="N22" s="12" t="n">
        <v>54</v>
      </c>
    </row>
    <row r="23" outlineLevel="1" hidden="0">
      <c r="A23" s="7" t="s">
        <v>14</v>
      </c>
      <c r="B23" t="s">
        <v>33</v>
      </c>
      <c r="C23" s="44" t="n">
        <v>0.420832571473851</v>
      </c>
      <c r="D23" t="n">
        <v>72</v>
      </c>
      <c r="E23" s="44" t="n">
        <v>0.356725848832226</v>
      </c>
      <c r="F23" t="n">
        <v>72</v>
      </c>
      <c r="G23" s="44" t="n">
        <v>0.406757777616444</v>
      </c>
      <c r="H23" t="n">
        <v>39</v>
      </c>
      <c r="I23" s="44" t="n">
        <v>0.325516506761017</v>
      </c>
      <c r="J23" t="n">
        <v>39</v>
      </c>
      <c r="K23" s="44" t="n">
        <v>0.437190386896857</v>
      </c>
      <c r="L23" t="n">
        <v>33</v>
      </c>
      <c r="M23" s="44" t="n">
        <v>0.392997545756982</v>
      </c>
      <c r="N23" s="12" t="n">
        <v>33</v>
      </c>
    </row>
    <row r="24" outlineLevel="1" hidden="0">
      <c r="A24" s="7" t="s">
        <v>14</v>
      </c>
      <c r="B24" t="s">
        <v>34</v>
      </c>
      <c r="C24" s="44" t="n">
        <v>0.51073919577746</v>
      </c>
      <c r="D24" t="n">
        <v>149</v>
      </c>
      <c r="E24" s="44" t="n">
        <v>0.329059556022458</v>
      </c>
      <c r="F24" t="n">
        <v>149</v>
      </c>
      <c r="G24" s="44" t="n">
        <v>0.539333571282796</v>
      </c>
      <c r="H24" t="n">
        <v>71</v>
      </c>
      <c r="I24" s="44" t="n">
        <v>0.398299203133067</v>
      </c>
      <c r="J24" t="n">
        <v>71</v>
      </c>
      <c r="K24" s="44" t="n">
        <v>0.488699996559552</v>
      </c>
      <c r="L24" t="n">
        <v>78</v>
      </c>
      <c r="M24" s="44" t="n">
        <v>0.275692893891177</v>
      </c>
      <c r="N24" s="12" t="n">
        <v>78</v>
      </c>
    </row>
    <row r="25" outlineLevel="1" hidden="0">
      <c r="A25" s="7" t="s">
        <v>14</v>
      </c>
      <c r="B25" t="s">
        <v>35</v>
      </c>
      <c r="C25" s="44" t="n">
        <v>0.710314167572475</v>
      </c>
      <c r="D25" t="n">
        <v>247</v>
      </c>
      <c r="E25" s="44" t="n">
        <v>0.496541741785228</v>
      </c>
      <c r="F25" t="n">
        <v>247</v>
      </c>
      <c r="G25" s="44" t="n">
        <v>0.78473279205793</v>
      </c>
      <c r="H25" t="n">
        <v>118</v>
      </c>
      <c r="I25" s="44" t="n">
        <v>0.551849240316622</v>
      </c>
      <c r="J25" t="n">
        <v>118</v>
      </c>
      <c r="K25" s="44" t="n">
        <v>0.592425148678615</v>
      </c>
      <c r="L25" t="n">
        <v>129</v>
      </c>
      <c r="M25" s="44" t="n">
        <v>0.408927293326645</v>
      </c>
      <c r="N25" s="12" t="n">
        <v>129</v>
      </c>
    </row>
    <row r="26" outlineLevel="1" hidden="0">
      <c r="A26" s="7" t="s">
        <v>14</v>
      </c>
      <c r="B26" t="s">
        <v>36</v>
      </c>
      <c r="C26" s="44" t="n">
        <v>0.696309117893919</v>
      </c>
      <c r="D26" t="n">
        <v>139</v>
      </c>
      <c r="E26" s="44" t="n">
        <v>0.578973375179634</v>
      </c>
      <c r="F26" t="n">
        <v>139</v>
      </c>
      <c r="G26" s="44" t="n">
        <v>0.68254820574196</v>
      </c>
      <c r="H26" t="n">
        <v>66</v>
      </c>
      <c r="I26" s="44" t="n">
        <v>0.634132594908691</v>
      </c>
      <c r="J26" t="n">
        <v>66</v>
      </c>
      <c r="K26" s="44" t="n">
        <v>0.709319528233845</v>
      </c>
      <c r="L26" t="n">
        <v>73</v>
      </c>
      <c r="M26" s="44" t="n">
        <v>0.526822465793661</v>
      </c>
      <c r="N26" s="12" t="n">
        <v>73</v>
      </c>
    </row>
    <row r="27" outlineLevel="1" hidden="0">
      <c r="A27" s="7" t="s">
        <v>14</v>
      </c>
      <c r="B27" t="s">
        <v>37</v>
      </c>
      <c r="C27" s="44" t="n">
        <v>0.610113650458723</v>
      </c>
      <c r="D27" t="n">
        <v>103</v>
      </c>
      <c r="E27" s="44" t="n">
        <v>0.546349000580747</v>
      </c>
      <c r="F27" t="n">
        <v>103</v>
      </c>
      <c r="G27" s="44" t="n">
        <v>0.704669132749119</v>
      </c>
      <c r="H27" t="n">
        <v>45</v>
      </c>
      <c r="I27" s="44" t="n">
        <v>0.634368272165051</v>
      </c>
      <c r="J27" t="n">
        <v>45</v>
      </c>
      <c r="K27" s="44" t="n">
        <v>0.53429930090858</v>
      </c>
      <c r="L27" t="n">
        <v>58</v>
      </c>
      <c r="M27" s="44" t="n">
        <v>0.475775368450702</v>
      </c>
      <c r="N27" s="12" t="n">
        <v>58</v>
      </c>
    </row>
    <row r="28" outlineLevel="1" hidden="0">
      <c r="A28" s="7" t="s">
        <v>14</v>
      </c>
      <c r="B28" t="s">
        <v>38</v>
      </c>
      <c r="C28" s="44" t="n">
        <v>0.442807881063257</v>
      </c>
      <c r="D28" t="n">
        <v>320</v>
      </c>
      <c r="E28" s="44" t="n">
        <v>0.356145273333948</v>
      </c>
      <c r="F28" t="n">
        <v>320</v>
      </c>
      <c r="G28" s="44" t="n">
        <v>0.392444875422677</v>
      </c>
      <c r="H28" t="n">
        <v>157</v>
      </c>
      <c r="I28" s="44" t="n">
        <v>0.290382689399645</v>
      </c>
      <c r="J28" t="n">
        <v>157</v>
      </c>
      <c r="K28" s="44" t="n">
        <v>0.486748499167413</v>
      </c>
      <c r="L28" t="n">
        <v>163</v>
      </c>
      <c r="M28" s="44" t="n">
        <v>0.413521685830494</v>
      </c>
      <c r="N28" s="12" t="n">
        <v>163</v>
      </c>
    </row>
    <row r="29" outlineLevel="1" hidden="0">
      <c r="A29" s="7" t="s">
        <v>14</v>
      </c>
      <c r="B29" t="s">
        <v>39</v>
      </c>
      <c r="C29" s="44" t="n">
        <v>0.763051590365371</v>
      </c>
      <c r="D29" t="n">
        <v>126</v>
      </c>
      <c r="E29" s="44" t="n">
        <v>0.635354145715612</v>
      </c>
      <c r="F29" t="n">
        <v>126</v>
      </c>
      <c r="G29" s="44" t="n">
        <v>0.820349405138955</v>
      </c>
      <c r="H29" t="n">
        <v>60</v>
      </c>
      <c r="I29" s="44" t="n">
        <v>0.59004577297017</v>
      </c>
      <c r="J29" t="n">
        <v>60</v>
      </c>
      <c r="K29" s="44" t="n">
        <v>0.722908479626488</v>
      </c>
      <c r="L29" t="n">
        <v>66</v>
      </c>
      <c r="M29" s="44" t="n">
        <v>0.667097398607648</v>
      </c>
      <c r="N29" s="12" t="n">
        <v>66</v>
      </c>
    </row>
    <row r="30" outlineLevel="1" hidden="0">
      <c r="A30" s="7" t="s">
        <v>14</v>
      </c>
      <c r="B30" t="s">
        <v>40</v>
      </c>
      <c r="C30" s="44" t="n">
        <v>0.566123477206084</v>
      </c>
      <c r="D30" t="n">
        <v>108</v>
      </c>
      <c r="E30" s="44" t="n">
        <v>0.455074258829749</v>
      </c>
      <c r="F30" t="n">
        <v>108</v>
      </c>
      <c r="G30" s="44" t="n">
        <v>0.651432118793665</v>
      </c>
      <c r="H30" t="n">
        <v>55</v>
      </c>
      <c r="I30" s="44" t="n">
        <v>0.559824276903858</v>
      </c>
      <c r="J30" t="n">
        <v>55</v>
      </c>
      <c r="K30" s="44" t="n">
        <v>0.459615796424035</v>
      </c>
      <c r="L30" t="n">
        <v>53</v>
      </c>
      <c r="M30" s="44" t="n">
        <v>0.324294055566318</v>
      </c>
      <c r="N30" s="12" t="n">
        <v>53</v>
      </c>
    </row>
    <row r="31" outlineLevel="1" hidden="0">
      <c r="A31" s="7" t="s">
        <v>14</v>
      </c>
      <c r="B31" t="s">
        <v>41</v>
      </c>
      <c r="C31" s="44" t="n">
        <v>0.628403140600228</v>
      </c>
      <c r="D31" t="n">
        <v>67</v>
      </c>
      <c r="E31" s="44" t="n">
        <v>0.583426291212566</v>
      </c>
      <c r="F31" t="n">
        <v>67</v>
      </c>
      <c r="G31" s="44" t="n">
        <v>0.665654479233423</v>
      </c>
      <c r="H31" t="n">
        <v>33</v>
      </c>
      <c r="I31" s="44" t="n">
        <v>0.604892464579185</v>
      </c>
      <c r="J31" t="n">
        <v>33</v>
      </c>
      <c r="K31" s="44" t="n">
        <v>0.592417100073921</v>
      </c>
      <c r="L31" t="n">
        <v>34</v>
      </c>
      <c r="M31" s="44" t="n">
        <v>0.562689248919339</v>
      </c>
      <c r="N31" s="12" t="n">
        <v>34</v>
      </c>
    </row>
    <row r="32" outlineLevel="1" hidden="0">
      <c r="A32" s="7" t="s">
        <v>14</v>
      </c>
      <c r="B32" t="s">
        <v>42</v>
      </c>
      <c r="C32" s="44" t="n">
        <v>0.291687121337948</v>
      </c>
      <c r="D32" t="n">
        <v>204</v>
      </c>
      <c r="E32" s="44" t="n">
        <v>0.174061567277815</v>
      </c>
      <c r="F32" t="n">
        <v>204</v>
      </c>
      <c r="G32" s="44" t="n">
        <v>0.273074106563895</v>
      </c>
      <c r="H32" t="n">
        <v>109</v>
      </c>
      <c r="I32" s="44" t="n">
        <v>0.167162724408322</v>
      </c>
      <c r="J32" t="n">
        <v>109</v>
      </c>
      <c r="K32" s="44" t="n">
        <v>0.311357410879453</v>
      </c>
      <c r="L32" t="n">
        <v>95</v>
      </c>
      <c r="M32" s="44" t="n">
        <v>0.181352285003643</v>
      </c>
      <c r="N32" s="12" t="n">
        <v>95</v>
      </c>
    </row>
    <row r="33" outlineLevel="1" hidden="0">
      <c r="A33" s="7" t="s">
        <v>14</v>
      </c>
      <c r="B33" t="s">
        <v>43</v>
      </c>
      <c r="C33" s="44" t="n">
        <v>0.538040271749866</v>
      </c>
      <c r="D33" t="n">
        <v>94</v>
      </c>
      <c r="E33" s="44" t="n">
        <v>0.333862052536729</v>
      </c>
      <c r="F33" t="n">
        <v>94</v>
      </c>
      <c r="G33" s="44" t="n">
        <v>0.647765080414519</v>
      </c>
      <c r="H33" t="n">
        <v>48</v>
      </c>
      <c r="I33" s="44" t="n">
        <v>0.340223709689879</v>
      </c>
      <c r="J33" t="n">
        <v>48</v>
      </c>
      <c r="K33" s="44" t="n">
        <v>0.427967555490911</v>
      </c>
      <c r="L33" t="n">
        <v>46</v>
      </c>
      <c r="M33" s="44" t="n">
        <v>0.32748022429499</v>
      </c>
      <c r="N33" s="12" t="n">
        <v>46</v>
      </c>
    </row>
    <row r="34" outlineLevel="1" hidden="0">
      <c r="A34" s="7" t="s">
        <v>14</v>
      </c>
      <c r="B34" t="s">
        <v>44</v>
      </c>
      <c r="C34" s="44" t="n">
        <v>0.621493496674094</v>
      </c>
      <c r="D34" t="n">
        <v>53</v>
      </c>
      <c r="E34" s="44" t="n">
        <v>0.433122051913648</v>
      </c>
      <c r="F34" t="n">
        <v>53</v>
      </c>
      <c r="G34" s="44" t="n">
        <v>0.536875101895629</v>
      </c>
      <c r="H34" t="n">
        <v>26</v>
      </c>
      <c r="I34" s="44" t="n">
        <v>0.383097923552341</v>
      </c>
      <c r="J34" t="n">
        <v>26</v>
      </c>
      <c r="K34" s="44" t="n">
        <v>0.703350311302596</v>
      </c>
      <c r="L34" t="n">
        <v>27</v>
      </c>
      <c r="M34" s="44" t="n">
        <v>0.4815136080634</v>
      </c>
      <c r="N34" s="12" t="n">
        <v>27</v>
      </c>
    </row>
    <row r="35" outlineLevel="1" hidden="0">
      <c r="A35" s="7" t="s">
        <v>14</v>
      </c>
      <c r="B35" t="s">
        <v>45</v>
      </c>
      <c r="C35" s="44" t="n">
        <v>0.4913812583181</v>
      </c>
      <c r="D35" t="n">
        <v>181</v>
      </c>
      <c r="E35" s="44" t="n">
        <v>0.35491694040231</v>
      </c>
      <c r="F35" t="n">
        <v>181</v>
      </c>
      <c r="G35" s="44" t="n">
        <v>0.561549474420851</v>
      </c>
      <c r="H35" t="n">
        <v>88</v>
      </c>
      <c r="I35" s="44" t="n">
        <v>0.40807993353756</v>
      </c>
      <c r="J35" t="n">
        <v>88</v>
      </c>
      <c r="K35" s="44" t="n">
        <v>0.410649938639717</v>
      </c>
      <c r="L35" t="n">
        <v>93</v>
      </c>
      <c r="M35" s="44" t="n">
        <v>0.293750805188373</v>
      </c>
      <c r="N35" s="12" t="n">
        <v>93</v>
      </c>
    </row>
    <row r="36" outlineLevel="1" hidden="0">
      <c r="A36" s="7" t="s">
        <v>14</v>
      </c>
      <c r="B36" t="s">
        <v>46</v>
      </c>
      <c r="C36" s="44" t="n">
        <v>0.567057425565199</v>
      </c>
      <c r="D36" t="n">
        <v>135</v>
      </c>
      <c r="E36" s="44" t="n">
        <v>0.39402059094717</v>
      </c>
      <c r="F36" t="n">
        <v>135</v>
      </c>
      <c r="G36" s="44" t="n">
        <v>0.53228572033664</v>
      </c>
      <c r="H36" t="n">
        <v>66</v>
      </c>
      <c r="I36" s="44" t="n">
        <v>0.417951257608537</v>
      </c>
      <c r="J36" t="n">
        <v>66</v>
      </c>
      <c r="K36" s="44" t="n">
        <v>0.604184683540519</v>
      </c>
      <c r="L36" t="n">
        <v>69</v>
      </c>
      <c r="M36" s="44" t="n">
        <v>0.368468780105055</v>
      </c>
      <c r="N36" s="12" t="n">
        <v>69</v>
      </c>
    </row>
    <row r="37" outlineLevel="1" hidden="0">
      <c r="A37" s="8" t="s">
        <v>14</v>
      </c>
      <c r="B37" s="10" t="s">
        <v>47</v>
      </c>
      <c r="C37" s="43" t="n">
        <v>0.406020231962218</v>
      </c>
      <c r="D37" s="10" t="n">
        <v>111</v>
      </c>
      <c r="E37" s="43" t="n">
        <v>0.291492167592343</v>
      </c>
      <c r="F37" s="10" t="n">
        <v>111</v>
      </c>
      <c r="G37" s="43" t="n">
        <v>0.490963078468116</v>
      </c>
      <c r="H37" s="10" t="n">
        <v>49</v>
      </c>
      <c r="I37" s="43" t="n">
        <v>0.389844954950727</v>
      </c>
      <c r="J37" s="10" t="n">
        <v>49</v>
      </c>
      <c r="K37" s="43" t="n">
        <v>0.338334181075961</v>
      </c>
      <c r="L37" s="10" t="n">
        <v>62</v>
      </c>
      <c r="M37" s="43" t="n">
        <v>0.213120508956173</v>
      </c>
      <c r="N37" s="13" t="n">
        <v>62</v>
      </c>
    </row>
    <row r="38">
      <c r="C38" s="44"/>
      <c r="E38" s="44"/>
      <c r="G38" s="44"/>
      <c r="I38" s="44"/>
      <c r="K38" s="44"/>
      <c r="M38" s="44"/>
    </row>
    <row r="39">
      <c r="A39" s="2" t="s">
        <v>48</v>
      </c>
      <c r="B39" s="2"/>
      <c r="C39" s="40"/>
      <c r="D39" s="2"/>
      <c r="E39" s="40"/>
      <c r="F39" s="2"/>
      <c r="G39" s="40"/>
      <c r="H39" s="2"/>
      <c r="I39" s="40"/>
      <c r="J39" s="2"/>
      <c r="K39" s="40"/>
      <c r="L39" s="2"/>
      <c r="M39" s="40"/>
      <c r="N39" s="2"/>
    </row>
    <row r="40" outlineLevel="1" hidden="0">
      <c r="A40" s="6" t="s">
        <v>14</v>
      </c>
      <c r="B40" s="9" t="s">
        <v>49</v>
      </c>
      <c r="C40" s="42" t="n">
        <v>0.559662805121153</v>
      </c>
      <c r="D40" s="9" t="n">
        <v>469</v>
      </c>
      <c r="E40" s="42" t="n">
        <v>0.362724187239347</v>
      </c>
      <c r="F40" s="9" t="n">
        <v>469</v>
      </c>
      <c r="G40" s="42" t="n">
        <v>0.6055790039765</v>
      </c>
      <c r="H40" s="9" t="n">
        <v>231</v>
      </c>
      <c r="I40" s="42" t="n">
        <v>0.399474551099122</v>
      </c>
      <c r="J40" s="9" t="n">
        <v>231</v>
      </c>
      <c r="K40" s="42" t="n">
        <v>0.496267559904329</v>
      </c>
      <c r="L40" s="9" t="n">
        <v>238</v>
      </c>
      <c r="M40" s="42" t="n">
        <v>0.311983960766382</v>
      </c>
      <c r="N40" s="11" t="n">
        <v>238</v>
      </c>
    </row>
    <row r="41" outlineLevel="1" hidden="0">
      <c r="A41" s="7" t="s">
        <v>14</v>
      </c>
      <c r="B41" t="s">
        <v>50</v>
      </c>
      <c r="C41" s="44" t="n">
        <v>0.621262961999601</v>
      </c>
      <c r="D41" t="n">
        <v>617</v>
      </c>
      <c r="E41" s="44" t="n">
        <v>0.50954921051606</v>
      </c>
      <c r="F41" t="n">
        <v>617</v>
      </c>
      <c r="G41" s="44" t="n">
        <v>0.646877668838301</v>
      </c>
      <c r="H41" t="n">
        <v>296</v>
      </c>
      <c r="I41" s="44" t="n">
        <v>0.530225153573532</v>
      </c>
      <c r="J41" t="n">
        <v>296</v>
      </c>
      <c r="K41" s="44" t="n">
        <v>0.595608255805908</v>
      </c>
      <c r="L41" t="n">
        <v>321</v>
      </c>
      <c r="M41" s="44" t="n">
        <v>0.488840980366982</v>
      </c>
      <c r="N41" s="12" t="n">
        <v>321</v>
      </c>
    </row>
    <row r="42" outlineLevel="1" hidden="0">
      <c r="A42" s="8" t="s">
        <v>14</v>
      </c>
      <c r="B42" s="10" t="s">
        <v>51</v>
      </c>
      <c r="C42" s="43" t="n">
        <v>0.60712106260185</v>
      </c>
      <c r="D42" s="10" t="n">
        <v>1779</v>
      </c>
      <c r="E42" s="43" t="n">
        <v>0.504948791870358</v>
      </c>
      <c r="F42" s="10" t="n">
        <v>1779</v>
      </c>
      <c r="G42" s="43" t="n">
        <v>0.632586151833703</v>
      </c>
      <c r="H42" s="10" t="n">
        <v>858</v>
      </c>
      <c r="I42" s="43" t="n">
        <v>0.527115023689624</v>
      </c>
      <c r="J42" s="10" t="n">
        <v>858</v>
      </c>
      <c r="K42" s="43" t="n">
        <v>0.584533112624724</v>
      </c>
      <c r="L42" s="10" t="n">
        <v>921</v>
      </c>
      <c r="M42" s="43" t="n">
        <v>0.48528698228641</v>
      </c>
      <c r="N42" s="13" t="n">
        <v>921</v>
      </c>
    </row>
    <row r="43">
      <c r="C43" s="44"/>
      <c r="E43" s="44"/>
      <c r="G43" s="44"/>
      <c r="I43" s="44"/>
      <c r="K43" s="44"/>
      <c r="M43" s="44"/>
    </row>
    <row r="44">
      <c r="A44" s="2" t="s">
        <v>52</v>
      </c>
      <c r="B44" s="2"/>
      <c r="C44" s="40"/>
      <c r="D44" s="2"/>
      <c r="E44" s="40"/>
      <c r="F44" s="2"/>
      <c r="G44" s="40"/>
      <c r="H44" s="2"/>
      <c r="I44" s="40"/>
      <c r="J44" s="2"/>
      <c r="K44" s="40"/>
      <c r="L44" s="2"/>
      <c r="M44" s="40"/>
      <c r="N44" s="2"/>
    </row>
    <row r="45" outlineLevel="1" hidden="0">
      <c r="A45" s="6" t="s">
        <v>14</v>
      </c>
      <c r="B45" s="9" t="s">
        <v>53</v>
      </c>
      <c r="C45" s="42" t="n">
        <v>0.573442955452958</v>
      </c>
      <c r="D45" s="9" t="n">
        <v>772</v>
      </c>
      <c r="E45" s="42" t="n">
        <v>0.457360369724048</v>
      </c>
      <c r="F45" s="9" t="n">
        <v>772</v>
      </c>
      <c r="G45" s="42" t="n">
        <v>0.626084528103423</v>
      </c>
      <c r="H45" s="9" t="n">
        <v>373</v>
      </c>
      <c r="I45" s="42" t="n">
        <v>0.489838342671481</v>
      </c>
      <c r="J45" s="9" t="n">
        <v>373</v>
      </c>
      <c r="K45" s="42" t="n">
        <v>0.519220716230787</v>
      </c>
      <c r="L45" s="9" t="n">
        <v>399</v>
      </c>
      <c r="M45" s="42" t="n">
        <v>0.423907181873829</v>
      </c>
      <c r="N45" s="11" t="n">
        <v>399</v>
      </c>
    </row>
    <row r="46" outlineLevel="1" hidden="0">
      <c r="A46" s="8" t="s">
        <v>14</v>
      </c>
      <c r="B46" s="10" t="s">
        <v>54</v>
      </c>
      <c r="C46" s="43" t="n">
        <v>0.604449177863362</v>
      </c>
      <c r="D46" s="10" t="n">
        <v>2093</v>
      </c>
      <c r="E46" s="43" t="n">
        <v>0.46631483390563</v>
      </c>
      <c r="F46" s="10" t="n">
        <v>2093</v>
      </c>
      <c r="G46" s="43" t="n">
        <v>0.626806307112261</v>
      </c>
      <c r="H46" s="10" t="n">
        <v>1012</v>
      </c>
      <c r="I46" s="43" t="n">
        <v>0.483049963444666</v>
      </c>
      <c r="J46" s="10" t="n">
        <v>1012</v>
      </c>
      <c r="K46" s="43" t="n">
        <v>0.581184857237144</v>
      </c>
      <c r="L46" s="10" t="n">
        <v>1081</v>
      </c>
      <c r="M46" s="43" t="n">
        <v>0.448900638416441</v>
      </c>
      <c r="N46" s="13" t="n">
        <v>1081</v>
      </c>
    </row>
    <row r="47">
      <c r="C47" s="44"/>
      <c r="E47" s="44"/>
      <c r="G47" s="44"/>
      <c r="I47" s="44"/>
      <c r="K47" s="44"/>
      <c r="M47" s="44"/>
    </row>
    <row r="48">
      <c r="A48" s="2" t="s">
        <v>55</v>
      </c>
      <c r="B48" s="2"/>
      <c r="C48" s="40"/>
      <c r="D48" s="2"/>
      <c r="E48" s="40"/>
      <c r="F48" s="2"/>
      <c r="G48" s="40"/>
      <c r="H48" s="2"/>
      <c r="I48" s="40"/>
      <c r="J48" s="2"/>
      <c r="K48" s="40"/>
      <c r="L48" s="2"/>
      <c r="M48" s="40"/>
      <c r="N48" s="2"/>
    </row>
    <row r="49" outlineLevel="1" hidden="0">
      <c r="A49" s="6" t="s">
        <v>14</v>
      </c>
      <c r="B49" s="9" t="s">
        <v>56</v>
      </c>
      <c r="C49" s="42" t="n">
        <v>0.559662805121153</v>
      </c>
      <c r="D49" s="9" t="n">
        <v>469</v>
      </c>
      <c r="E49" s="42" t="n">
        <v>0.362724187239347</v>
      </c>
      <c r="F49" s="9" t="n">
        <v>469</v>
      </c>
      <c r="G49" s="42" t="n">
        <v>0.6055790039765</v>
      </c>
      <c r="H49" s="9" t="n">
        <v>231</v>
      </c>
      <c r="I49" s="42" t="n">
        <v>0.399474551099122</v>
      </c>
      <c r="J49" s="9" t="n">
        <v>231</v>
      </c>
      <c r="K49" s="42" t="n">
        <v>0.496267559904329</v>
      </c>
      <c r="L49" s="9" t="n">
        <v>238</v>
      </c>
      <c r="M49" s="42" t="n">
        <v>0.311983960766382</v>
      </c>
      <c r="N49" s="11" t="n">
        <v>238</v>
      </c>
    </row>
    <row r="50" outlineLevel="1" hidden="0">
      <c r="A50" s="7" t="s">
        <v>14</v>
      </c>
      <c r="B50" t="s">
        <v>57</v>
      </c>
      <c r="C50" s="44" t="n">
        <v>0.548579089641155</v>
      </c>
      <c r="D50" t="n">
        <v>1670</v>
      </c>
      <c r="E50" s="44" t="n">
        <v>0.431425046722338</v>
      </c>
      <c r="F50" t="n">
        <v>1670</v>
      </c>
      <c r="G50" s="44" t="n">
        <v>0.516753606680476</v>
      </c>
      <c r="H50" t="n">
        <v>794</v>
      </c>
      <c r="I50" s="44" t="n">
        <v>0.418455550938049</v>
      </c>
      <c r="J50" t="n">
        <v>794</v>
      </c>
      <c r="K50" s="44" t="n">
        <v>0.576411317682093</v>
      </c>
      <c r="L50" t="n">
        <v>876</v>
      </c>
      <c r="M50" s="44" t="n">
        <v>0.442767214402569</v>
      </c>
      <c r="N50" s="12" t="n">
        <v>876</v>
      </c>
    </row>
    <row r="51" outlineLevel="1" hidden="0">
      <c r="A51" s="8" t="s">
        <v>14</v>
      </c>
      <c r="B51" s="10" t="s">
        <v>58</v>
      </c>
      <c r="C51" s="43" t="n">
        <v>0.680630974564619</v>
      </c>
      <c r="D51" s="10" t="n">
        <v>726</v>
      </c>
      <c r="E51" s="43" t="n">
        <v>0.588576949605671</v>
      </c>
      <c r="F51" s="10" t="n">
        <v>726</v>
      </c>
      <c r="G51" s="43" t="n">
        <v>0.762061869935829</v>
      </c>
      <c r="H51" s="10" t="n">
        <v>360</v>
      </c>
      <c r="I51" s="43" t="n">
        <v>0.641682463672228</v>
      </c>
      <c r="J51" s="10" t="n">
        <v>360</v>
      </c>
      <c r="K51" s="43" t="n">
        <v>0.601141543091949</v>
      </c>
      <c r="L51" s="10" t="n">
        <v>366</v>
      </c>
      <c r="M51" s="43" t="n">
        <v>0.536737569699909</v>
      </c>
      <c r="N51" s="13" t="n">
        <v>366</v>
      </c>
    </row>
    <row r="52">
      <c r="C52" s="44"/>
      <c r="E52" s="44"/>
      <c r="G52" s="44"/>
      <c r="I52" s="44"/>
      <c r="K52" s="44"/>
      <c r="M52" s="44"/>
    </row>
    <row r="53">
      <c r="A53" s="2" t="s">
        <v>59</v>
      </c>
      <c r="B53" s="2"/>
      <c r="C53" s="40"/>
      <c r="D53" s="2"/>
      <c r="E53" s="40"/>
      <c r="F53" s="2"/>
      <c r="G53" s="40"/>
      <c r="H53" s="2"/>
      <c r="I53" s="40"/>
      <c r="J53" s="2"/>
      <c r="K53" s="40"/>
      <c r="L53" s="2"/>
      <c r="M53" s="40"/>
      <c r="N53" s="2"/>
    </row>
    <row r="54" outlineLevel="1" hidden="0">
      <c r="A54" s="6" t="s">
        <v>14</v>
      </c>
      <c r="B54" s="9" t="s">
        <v>60</v>
      </c>
      <c r="C54" s="42" t="n">
        <v>0.583720451616148</v>
      </c>
      <c r="D54" s="9" t="n">
        <v>1063</v>
      </c>
      <c r="E54" s="42" t="n">
        <v>0.423961448394816</v>
      </c>
      <c r="F54" s="9" t="n">
        <v>1063</v>
      </c>
      <c r="G54" s="42" t="n">
        <v>0.620238512575378</v>
      </c>
      <c r="H54" s="9" t="n">
        <v>516</v>
      </c>
      <c r="I54" s="42" t="n">
        <v>0.450244322995845</v>
      </c>
      <c r="J54" s="9" t="n">
        <v>516</v>
      </c>
      <c r="K54" s="42" t="n">
        <v>0.539570399628442</v>
      </c>
      <c r="L54" s="9" t="n">
        <v>547</v>
      </c>
      <c r="M54" s="42" t="n">
        <v>0.392185657196118</v>
      </c>
      <c r="N54" s="11" t="n">
        <v>547</v>
      </c>
    </row>
    <row r="55" outlineLevel="1" hidden="0">
      <c r="A55" s="7" t="s">
        <v>14</v>
      </c>
      <c r="B55" t="s">
        <v>61</v>
      </c>
      <c r="C55" s="44" t="n">
        <v>0.640307109053891</v>
      </c>
      <c r="D55" t="n">
        <v>6</v>
      </c>
      <c r="E55" s="44" t="n">
        <v>0.460460663580836</v>
      </c>
      <c r="F55" t="n">
        <v>6</v>
      </c>
      <c r="G55" s="44" t="n">
        <v>0.581213788858781</v>
      </c>
      <c r="H55" t="n">
        <v>5</v>
      </c>
      <c r="I55" s="44" t="n">
        <v>0.371820683288172</v>
      </c>
      <c r="J55" t="n">
        <v>5</v>
      </c>
      <c r="K55" s="44" t="n">
        <v>1</v>
      </c>
      <c r="L55" t="n">
        <v>1</v>
      </c>
      <c r="M55" s="44" t="n">
        <v>1</v>
      </c>
      <c r="N55" s="12" t="n">
        <v>1</v>
      </c>
    </row>
    <row r="56" outlineLevel="1" hidden="0">
      <c r="A56" s="7" t="s">
        <v>14</v>
      </c>
      <c r="B56" t="s">
        <v>62</v>
      </c>
      <c r="C56" s="44" t="n">
        <v>0.913246935380053</v>
      </c>
      <c r="D56" t="n">
        <v>11</v>
      </c>
      <c r="E56" s="44" t="n">
        <v>0.594213999284619</v>
      </c>
      <c r="F56" t="n">
        <v>11</v>
      </c>
      <c r="G56" s="44" t="n">
        <v>1</v>
      </c>
      <c r="H56" t="n">
        <v>4</v>
      </c>
      <c r="I56" s="44" t="n">
        <v>0.362378322625008</v>
      </c>
      <c r="J56" t="n">
        <v>4</v>
      </c>
      <c r="K56" s="44" t="n">
        <v>0.887591523719805</v>
      </c>
      <c r="L56" t="n">
        <v>7</v>
      </c>
      <c r="M56" s="44" t="n">
        <v>0.662774571159414</v>
      </c>
      <c r="N56" s="12" t="n">
        <v>7</v>
      </c>
    </row>
    <row r="57" outlineLevel="1" hidden="0">
      <c r="A57" s="7" t="s">
        <v>14</v>
      </c>
      <c r="B57" t="s">
        <v>63</v>
      </c>
      <c r="C57" s="44" t="n">
        <v>0.727055592171399</v>
      </c>
      <c r="D57" t="n">
        <v>6</v>
      </c>
      <c r="E57" s="44" t="n">
        <v>0.727055592171399</v>
      </c>
      <c r="F57" t="n">
        <v>6</v>
      </c>
      <c r="G57" s="44" t="n">
        <v>1</v>
      </c>
      <c r="H57" t="n">
        <v>2</v>
      </c>
      <c r="I57" s="44" t="n">
        <v>1</v>
      </c>
      <c r="J57" t="n">
        <v>2</v>
      </c>
      <c r="K57" s="44" t="n">
        <v>0.474902444117304</v>
      </c>
      <c r="L57" t="n">
        <v>4</v>
      </c>
      <c r="M57" s="44" t="n">
        <v>0.474902444117304</v>
      </c>
      <c r="N57" s="12" t="n">
        <v>4</v>
      </c>
    </row>
    <row r="58" outlineLevel="1" hidden="0">
      <c r="A58" s="7" t="s">
        <v>14</v>
      </c>
      <c r="B58" t="s">
        <v>64</v>
      </c>
      <c r="C58" s="44"/>
      <c r="D58"/>
      <c r="E58" s="44"/>
      <c r="F58"/>
      <c r="G58" s="44" t="n">
        <v>0.632586151833703</v>
      </c>
      <c r="H58" t="n">
        <v>858</v>
      </c>
      <c r="I58" s="44" t="n">
        <v>0.527115023689624</v>
      </c>
      <c r="J58" t="n">
        <v>858</v>
      </c>
      <c r="K58" s="44" t="n">
        <v>0.584533112624724</v>
      </c>
      <c r="L58" t="n">
        <v>921</v>
      </c>
      <c r="M58" s="44" t="n">
        <v>0.48528698228641</v>
      </c>
      <c r="N58" s="12" t="n">
        <v>921</v>
      </c>
    </row>
    <row r="59" outlineLevel="1" hidden="0">
      <c r="A59" s="8" t="s">
        <v>14</v>
      </c>
      <c r="B59" s="10" t="s">
        <v>14</v>
      </c>
      <c r="C59" s="43" t="n">
        <v>0.60712106260185</v>
      </c>
      <c r="D59" s="10" t="n">
        <v>1779</v>
      </c>
      <c r="E59" s="43" t="n">
        <v>0.504948791870358</v>
      </c>
      <c r="F59" s="10" t="n">
        <v>1779</v>
      </c>
      <c r="G59" s="43"/>
      <c r="H59" s="10"/>
      <c r="I59" s="43"/>
      <c r="J59" s="10"/>
      <c r="K59" s="43"/>
      <c r="L59" s="10"/>
      <c r="M59" s="43"/>
      <c r="N59" s="13"/>
    </row>
    <row r="60">
      <c r="C60" s="44"/>
      <c r="E60" s="44"/>
      <c r="G60" s="44"/>
      <c r="I60" s="44"/>
      <c r="K60" s="44"/>
      <c r="M60" s="44"/>
    </row>
    <row r="61">
      <c r="A61" s="2" t="s">
        <v>65</v>
      </c>
      <c r="B61" s="2"/>
      <c r="C61" s="40"/>
      <c r="D61" s="2"/>
      <c r="E61" s="40"/>
      <c r="F61" s="2"/>
      <c r="G61" s="40"/>
      <c r="H61" s="2"/>
      <c r="I61" s="40"/>
      <c r="J61" s="2"/>
      <c r="K61" s="40"/>
      <c r="L61" s="2"/>
      <c r="M61" s="40"/>
      <c r="N61" s="2"/>
    </row>
    <row r="62" outlineLevel="1" hidden="0">
      <c r="A62" s="6" t="s">
        <v>14</v>
      </c>
      <c r="B62" s="9" t="s">
        <v>66</v>
      </c>
      <c r="C62" s="42" t="n">
        <v>0.603218825499301</v>
      </c>
      <c r="D62" s="9" t="n">
        <v>2771</v>
      </c>
      <c r="E62" s="42" t="n">
        <v>0.469287579772436</v>
      </c>
      <c r="F62" s="9" t="n">
        <v>2771</v>
      </c>
      <c r="G62" s="42" t="n">
        <v>0.630968417406745</v>
      </c>
      <c r="H62" s="9" t="n">
        <v>1352</v>
      </c>
      <c r="I62" s="42" t="n">
        <v>0.487879672370557</v>
      </c>
      <c r="J62" s="9" t="n">
        <v>1352</v>
      </c>
      <c r="K62" s="42" t="n">
        <v>0.574259445096319</v>
      </c>
      <c r="L62" s="9" t="n">
        <v>1419</v>
      </c>
      <c r="M62" s="42" t="n">
        <v>0.449884934723373</v>
      </c>
      <c r="N62" s="11" t="n">
        <v>1419</v>
      </c>
    </row>
    <row r="63" outlineLevel="1" hidden="0">
      <c r="A63" s="8" t="s">
        <v>14</v>
      </c>
      <c r="B63" s="10" t="s">
        <v>67</v>
      </c>
      <c r="C63" s="43" t="n">
        <v>0.397087280996563</v>
      </c>
      <c r="D63" s="10" t="n">
        <v>94</v>
      </c>
      <c r="E63" s="43" t="n">
        <v>0.311496261746226</v>
      </c>
      <c r="F63" s="10" t="n">
        <v>94</v>
      </c>
      <c r="G63" s="43" t="n">
        <v>0.491535709833538</v>
      </c>
      <c r="H63" s="10" t="n">
        <v>33</v>
      </c>
      <c r="I63" s="43" t="n">
        <v>0.390544785651032</v>
      </c>
      <c r="J63" s="10" t="n">
        <v>33</v>
      </c>
      <c r="K63" s="43" t="n">
        <v>0.313541567134446</v>
      </c>
      <c r="L63" s="10" t="n">
        <v>61</v>
      </c>
      <c r="M63" s="43" t="n">
        <v>0.241572754910841</v>
      </c>
      <c r="N63" s="13" t="n">
        <v>61</v>
      </c>
    </row>
    <row r="64">
      <c r="C64" s="44"/>
      <c r="E64" s="44"/>
      <c r="G64" s="44"/>
      <c r="I64" s="44"/>
      <c r="K64" s="44"/>
      <c r="M64" s="44"/>
    </row>
    <row r="65">
      <c r="A65" s="2" t="s">
        <v>68</v>
      </c>
      <c r="B65" s="2"/>
      <c r="C65" s="40"/>
      <c r="D65" s="2"/>
      <c r="E65" s="40"/>
      <c r="F65" s="2"/>
      <c r="G65" s="40"/>
      <c r="H65" s="2"/>
      <c r="I65" s="40"/>
      <c r="J65" s="2"/>
      <c r="K65" s="40"/>
      <c r="L65" s="2"/>
      <c r="M65" s="40"/>
      <c r="N65" s="2"/>
    </row>
    <row r="66" outlineLevel="1" hidden="0">
      <c r="A66" s="6" t="s">
        <v>14</v>
      </c>
      <c r="B66" s="9" t="s">
        <v>66</v>
      </c>
      <c r="C66" s="42" t="n">
        <v>0.602666044348476</v>
      </c>
      <c r="D66" s="9" t="n">
        <v>2745</v>
      </c>
      <c r="E66" s="42" t="n">
        <v>0.46868408351228</v>
      </c>
      <c r="F66" s="9" t="n">
        <v>2745</v>
      </c>
      <c r="G66" s="42" t="n">
        <v>0.633954945824135</v>
      </c>
      <c r="H66" s="9" t="n">
        <v>1342</v>
      </c>
      <c r="I66" s="42" t="n">
        <v>0.490970937521793</v>
      </c>
      <c r="J66" s="9" t="n">
        <v>1342</v>
      </c>
      <c r="K66" s="42" t="n">
        <v>0.569792099515171</v>
      </c>
      <c r="L66" s="9" t="n">
        <v>1403</v>
      </c>
      <c r="M66" s="42" t="n">
        <v>0.445268214796447</v>
      </c>
      <c r="N66" s="11" t="n">
        <v>1403</v>
      </c>
    </row>
    <row r="67" outlineLevel="1" hidden="0">
      <c r="A67" s="8" t="s">
        <v>14</v>
      </c>
      <c r="B67" s="10" t="s">
        <v>67</v>
      </c>
      <c r="C67" s="43" t="n">
        <v>0.454256557683265</v>
      </c>
      <c r="D67" s="10" t="n">
        <v>120</v>
      </c>
      <c r="E67" s="43" t="n">
        <v>0.359241705130719</v>
      </c>
      <c r="F67" s="10" t="n">
        <v>120</v>
      </c>
      <c r="G67" s="43" t="n">
        <v>0.438376854538125</v>
      </c>
      <c r="H67" s="10" t="n">
        <v>43</v>
      </c>
      <c r="I67" s="43" t="n">
        <v>0.327621902285228</v>
      </c>
      <c r="J67" s="10" t="n">
        <v>43</v>
      </c>
      <c r="K67" s="43" t="n">
        <v>0.466792580549735</v>
      </c>
      <c r="L67" s="10" t="n">
        <v>77</v>
      </c>
      <c r="M67" s="43" t="n">
        <v>0.384203542759633</v>
      </c>
      <c r="N67" s="13" t="n">
        <v>77</v>
      </c>
    </row>
    <row r="68">
      <c r="C68" s="44"/>
      <c r="E68" s="44"/>
      <c r="G68" s="44"/>
      <c r="I68" s="44"/>
      <c r="K68" s="44"/>
      <c r="M68" s="44"/>
    </row>
    <row r="69">
      <c r="C69" s="44"/>
      <c r="E69" s="44"/>
      <c r="G69" s="44"/>
      <c r="I69" s="44"/>
      <c r="K69" s="44"/>
      <c r="M69" s="44"/>
    </row>
  </sheetData>
  <mergeCells count="22">
    <mergeCell ref="A1:N1"/>
    <mergeCell ref="C2:F2"/>
    <mergeCell ref="G2:J2"/>
    <mergeCell ref="K2:N2"/>
    <mergeCell ref="E3:F3"/>
    <mergeCell ref="I3:J3"/>
    <mergeCell ref="M3:N3"/>
    <mergeCell ref="E4:F4"/>
    <mergeCell ref="C4:D4"/>
    <mergeCell ref="I4:J4"/>
    <mergeCell ref="G4:H4"/>
    <mergeCell ref="M4:N4"/>
    <mergeCell ref="K4:L4"/>
    <mergeCell ref="A6:N6"/>
    <mergeCell ref="A9:N9"/>
    <mergeCell ref="A16:N16"/>
    <mergeCell ref="A39:N39"/>
    <mergeCell ref="A44:N44"/>
    <mergeCell ref="A48:N48"/>
    <mergeCell ref="A53:N53"/>
    <mergeCell ref="A61:N61"/>
    <mergeCell ref="A65:N65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C2" s="2" t="s">
        <v>2</v>
      </c>
      <c r="D2" s="2"/>
      <c r="E2" s="2"/>
      <c r="F2" s="2"/>
      <c r="G2" s="2" t="s">
        <v>3</v>
      </c>
      <c r="H2" s="2"/>
      <c r="I2" s="2"/>
      <c r="J2" s="2"/>
      <c r="K2" s="2" t="s">
        <v>4</v>
      </c>
      <c r="L2" s="2"/>
      <c r="M2" s="2"/>
      <c r="N2" s="2"/>
    </row>
    <row r="3">
      <c r="E3" s="2" t="s">
        <v>83</v>
      </c>
      <c r="F3" s="2"/>
      <c r="I3" s="2" t="s">
        <v>83</v>
      </c>
      <c r="J3" s="2"/>
      <c r="M3" s="2" t="s">
        <v>83</v>
      </c>
      <c r="N3" s="2"/>
    </row>
    <row r="4">
      <c r="C4" s="2" t="s">
        <v>9</v>
      </c>
      <c r="D4" s="2"/>
      <c r="E4" s="2" t="s">
        <v>91</v>
      </c>
      <c r="F4" s="2"/>
      <c r="G4" s="2" t="s">
        <v>9</v>
      </c>
      <c r="H4" s="2"/>
      <c r="I4" s="2" t="s">
        <v>91</v>
      </c>
      <c r="J4" s="2"/>
      <c r="K4" s="2" t="s">
        <v>9</v>
      </c>
      <c r="L4" s="2"/>
      <c r="M4" s="2" t="s">
        <v>91</v>
      </c>
      <c r="N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</row>
    <row r="6">
      <c r="A6" s="2" t="s">
        <v>15</v>
      </c>
      <c r="B6" s="2"/>
      <c r="C6" s="45"/>
      <c r="D6" s="2"/>
      <c r="E6" s="45"/>
      <c r="F6" s="2"/>
      <c r="G6" s="45"/>
      <c r="H6" s="2"/>
      <c r="I6" s="45"/>
      <c r="J6" s="2"/>
      <c r="K6" s="45"/>
      <c r="L6" s="2"/>
      <c r="M6" s="45"/>
      <c r="N6" s="2"/>
    </row>
    <row r="7" outlineLevel="1" hidden="0">
      <c r="A7" s="3" t="s">
        <v>14</v>
      </c>
      <c r="B7" s="4" t="s">
        <v>19</v>
      </c>
      <c r="C7" s="46" t="n">
        <v>0.338232047832835</v>
      </c>
      <c r="D7" s="4" t="n">
        <v>2209</v>
      </c>
      <c r="E7" s="46" t="n">
        <v>0.247540056781928</v>
      </c>
      <c r="F7" s="4" t="n">
        <v>2209</v>
      </c>
      <c r="G7" s="46" t="n">
        <v>0.349964757694527</v>
      </c>
      <c r="H7" s="4" t="n">
        <v>1098</v>
      </c>
      <c r="I7" s="46" t="n">
        <v>0.256174271615588</v>
      </c>
      <c r="J7" s="4" t="n">
        <v>1098</v>
      </c>
      <c r="K7" s="46" t="n">
        <v>0.327114446485226</v>
      </c>
      <c r="L7" s="4" t="n">
        <v>1111</v>
      </c>
      <c r="M7" s="46" t="n">
        <v>0.239358506261902</v>
      </c>
      <c r="N7" s="5" t="n">
        <v>1111</v>
      </c>
    </row>
    <row r="8">
      <c r="C8" s="49"/>
      <c r="E8" s="49"/>
      <c r="G8" s="49"/>
      <c r="I8" s="49"/>
      <c r="K8" s="49"/>
      <c r="M8" s="49"/>
    </row>
    <row r="9">
      <c r="A9" s="2" t="s">
        <v>20</v>
      </c>
      <c r="B9" s="2"/>
      <c r="C9" s="45"/>
      <c r="D9" s="2"/>
      <c r="E9" s="45"/>
      <c r="F9" s="2"/>
      <c r="G9" s="45"/>
      <c r="H9" s="2"/>
      <c r="I9" s="45"/>
      <c r="J9" s="2"/>
      <c r="K9" s="45"/>
      <c r="L9" s="2"/>
      <c r="M9" s="45"/>
      <c r="N9" s="2"/>
    </row>
    <row r="10" outlineLevel="1" hidden="0">
      <c r="A10" s="6" t="s">
        <v>14</v>
      </c>
      <c r="B10" s="9" t="s">
        <v>21</v>
      </c>
      <c r="C10" s="47" t="n">
        <v>0.38701645698388</v>
      </c>
      <c r="D10" s="9" t="n">
        <v>606</v>
      </c>
      <c r="E10" s="47" t="n">
        <v>0.297636428309374</v>
      </c>
      <c r="F10" s="9" t="n">
        <v>606</v>
      </c>
      <c r="G10" s="47" t="n">
        <v>0.415322673298426</v>
      </c>
      <c r="H10" s="9" t="n">
        <v>307</v>
      </c>
      <c r="I10" s="47" t="n">
        <v>0.324068767722806</v>
      </c>
      <c r="J10" s="9" t="n">
        <v>307</v>
      </c>
      <c r="K10" s="47" t="n">
        <v>0.356392847682222</v>
      </c>
      <c r="L10" s="9" t="n">
        <v>299</v>
      </c>
      <c r="M10" s="47" t="n">
        <v>0.26904010776512</v>
      </c>
      <c r="N10" s="11" t="n">
        <v>299</v>
      </c>
    </row>
    <row r="11" outlineLevel="1" hidden="0">
      <c r="A11" s="7" t="s">
        <v>14</v>
      </c>
      <c r="B11" t="s">
        <v>22</v>
      </c>
      <c r="C11" s="49" t="n">
        <v>0.360717066302777</v>
      </c>
      <c r="D11" t="n">
        <v>505</v>
      </c>
      <c r="E11" s="49" t="n">
        <v>0.257186929645584</v>
      </c>
      <c r="F11" t="n">
        <v>505</v>
      </c>
      <c r="G11" s="49" t="n">
        <v>0.354014328705491</v>
      </c>
      <c r="H11" t="n">
        <v>232</v>
      </c>
      <c r="I11" s="49" t="n">
        <v>0.23368167026684</v>
      </c>
      <c r="J11" t="n">
        <v>232</v>
      </c>
      <c r="K11" s="49" t="n">
        <v>0.366318390491918</v>
      </c>
      <c r="L11" t="n">
        <v>273</v>
      </c>
      <c r="M11" s="49" t="n">
        <v>0.276829736188318</v>
      </c>
      <c r="N11" s="12" t="n">
        <v>273</v>
      </c>
    </row>
    <row r="12" outlineLevel="1" hidden="0">
      <c r="A12" s="7" t="s">
        <v>14</v>
      </c>
      <c r="B12" t="s">
        <v>23</v>
      </c>
      <c r="C12" s="49" t="n">
        <v>0.3411847189374</v>
      </c>
      <c r="D12" t="n">
        <v>536</v>
      </c>
      <c r="E12" s="49" t="n">
        <v>0.256710108559267</v>
      </c>
      <c r="F12" t="n">
        <v>536</v>
      </c>
      <c r="G12" s="49" t="n">
        <v>0.361166497498716</v>
      </c>
      <c r="H12" t="n">
        <v>294</v>
      </c>
      <c r="I12" s="49" t="n">
        <v>0.291765657557001</v>
      </c>
      <c r="J12" t="n">
        <v>294</v>
      </c>
      <c r="K12" s="49" t="n">
        <v>0.320260344217071</v>
      </c>
      <c r="L12" t="n">
        <v>242</v>
      </c>
      <c r="M12" s="49" t="n">
        <v>0.22000089165925</v>
      </c>
      <c r="N12" s="12" t="n">
        <v>242</v>
      </c>
    </row>
    <row r="13" outlineLevel="1" hidden="0">
      <c r="A13" s="7" t="s">
        <v>14</v>
      </c>
      <c r="B13" t="s">
        <v>24</v>
      </c>
      <c r="C13" s="49" t="n">
        <v>0.25130151915605</v>
      </c>
      <c r="D13" t="n">
        <v>237</v>
      </c>
      <c r="E13" s="49" t="n">
        <v>0.10998924985725</v>
      </c>
      <c r="F13" t="n">
        <v>237</v>
      </c>
      <c r="G13" s="49" t="n">
        <v>0.271600134744223</v>
      </c>
      <c r="H13" t="n">
        <v>118</v>
      </c>
      <c r="I13" s="49" t="n">
        <v>0.12725280029791</v>
      </c>
      <c r="J13" t="n">
        <v>118</v>
      </c>
      <c r="K13" s="49" t="n">
        <v>0.230332639894046</v>
      </c>
      <c r="L13" t="n">
        <v>119</v>
      </c>
      <c r="M13" s="49" t="n">
        <v>0.0921556541003724</v>
      </c>
      <c r="N13" s="12" t="n">
        <v>119</v>
      </c>
    </row>
    <row r="14" outlineLevel="1" hidden="0">
      <c r="A14" s="8" t="s">
        <v>14</v>
      </c>
      <c r="B14" s="10" t="s">
        <v>25</v>
      </c>
      <c r="C14" s="48" t="n">
        <v>0.171172749989055</v>
      </c>
      <c r="D14" s="10" t="n">
        <v>325</v>
      </c>
      <c r="E14" s="48" t="n">
        <v>0.138864320300987</v>
      </c>
      <c r="F14" s="10" t="n">
        <v>325</v>
      </c>
      <c r="G14" s="48" t="n">
        <v>0.166695728795719</v>
      </c>
      <c r="H14" s="10" t="n">
        <v>147</v>
      </c>
      <c r="I14" s="48" t="n">
        <v>0.14160561899112</v>
      </c>
      <c r="J14" s="10" t="n">
        <v>147</v>
      </c>
      <c r="K14" s="48" t="n">
        <v>0.174953965625146</v>
      </c>
      <c r="L14" s="10" t="n">
        <v>178</v>
      </c>
      <c r="M14" s="48" t="n">
        <v>0.136549066246403</v>
      </c>
      <c r="N14" s="13" t="n">
        <v>178</v>
      </c>
    </row>
    <row r="15">
      <c r="C15" s="49"/>
      <c r="E15" s="49"/>
      <c r="G15" s="49"/>
      <c r="I15" s="49"/>
      <c r="K15" s="49"/>
      <c r="M15" s="49"/>
    </row>
    <row r="16">
      <c r="A16" s="2" t="s">
        <v>26</v>
      </c>
      <c r="B16" s="2"/>
      <c r="C16" s="45"/>
      <c r="D16" s="2"/>
      <c r="E16" s="45"/>
      <c r="F16" s="2"/>
      <c r="G16" s="45"/>
      <c r="H16" s="2"/>
      <c r="I16" s="45"/>
      <c r="J16" s="2"/>
      <c r="K16" s="45"/>
      <c r="L16" s="2"/>
      <c r="M16" s="45"/>
      <c r="N16" s="2"/>
    </row>
    <row r="17" outlineLevel="1" hidden="0">
      <c r="A17" s="6" t="s">
        <v>14</v>
      </c>
      <c r="B17" s="9" t="s">
        <v>27</v>
      </c>
      <c r="C17" s="47" t="n">
        <v>0.292812250690417</v>
      </c>
      <c r="D17" s="9" t="n">
        <v>61</v>
      </c>
      <c r="E17" s="47" t="n">
        <v>0.203087627273168</v>
      </c>
      <c r="F17" s="9" t="n">
        <v>61</v>
      </c>
      <c r="G17" s="47" t="n">
        <v>0.404301376787322</v>
      </c>
      <c r="H17" s="9" t="n">
        <v>37</v>
      </c>
      <c r="I17" s="47" t="n">
        <v>0.263594752802645</v>
      </c>
      <c r="J17" s="9" t="n">
        <v>37</v>
      </c>
      <c r="K17" s="47" t="n">
        <v>0.124183653374148</v>
      </c>
      <c r="L17" s="9" t="n">
        <v>24</v>
      </c>
      <c r="M17" s="47" t="n">
        <v>0.111569897581693</v>
      </c>
      <c r="N17" s="11" t="n">
        <v>24</v>
      </c>
    </row>
    <row r="18" outlineLevel="1" hidden="0">
      <c r="A18" s="7" t="s">
        <v>14</v>
      </c>
      <c r="B18" t="s">
        <v>28</v>
      </c>
      <c r="C18" s="49" t="n">
        <v>0.518682279197351</v>
      </c>
      <c r="D18" t="n">
        <v>67</v>
      </c>
      <c r="E18" s="49" t="n">
        <v>0.301230946008009</v>
      </c>
      <c r="F18" t="n">
        <v>67</v>
      </c>
      <c r="G18" s="49" t="n">
        <v>0.405372706327946</v>
      </c>
      <c r="H18" t="n">
        <v>39</v>
      </c>
      <c r="I18" s="49" t="n">
        <v>0.171170773240449</v>
      </c>
      <c r="J18" t="n">
        <v>39</v>
      </c>
      <c r="K18" s="49" t="n">
        <v>0.708171779612211</v>
      </c>
      <c r="L18" t="n">
        <v>28</v>
      </c>
      <c r="M18" s="49" t="n">
        <v>0.518732755762424</v>
      </c>
      <c r="N18" s="12" t="n">
        <v>28</v>
      </c>
    </row>
    <row r="19" outlineLevel="1" hidden="0">
      <c r="A19" s="7" t="s">
        <v>14</v>
      </c>
      <c r="B19" t="s">
        <v>29</v>
      </c>
      <c r="C19" s="49" t="n">
        <v>0.394888350139566</v>
      </c>
      <c r="D19" t="n">
        <v>145</v>
      </c>
      <c r="E19" s="49" t="n">
        <v>0.322929577033587</v>
      </c>
      <c r="F19" t="n">
        <v>145</v>
      </c>
      <c r="G19" s="49" t="n">
        <v>0.404938183518605</v>
      </c>
      <c r="H19" t="n">
        <v>62</v>
      </c>
      <c r="I19" s="49" t="n">
        <v>0.333402186108453</v>
      </c>
      <c r="J19" t="n">
        <v>62</v>
      </c>
      <c r="K19" s="49" t="n">
        <v>0.38787924744971</v>
      </c>
      <c r="L19" t="n">
        <v>83</v>
      </c>
      <c r="M19" s="49" t="n">
        <v>0.315625615896326</v>
      </c>
      <c r="N19" s="12" t="n">
        <v>83</v>
      </c>
    </row>
    <row r="20" outlineLevel="1" hidden="0">
      <c r="A20" s="7" t="s">
        <v>14</v>
      </c>
      <c r="B20" t="s">
        <v>30</v>
      </c>
      <c r="C20" s="49" t="n">
        <v>0.630654819919901</v>
      </c>
      <c r="D20" t="n">
        <v>73</v>
      </c>
      <c r="E20" s="49" t="n">
        <v>0.535146747725882</v>
      </c>
      <c r="F20" t="n">
        <v>73</v>
      </c>
      <c r="G20" s="49" t="n">
        <v>0.686327977814757</v>
      </c>
      <c r="H20" t="n">
        <v>37</v>
      </c>
      <c r="I20" s="49" t="n">
        <v>0.659717259760785</v>
      </c>
      <c r="J20" t="n">
        <v>37</v>
      </c>
      <c r="K20" s="49" t="n">
        <v>0.569111724991599</v>
      </c>
      <c r="L20" t="n">
        <v>36</v>
      </c>
      <c r="M20" s="49" t="n">
        <v>0.397442059554427</v>
      </c>
      <c r="N20" s="12" t="n">
        <v>36</v>
      </c>
    </row>
    <row r="21" outlineLevel="1" hidden="0">
      <c r="A21" s="7" t="s">
        <v>14</v>
      </c>
      <c r="B21" t="s">
        <v>31</v>
      </c>
      <c r="C21" s="49" t="n">
        <v>0.329052361448454</v>
      </c>
      <c r="D21" t="n">
        <v>100</v>
      </c>
      <c r="E21" s="49" t="n">
        <v>0.298750348502678</v>
      </c>
      <c r="F21" t="n">
        <v>100</v>
      </c>
      <c r="G21" s="49" t="n">
        <v>0.281210455223929</v>
      </c>
      <c r="H21" t="n">
        <v>50</v>
      </c>
      <c r="I21" s="49" t="n">
        <v>0.281210455223929</v>
      </c>
      <c r="J21" t="n">
        <v>50</v>
      </c>
      <c r="K21" s="49" t="n">
        <v>0.382298244414823</v>
      </c>
      <c r="L21" t="n">
        <v>50</v>
      </c>
      <c r="M21" s="49" t="n">
        <v>0.318271458309212</v>
      </c>
      <c r="N21" s="12" t="n">
        <v>50</v>
      </c>
    </row>
    <row r="22" outlineLevel="1" hidden="0">
      <c r="A22" s="7" t="s">
        <v>14</v>
      </c>
      <c r="B22" t="s">
        <v>32</v>
      </c>
      <c r="C22" s="49" t="n">
        <v>0.232008733802988</v>
      </c>
      <c r="D22" t="n">
        <v>101</v>
      </c>
      <c r="E22" s="49" t="n">
        <v>0.122515822238536</v>
      </c>
      <c r="F22" t="n">
        <v>101</v>
      </c>
      <c r="G22" s="49" t="n">
        <v>0.351717175187651</v>
      </c>
      <c r="H22" t="n">
        <v>48</v>
      </c>
      <c r="I22" s="49" t="n">
        <v>0.220143628932747</v>
      </c>
      <c r="J22" t="n">
        <v>48</v>
      </c>
      <c r="K22" s="49" t="n">
        <v>0.111132248979695</v>
      </c>
      <c r="L22" t="n">
        <v>53</v>
      </c>
      <c r="M22" s="49" t="n">
        <v>0.0239354217446053</v>
      </c>
      <c r="N22" s="12" t="n">
        <v>53</v>
      </c>
    </row>
    <row r="23" outlineLevel="1" hidden="0">
      <c r="A23" s="7" t="s">
        <v>14</v>
      </c>
      <c r="B23" t="s">
        <v>33</v>
      </c>
      <c r="C23" s="49" t="n">
        <v>0.275484719839678</v>
      </c>
      <c r="D23" t="n">
        <v>59</v>
      </c>
      <c r="E23" s="49" t="n">
        <v>0.218569913017116</v>
      </c>
      <c r="F23" t="n">
        <v>59</v>
      </c>
      <c r="G23" s="49" t="n">
        <v>0.314835026466124</v>
      </c>
      <c r="H23" t="n">
        <v>34</v>
      </c>
      <c r="I23" s="49" t="n">
        <v>0.216754317832383</v>
      </c>
      <c r="J23" t="n">
        <v>34</v>
      </c>
      <c r="K23" s="49" t="n">
        <v>0.221080103360595</v>
      </c>
      <c r="L23" t="n">
        <v>25</v>
      </c>
      <c r="M23" s="49" t="n">
        <v>0.221080103360595</v>
      </c>
      <c r="N23" s="12" t="n">
        <v>25</v>
      </c>
    </row>
    <row r="24" outlineLevel="1" hidden="0">
      <c r="A24" s="7" t="s">
        <v>14</v>
      </c>
      <c r="B24" t="s">
        <v>34</v>
      </c>
      <c r="C24" s="49" t="n">
        <v>0.249380784975545</v>
      </c>
      <c r="D24" t="n">
        <v>115</v>
      </c>
      <c r="E24" s="49" t="n">
        <v>0.131388379714491</v>
      </c>
      <c r="F24" t="n">
        <v>115</v>
      </c>
      <c r="G24" s="49" t="n">
        <v>0.253278753359221</v>
      </c>
      <c r="H24" t="n">
        <v>54</v>
      </c>
      <c r="I24" s="49" t="n">
        <v>0.0559749456900423</v>
      </c>
      <c r="J24" t="n">
        <v>54</v>
      </c>
      <c r="K24" s="49" t="n">
        <v>0.246295576179603</v>
      </c>
      <c r="L24" t="n">
        <v>61</v>
      </c>
      <c r="M24" s="49" t="n">
        <v>0.191077470821212</v>
      </c>
      <c r="N24" s="12" t="n">
        <v>61</v>
      </c>
    </row>
    <row r="25" outlineLevel="1" hidden="0">
      <c r="A25" s="7" t="s">
        <v>14</v>
      </c>
      <c r="B25" t="s">
        <v>35</v>
      </c>
      <c r="C25" s="49" t="n">
        <v>0.372387048973961</v>
      </c>
      <c r="D25" t="n">
        <v>173</v>
      </c>
      <c r="E25" s="49" t="n">
        <v>0.285833424320716</v>
      </c>
      <c r="F25" t="n">
        <v>173</v>
      </c>
      <c r="G25" s="49" t="n">
        <v>0.333854219725959</v>
      </c>
      <c r="H25" t="n">
        <v>80</v>
      </c>
      <c r="I25" s="49" t="n">
        <v>0.260422273456451</v>
      </c>
      <c r="J25" t="n">
        <v>80</v>
      </c>
      <c r="K25" s="49" t="n">
        <v>0.405586901033808</v>
      </c>
      <c r="L25" t="n">
        <v>93</v>
      </c>
      <c r="M25" s="49" t="n">
        <v>0.307727649733913</v>
      </c>
      <c r="N25" s="12" t="n">
        <v>93</v>
      </c>
    </row>
    <row r="26" outlineLevel="1" hidden="0">
      <c r="A26" s="7" t="s">
        <v>14</v>
      </c>
      <c r="B26" t="s">
        <v>36</v>
      </c>
      <c r="C26" s="49" t="n">
        <v>0.538004751072231</v>
      </c>
      <c r="D26" t="n">
        <v>116</v>
      </c>
      <c r="E26" s="49" t="n">
        <v>0.400585798210251</v>
      </c>
      <c r="F26" t="n">
        <v>116</v>
      </c>
      <c r="G26" s="49" t="n">
        <v>0.675207062170451</v>
      </c>
      <c r="H26" t="n">
        <v>42</v>
      </c>
      <c r="I26" s="49" t="n">
        <v>0.518974215527926</v>
      </c>
      <c r="J26" t="n">
        <v>42</v>
      </c>
      <c r="K26" s="49" t="n">
        <v>0.45454408265947</v>
      </c>
      <c r="L26" t="n">
        <v>74</v>
      </c>
      <c r="M26" s="49" t="n">
        <v>0.328569690299441</v>
      </c>
      <c r="N26" s="12" t="n">
        <v>74</v>
      </c>
    </row>
    <row r="27" outlineLevel="1" hidden="0">
      <c r="A27" s="7" t="s">
        <v>14</v>
      </c>
      <c r="B27" t="s">
        <v>37</v>
      </c>
      <c r="C27" s="49" t="n">
        <v>0.457455087722085</v>
      </c>
      <c r="D27" t="n">
        <v>101</v>
      </c>
      <c r="E27" s="49" t="n">
        <v>0.326076452245897</v>
      </c>
      <c r="F27" t="n">
        <v>101</v>
      </c>
      <c r="G27" s="49" t="n">
        <v>0.486599092358198</v>
      </c>
      <c r="H27" t="n">
        <v>56</v>
      </c>
      <c r="I27" s="49" t="n">
        <v>0.338151485366168</v>
      </c>
      <c r="J27" t="n">
        <v>56</v>
      </c>
      <c r="K27" s="49" t="n">
        <v>0.41733206047995</v>
      </c>
      <c r="L27" t="n">
        <v>45</v>
      </c>
      <c r="M27" s="49" t="n">
        <v>0.309452556906751</v>
      </c>
      <c r="N27" s="12" t="n">
        <v>45</v>
      </c>
    </row>
    <row r="28" outlineLevel="1" hidden="0">
      <c r="A28" s="7" t="s">
        <v>14</v>
      </c>
      <c r="B28" t="s">
        <v>38</v>
      </c>
      <c r="C28" s="49" t="n">
        <v>0.251563604336024</v>
      </c>
      <c r="D28" t="n">
        <v>261</v>
      </c>
      <c r="E28" s="49" t="n">
        <v>0.17123407744958</v>
      </c>
      <c r="F28" t="n">
        <v>261</v>
      </c>
      <c r="G28" s="49" t="n">
        <v>0.245790143156953</v>
      </c>
      <c r="H28" t="n">
        <v>147</v>
      </c>
      <c r="I28" s="49" t="n">
        <v>0.173035765563959</v>
      </c>
      <c r="J28" t="n">
        <v>147</v>
      </c>
      <c r="K28" s="49" t="n">
        <v>0.257596679951426</v>
      </c>
      <c r="L28" t="n">
        <v>114</v>
      </c>
      <c r="M28" s="49" t="n">
        <v>0.169351373073075</v>
      </c>
      <c r="N28" s="12" t="n">
        <v>114</v>
      </c>
    </row>
    <row r="29" outlineLevel="1" hidden="0">
      <c r="A29" s="7" t="s">
        <v>14</v>
      </c>
      <c r="B29" t="s">
        <v>39</v>
      </c>
      <c r="C29" s="49" t="n">
        <v>0.546226150589812</v>
      </c>
      <c r="D29" t="n">
        <v>101</v>
      </c>
      <c r="E29" s="49" t="n">
        <v>0.511043211369337</v>
      </c>
      <c r="F29" t="n">
        <v>101</v>
      </c>
      <c r="G29" s="49" t="n">
        <v>0.654250950713256</v>
      </c>
      <c r="H29" t="n">
        <v>55</v>
      </c>
      <c r="I29" s="49" t="n">
        <v>0.633080993601401</v>
      </c>
      <c r="J29" t="n">
        <v>55</v>
      </c>
      <c r="K29" s="49" t="n">
        <v>0.44172224076674</v>
      </c>
      <c r="L29" t="n">
        <v>46</v>
      </c>
      <c r="M29" s="49" t="n">
        <v>0.39298304949157</v>
      </c>
      <c r="N29" s="12" t="n">
        <v>46</v>
      </c>
    </row>
    <row r="30" outlineLevel="1" hidden="0">
      <c r="A30" s="7" t="s">
        <v>14</v>
      </c>
      <c r="B30" t="s">
        <v>40</v>
      </c>
      <c r="C30" s="49" t="n">
        <v>0.337057281898334</v>
      </c>
      <c r="D30" t="n">
        <v>115</v>
      </c>
      <c r="E30" s="49" t="n">
        <v>0.199947758234948</v>
      </c>
      <c r="F30" t="n">
        <v>115</v>
      </c>
      <c r="G30" s="49" t="n">
        <v>0.312263018133001</v>
      </c>
      <c r="H30" t="n">
        <v>60</v>
      </c>
      <c r="I30" s="49" t="n">
        <v>0.242918296419682</v>
      </c>
      <c r="J30" t="n">
        <v>60</v>
      </c>
      <c r="K30" s="49" t="n">
        <v>0.364779360226752</v>
      </c>
      <c r="L30" t="n">
        <v>55</v>
      </c>
      <c r="M30" s="49" t="n">
        <v>0.151903071905643</v>
      </c>
      <c r="N30" s="12" t="n">
        <v>55</v>
      </c>
    </row>
    <row r="31" outlineLevel="1" hidden="0">
      <c r="A31" s="7" t="s">
        <v>14</v>
      </c>
      <c r="B31" t="s">
        <v>41</v>
      </c>
      <c r="C31" s="49" t="n">
        <v>0.324066597852402</v>
      </c>
      <c r="D31" t="n">
        <v>59</v>
      </c>
      <c r="E31" s="49" t="n">
        <v>0.172069898113141</v>
      </c>
      <c r="F31" t="n">
        <v>59</v>
      </c>
      <c r="G31" s="49" t="n">
        <v>0.407209015534175</v>
      </c>
      <c r="H31" t="n">
        <v>32</v>
      </c>
      <c r="I31" s="49" t="n">
        <v>0.190337945628621</v>
      </c>
      <c r="J31" t="n">
        <v>32</v>
      </c>
      <c r="K31" s="49" t="n">
        <v>0.224959233441274</v>
      </c>
      <c r="L31" t="n">
        <v>27</v>
      </c>
      <c r="M31" s="49" t="n">
        <v>0.150294033365906</v>
      </c>
      <c r="N31" s="12" t="n">
        <v>27</v>
      </c>
    </row>
    <row r="32" outlineLevel="1" hidden="0">
      <c r="A32" s="7" t="s">
        <v>14</v>
      </c>
      <c r="B32" t="s">
        <v>42</v>
      </c>
      <c r="C32" s="49" t="n">
        <v>0.165115479918978</v>
      </c>
      <c r="D32" t="n">
        <v>133</v>
      </c>
      <c r="E32" s="49" t="n">
        <v>0.0703319305353749</v>
      </c>
      <c r="F32" t="n">
        <v>133</v>
      </c>
      <c r="G32" s="49" t="n">
        <v>0.189298747282975</v>
      </c>
      <c r="H32" t="n">
        <v>71</v>
      </c>
      <c r="I32" s="49" t="n">
        <v>0.0888621367026631</v>
      </c>
      <c r="J32" t="n">
        <v>71</v>
      </c>
      <c r="K32" s="49" t="n">
        <v>0.135614799589296</v>
      </c>
      <c r="L32" t="n">
        <v>62</v>
      </c>
      <c r="M32" s="49" t="n">
        <v>0.0477273055954825</v>
      </c>
      <c r="N32" s="12" t="n">
        <v>62</v>
      </c>
    </row>
    <row r="33" outlineLevel="1" hidden="0">
      <c r="A33" s="7" t="s">
        <v>14</v>
      </c>
      <c r="B33" t="s">
        <v>43</v>
      </c>
      <c r="C33" s="49" t="n">
        <v>0.358972654387916</v>
      </c>
      <c r="D33" t="n">
        <v>55</v>
      </c>
      <c r="E33" s="49" t="n">
        <v>0.108921674849495</v>
      </c>
      <c r="F33" t="n">
        <v>55</v>
      </c>
      <c r="G33" s="49" t="n">
        <v>0.427387330172362</v>
      </c>
      <c r="H33" t="n">
        <v>24</v>
      </c>
      <c r="I33" s="49" t="n">
        <v>0.203278760282963</v>
      </c>
      <c r="J33" t="n">
        <v>24</v>
      </c>
      <c r="K33" s="49" t="n">
        <v>0.309154424466958</v>
      </c>
      <c r="L33" t="n">
        <v>31</v>
      </c>
      <c r="M33" s="49" t="n">
        <v>0.0402126891984262</v>
      </c>
      <c r="N33" s="12" t="n">
        <v>31</v>
      </c>
    </row>
    <row r="34" outlineLevel="1" hidden="0">
      <c r="A34" s="7" t="s">
        <v>14</v>
      </c>
      <c r="B34" t="s">
        <v>44</v>
      </c>
      <c r="C34" s="49" t="n">
        <v>0.468968390787574</v>
      </c>
      <c r="D34" t="n">
        <v>49</v>
      </c>
      <c r="E34" s="49" t="n">
        <v>0.306015169736356</v>
      </c>
      <c r="F34" t="n">
        <v>49</v>
      </c>
      <c r="G34" s="49" t="n">
        <v>0.477818725811128</v>
      </c>
      <c r="H34" t="n">
        <v>23</v>
      </c>
      <c r="I34" s="49" t="n">
        <v>0.217745019351097</v>
      </c>
      <c r="J34" t="n">
        <v>23</v>
      </c>
      <c r="K34" s="49" t="n">
        <v>0.461122369911188</v>
      </c>
      <c r="L34" t="n">
        <v>26</v>
      </c>
      <c r="M34" s="49" t="n">
        <v>0.384268641592657</v>
      </c>
      <c r="N34" s="12" t="n">
        <v>26</v>
      </c>
    </row>
    <row r="35" outlineLevel="1" hidden="0">
      <c r="A35" s="7" t="s">
        <v>14</v>
      </c>
      <c r="B35" t="s">
        <v>45</v>
      </c>
      <c r="C35" s="49" t="n">
        <v>0.171926137164891</v>
      </c>
      <c r="D35" t="n">
        <v>137</v>
      </c>
      <c r="E35" s="49" t="n">
        <v>0.14107869159938</v>
      </c>
      <c r="F35" t="n">
        <v>137</v>
      </c>
      <c r="G35" s="49" t="n">
        <v>0.15414696946785</v>
      </c>
      <c r="H35" t="n">
        <v>62</v>
      </c>
      <c r="I35" s="49" t="n">
        <v>0.139979944004975</v>
      </c>
      <c r="J35" t="n">
        <v>62</v>
      </c>
      <c r="K35" s="49" t="n">
        <v>0.186610091051197</v>
      </c>
      <c r="L35" t="n">
        <v>75</v>
      </c>
      <c r="M35" s="49" t="n">
        <v>0.141986155845393</v>
      </c>
      <c r="N35" s="12" t="n">
        <v>75</v>
      </c>
    </row>
    <row r="36" outlineLevel="1" hidden="0">
      <c r="A36" s="7" t="s">
        <v>14</v>
      </c>
      <c r="B36" t="s">
        <v>46</v>
      </c>
      <c r="C36" s="49" t="n">
        <v>0.31718441020806</v>
      </c>
      <c r="D36" t="n">
        <v>89</v>
      </c>
      <c r="E36" s="49" t="n">
        <v>0.246324802033379</v>
      </c>
      <c r="F36" t="n">
        <v>89</v>
      </c>
      <c r="G36" s="49" t="n">
        <v>0.331764189957593</v>
      </c>
      <c r="H36" t="n">
        <v>38</v>
      </c>
      <c r="I36" s="49" t="n">
        <v>0.220997038904215</v>
      </c>
      <c r="J36" t="n">
        <v>38</v>
      </c>
      <c r="K36" s="49" t="n">
        <v>0.305011196084284</v>
      </c>
      <c r="L36" t="n">
        <v>51</v>
      </c>
      <c r="M36" s="49" t="n">
        <v>0.267471917363256</v>
      </c>
      <c r="N36" s="12" t="n">
        <v>51</v>
      </c>
    </row>
    <row r="37" outlineLevel="1" hidden="0">
      <c r="A37" s="8" t="s">
        <v>14</v>
      </c>
      <c r="B37" s="10" t="s">
        <v>47</v>
      </c>
      <c r="C37" s="48" t="n">
        <v>0.101604946138428</v>
      </c>
      <c r="D37" s="10" t="n">
        <v>99</v>
      </c>
      <c r="E37" s="48" t="n">
        <v>0.0825398857204685</v>
      </c>
      <c r="F37" s="10" t="n">
        <v>99</v>
      </c>
      <c r="G37" s="48" t="n">
        <v>0.13086474888119</v>
      </c>
      <c r="H37" s="10" t="n">
        <v>47</v>
      </c>
      <c r="I37" s="48" t="n">
        <v>0.111443606803727</v>
      </c>
      <c r="J37" s="10" t="n">
        <v>47</v>
      </c>
      <c r="K37" s="48" t="n">
        <v>0.074993193433143</v>
      </c>
      <c r="L37" s="10" t="n">
        <v>52</v>
      </c>
      <c r="M37" s="48" t="n">
        <v>0.0562519888234032</v>
      </c>
      <c r="N37" s="13" t="n">
        <v>52</v>
      </c>
    </row>
    <row r="38">
      <c r="C38" s="49"/>
      <c r="E38" s="49"/>
      <c r="G38" s="49"/>
      <c r="I38" s="49"/>
      <c r="K38" s="49"/>
      <c r="M38" s="49"/>
    </row>
    <row r="39">
      <c r="A39" s="2" t="s">
        <v>48</v>
      </c>
      <c r="B39" s="2"/>
      <c r="C39" s="45"/>
      <c r="D39" s="2"/>
      <c r="E39" s="45"/>
      <c r="F39" s="2"/>
      <c r="G39" s="45"/>
      <c r="H39" s="2"/>
      <c r="I39" s="45"/>
      <c r="J39" s="2"/>
      <c r="K39" s="45"/>
      <c r="L39" s="2"/>
      <c r="M39" s="45"/>
      <c r="N39" s="2"/>
    </row>
    <row r="40" outlineLevel="1" hidden="0">
      <c r="A40" s="6" t="s">
        <v>14</v>
      </c>
      <c r="B40" s="9" t="s">
        <v>49</v>
      </c>
      <c r="C40" s="47" t="n">
        <v>0.252142866811134</v>
      </c>
      <c r="D40" s="9" t="n">
        <v>332</v>
      </c>
      <c r="E40" s="47" t="n">
        <v>0.190806164355045</v>
      </c>
      <c r="F40" s="9" t="n">
        <v>332</v>
      </c>
      <c r="G40" s="47" t="n">
        <v>0.206502029530528</v>
      </c>
      <c r="H40" s="9" t="n">
        <v>170</v>
      </c>
      <c r="I40" s="47" t="n">
        <v>0.113259126407334</v>
      </c>
      <c r="J40" s="9" t="n">
        <v>170</v>
      </c>
      <c r="K40" s="47" t="n">
        <v>0.295790139376631</v>
      </c>
      <c r="L40" s="9" t="n">
        <v>162</v>
      </c>
      <c r="M40" s="47" t="n">
        <v>0.264965993657496</v>
      </c>
      <c r="N40" s="11" t="n">
        <v>162</v>
      </c>
    </row>
    <row r="41" outlineLevel="1" hidden="0">
      <c r="A41" s="7" t="s">
        <v>14</v>
      </c>
      <c r="B41" t="s">
        <v>50</v>
      </c>
      <c r="C41" s="49" t="n">
        <v>0.413199925838991</v>
      </c>
      <c r="D41" t="n">
        <v>461</v>
      </c>
      <c r="E41" s="49" t="n">
        <v>0.271627930892715</v>
      </c>
      <c r="F41" t="n">
        <v>461</v>
      </c>
      <c r="G41" s="49" t="n">
        <v>0.467189687405321</v>
      </c>
      <c r="H41" t="n">
        <v>214</v>
      </c>
      <c r="I41" s="49" t="n">
        <v>0.301136758372937</v>
      </c>
      <c r="J41" t="n">
        <v>214</v>
      </c>
      <c r="K41" s="49" t="n">
        <v>0.362921620683785</v>
      </c>
      <c r="L41" t="n">
        <v>247</v>
      </c>
      <c r="M41" s="49" t="n">
        <v>0.244147649636052</v>
      </c>
      <c r="N41" s="12" t="n">
        <v>247</v>
      </c>
    </row>
    <row r="42" outlineLevel="1" hidden="0">
      <c r="A42" s="8" t="s">
        <v>14</v>
      </c>
      <c r="B42" s="10" t="s">
        <v>51</v>
      </c>
      <c r="C42" s="48" t="n">
        <v>0.350016362561689</v>
      </c>
      <c r="D42" s="10" t="n">
        <v>1416</v>
      </c>
      <c r="E42" s="48" t="n">
        <v>0.266863151123843</v>
      </c>
      <c r="F42" s="10" t="n">
        <v>1416</v>
      </c>
      <c r="G42" s="48" t="n">
        <v>0.373921662121811</v>
      </c>
      <c r="H42" s="10" t="n">
        <v>714</v>
      </c>
      <c r="I42" s="48" t="n">
        <v>0.312480451842501</v>
      </c>
      <c r="J42" s="10" t="n">
        <v>714</v>
      </c>
      <c r="K42" s="48" t="n">
        <v>0.327295925939005</v>
      </c>
      <c r="L42" s="10" t="n">
        <v>702</v>
      </c>
      <c r="M42" s="48" t="n">
        <v>0.223506865741621</v>
      </c>
      <c r="N42" s="13" t="n">
        <v>702</v>
      </c>
    </row>
    <row r="43">
      <c r="C43" s="49"/>
      <c r="E43" s="49"/>
      <c r="G43" s="49"/>
      <c r="I43" s="49"/>
      <c r="K43" s="49"/>
      <c r="M43" s="49"/>
    </row>
    <row r="44">
      <c r="A44" s="2" t="s">
        <v>52</v>
      </c>
      <c r="B44" s="2"/>
      <c r="C44" s="45"/>
      <c r="D44" s="2"/>
      <c r="E44" s="45"/>
      <c r="F44" s="2"/>
      <c r="G44" s="45"/>
      <c r="H44" s="2"/>
      <c r="I44" s="45"/>
      <c r="J44" s="2"/>
      <c r="K44" s="45"/>
      <c r="L44" s="2"/>
      <c r="M44" s="45"/>
      <c r="N44" s="2"/>
    </row>
    <row r="45" outlineLevel="1" hidden="0">
      <c r="A45" s="6" t="s">
        <v>14</v>
      </c>
      <c r="B45" s="9" t="s">
        <v>53</v>
      </c>
      <c r="C45" s="47" t="n">
        <v>0.351862340371932</v>
      </c>
      <c r="D45" s="9" t="n">
        <v>671</v>
      </c>
      <c r="E45" s="47" t="n">
        <v>0.274051227939628</v>
      </c>
      <c r="F45" s="9" t="n">
        <v>671</v>
      </c>
      <c r="G45" s="47" t="n">
        <v>0.365988800838853</v>
      </c>
      <c r="H45" s="9" t="n">
        <v>325</v>
      </c>
      <c r="I45" s="47" t="n">
        <v>0.283039489248312</v>
      </c>
      <c r="J45" s="9" t="n">
        <v>325</v>
      </c>
      <c r="K45" s="47" t="n">
        <v>0.340513655876498</v>
      </c>
      <c r="L45" s="9" t="n">
        <v>346</v>
      </c>
      <c r="M45" s="47" t="n">
        <v>0.266830385748223</v>
      </c>
      <c r="N45" s="11" t="n">
        <v>346</v>
      </c>
    </row>
    <row r="46" outlineLevel="1" hidden="0">
      <c r="A46" s="8" t="s">
        <v>14</v>
      </c>
      <c r="B46" s="10" t="s">
        <v>54</v>
      </c>
      <c r="C46" s="48" t="n">
        <v>0.332134279358401</v>
      </c>
      <c r="D46" s="10" t="n">
        <v>1538</v>
      </c>
      <c r="E46" s="48" t="n">
        <v>0.235679784286525</v>
      </c>
      <c r="F46" s="10" t="n">
        <v>1538</v>
      </c>
      <c r="G46" s="48" t="n">
        <v>0.34363986305694</v>
      </c>
      <c r="H46" s="10" t="n">
        <v>773</v>
      </c>
      <c r="I46" s="48" t="n">
        <v>0.245570226842844</v>
      </c>
      <c r="J46" s="10" t="n">
        <v>773</v>
      </c>
      <c r="K46" s="48" t="n">
        <v>0.320400514968102</v>
      </c>
      <c r="L46" s="10" t="n">
        <v>765</v>
      </c>
      <c r="M46" s="48" t="n">
        <v>0.225593192792139</v>
      </c>
      <c r="N46" s="13" t="n">
        <v>765</v>
      </c>
    </row>
    <row r="47">
      <c r="C47" s="49"/>
      <c r="E47" s="49"/>
      <c r="G47" s="49"/>
      <c r="I47" s="49"/>
      <c r="K47" s="49"/>
      <c r="M47" s="49"/>
    </row>
    <row r="48">
      <c r="A48" s="2" t="s">
        <v>55</v>
      </c>
      <c r="B48" s="2"/>
      <c r="C48" s="45"/>
      <c r="D48" s="2"/>
      <c r="E48" s="45"/>
      <c r="F48" s="2"/>
      <c r="G48" s="45"/>
      <c r="H48" s="2"/>
      <c r="I48" s="45"/>
      <c r="J48" s="2"/>
      <c r="K48" s="45"/>
      <c r="L48" s="2"/>
      <c r="M48" s="45"/>
      <c r="N48" s="2"/>
    </row>
    <row r="49" outlineLevel="1" hidden="0">
      <c r="A49" s="6" t="s">
        <v>14</v>
      </c>
      <c r="B49" s="9" t="s">
        <v>56</v>
      </c>
      <c r="C49" s="47" t="n">
        <v>0.252142866811134</v>
      </c>
      <c r="D49" s="9" t="n">
        <v>332</v>
      </c>
      <c r="E49" s="47" t="n">
        <v>0.190806164355045</v>
      </c>
      <c r="F49" s="9" t="n">
        <v>332</v>
      </c>
      <c r="G49" s="47" t="n">
        <v>0.206502029530528</v>
      </c>
      <c r="H49" s="9" t="n">
        <v>170</v>
      </c>
      <c r="I49" s="47" t="n">
        <v>0.113259126407334</v>
      </c>
      <c r="J49" s="9" t="n">
        <v>170</v>
      </c>
      <c r="K49" s="47" t="n">
        <v>0.295790139376631</v>
      </c>
      <c r="L49" s="9" t="n">
        <v>162</v>
      </c>
      <c r="M49" s="47" t="n">
        <v>0.264965993657496</v>
      </c>
      <c r="N49" s="11" t="n">
        <v>162</v>
      </c>
    </row>
    <row r="50" outlineLevel="1" hidden="0">
      <c r="A50" s="7" t="s">
        <v>14</v>
      </c>
      <c r="B50" t="s">
        <v>57</v>
      </c>
      <c r="C50" s="49" t="n">
        <v>0.308402354520963</v>
      </c>
      <c r="D50" t="n">
        <v>1309</v>
      </c>
      <c r="E50" s="49" t="n">
        <v>0.212648197683425</v>
      </c>
      <c r="F50" t="n">
        <v>1309</v>
      </c>
      <c r="G50" s="49" t="n">
        <v>0.295006491888088</v>
      </c>
      <c r="H50" t="n">
        <v>651</v>
      </c>
      <c r="I50" s="49" t="n">
        <v>0.203644075790008</v>
      </c>
      <c r="J50" t="n">
        <v>651</v>
      </c>
      <c r="K50" s="49" t="n">
        <v>0.321701547722258</v>
      </c>
      <c r="L50" t="n">
        <v>658</v>
      </c>
      <c r="M50" s="49" t="n">
        <v>0.221587342548548</v>
      </c>
      <c r="N50" s="12" t="n">
        <v>658</v>
      </c>
    </row>
    <row r="51" outlineLevel="1" hidden="0">
      <c r="A51" s="8" t="s">
        <v>14</v>
      </c>
      <c r="B51" s="10" t="s">
        <v>58</v>
      </c>
      <c r="C51" s="48" t="n">
        <v>0.436495740046834</v>
      </c>
      <c r="D51" s="10" t="n">
        <v>568</v>
      </c>
      <c r="E51" s="48" t="n">
        <v>0.328835314627601</v>
      </c>
      <c r="F51" s="10" t="n">
        <v>568</v>
      </c>
      <c r="G51" s="48" t="n">
        <v>0.526589118291842</v>
      </c>
      <c r="H51" s="10" t="n">
        <v>277</v>
      </c>
      <c r="I51" s="48" t="n">
        <v>0.429583329949343</v>
      </c>
      <c r="J51" s="10" t="n">
        <v>277</v>
      </c>
      <c r="K51" s="48" t="n">
        <v>0.355913385249092</v>
      </c>
      <c r="L51" s="10" t="n">
        <v>291</v>
      </c>
      <c r="M51" s="48" t="n">
        <v>0.238723116883757</v>
      </c>
      <c r="N51" s="13" t="n">
        <v>291</v>
      </c>
    </row>
    <row r="52">
      <c r="C52" s="49"/>
      <c r="E52" s="49"/>
      <c r="G52" s="49"/>
      <c r="I52" s="49"/>
      <c r="K52" s="49"/>
      <c r="M52" s="49"/>
    </row>
    <row r="53">
      <c r="A53" s="2" t="s">
        <v>59</v>
      </c>
      <c r="B53" s="2"/>
      <c r="C53" s="45"/>
      <c r="D53" s="2"/>
      <c r="E53" s="45"/>
      <c r="F53" s="2"/>
      <c r="G53" s="45"/>
      <c r="H53" s="2"/>
      <c r="I53" s="45"/>
      <c r="J53" s="2"/>
      <c r="K53" s="45"/>
      <c r="L53" s="2"/>
      <c r="M53" s="45"/>
      <c r="N53" s="2"/>
    </row>
    <row r="54" outlineLevel="1" hidden="0">
      <c r="A54" s="6" t="s">
        <v>14</v>
      </c>
      <c r="B54" s="9" t="s">
        <v>60</v>
      </c>
      <c r="C54" s="47" t="n">
        <v>0.327590041058277</v>
      </c>
      <c r="D54" s="9" t="n">
        <v>783</v>
      </c>
      <c r="E54" s="47" t="n">
        <v>0.228878418460312</v>
      </c>
      <c r="F54" s="9" t="n">
        <v>783</v>
      </c>
      <c r="G54" s="47" t="n">
        <v>0.326809266027066</v>
      </c>
      <c r="H54" s="9" t="n">
        <v>379</v>
      </c>
      <c r="I54" s="47" t="n">
        <v>0.199751924381154</v>
      </c>
      <c r="J54" s="9" t="n">
        <v>379</v>
      </c>
      <c r="K54" s="47" t="n">
        <v>0.328327758099093</v>
      </c>
      <c r="L54" s="9" t="n">
        <v>404</v>
      </c>
      <c r="M54" s="47" t="n">
        <v>0.256398651770171</v>
      </c>
      <c r="N54" s="11" t="n">
        <v>404</v>
      </c>
    </row>
    <row r="55" outlineLevel="1" hidden="0">
      <c r="A55" s="7" t="s">
        <v>14</v>
      </c>
      <c r="B55" t="s">
        <v>63</v>
      </c>
      <c r="C55" s="49" t="n">
        <v>0.210617838645698</v>
      </c>
      <c r="D55" t="n">
        <v>2</v>
      </c>
      <c r="E55" s="49" t="n">
        <v>0.210617838645698</v>
      </c>
      <c r="F55" t="n">
        <v>2</v>
      </c>
      <c r="G55" s="49" t="n">
        <v>1</v>
      </c>
      <c r="H55" t="n">
        <v>1</v>
      </c>
      <c r="I55" s="49" t="n">
        <v>1</v>
      </c>
      <c r="J55" t="n">
        <v>1</v>
      </c>
      <c r="K55" s="49"/>
      <c r="L55"/>
      <c r="M55" s="49"/>
      <c r="N55" s="12"/>
    </row>
    <row r="56" outlineLevel="1" hidden="0">
      <c r="A56" s="7" t="s">
        <v>14</v>
      </c>
      <c r="B56" t="s">
        <v>64</v>
      </c>
      <c r="C56" s="49"/>
      <c r="D56"/>
      <c r="E56" s="49"/>
      <c r="F56"/>
      <c r="G56" s="49" t="n">
        <v>0.373921662121811</v>
      </c>
      <c r="H56" t="n">
        <v>714</v>
      </c>
      <c r="I56" s="49" t="n">
        <v>0.312480451842501</v>
      </c>
      <c r="J56" t="n">
        <v>714</v>
      </c>
      <c r="K56" s="49" t="n">
        <v>0.327295925939005</v>
      </c>
      <c r="L56" t="n">
        <v>702</v>
      </c>
      <c r="M56" s="49" t="n">
        <v>0.223506865741621</v>
      </c>
      <c r="N56" s="12" t="n">
        <v>702</v>
      </c>
    </row>
    <row r="57" outlineLevel="1" hidden="0">
      <c r="A57" s="8" t="s">
        <v>14</v>
      </c>
      <c r="B57" s="10" t="s">
        <v>14</v>
      </c>
      <c r="C57" s="48" t="n">
        <v>0.350016362561689</v>
      </c>
      <c r="D57" s="10" t="n">
        <v>1416</v>
      </c>
      <c r="E57" s="48" t="n">
        <v>0.266863151123843</v>
      </c>
      <c r="F57" s="10" t="n">
        <v>1416</v>
      </c>
      <c r="G57" s="48"/>
      <c r="H57" s="10"/>
      <c r="I57" s="48"/>
      <c r="J57" s="10"/>
      <c r="K57" s="48"/>
      <c r="L57" s="10"/>
      <c r="M57" s="48"/>
      <c r="N57" s="13"/>
    </row>
    <row r="58">
      <c r="C58" s="49"/>
      <c r="E58" s="49"/>
      <c r="G58" s="49"/>
      <c r="I58" s="49"/>
      <c r="K58" s="49"/>
      <c r="M58" s="49"/>
    </row>
    <row r="59">
      <c r="A59" s="2" t="s">
        <v>65</v>
      </c>
      <c r="B59" s="2"/>
      <c r="C59" s="45"/>
      <c r="D59" s="2"/>
      <c r="E59" s="45"/>
      <c r="F59" s="2"/>
      <c r="G59" s="45"/>
      <c r="H59" s="2"/>
      <c r="I59" s="45"/>
      <c r="J59" s="2"/>
      <c r="K59" s="45"/>
      <c r="L59" s="2"/>
      <c r="M59" s="45"/>
      <c r="N59" s="2"/>
    </row>
    <row r="60" outlineLevel="1" hidden="0">
      <c r="A60" s="6" t="s">
        <v>14</v>
      </c>
      <c r="B60" s="9" t="s">
        <v>66</v>
      </c>
      <c r="C60" s="47" t="n">
        <v>0.343390925956036</v>
      </c>
      <c r="D60" s="9" t="n">
        <v>2147</v>
      </c>
      <c r="E60" s="47" t="n">
        <v>0.251396886830722</v>
      </c>
      <c r="F60" s="9" t="n">
        <v>2147</v>
      </c>
      <c r="G60" s="47" t="n">
        <v>0.352059172062572</v>
      </c>
      <c r="H60" s="9" t="n">
        <v>1072</v>
      </c>
      <c r="I60" s="47" t="n">
        <v>0.257048610843234</v>
      </c>
      <c r="J60" s="9" t="n">
        <v>1072</v>
      </c>
      <c r="K60" s="47" t="n">
        <v>0.335152246290836</v>
      </c>
      <c r="L60" s="9" t="n">
        <v>1075</v>
      </c>
      <c r="M60" s="47" t="n">
        <v>0.24602524150329</v>
      </c>
      <c r="N60" s="11" t="n">
        <v>1075</v>
      </c>
    </row>
    <row r="61" outlineLevel="1" hidden="0">
      <c r="A61" s="8" t="s">
        <v>14</v>
      </c>
      <c r="B61" s="10" t="s">
        <v>67</v>
      </c>
      <c r="C61" s="48" t="n">
        <v>0.145833012785664</v>
      </c>
      <c r="D61" s="10" t="n">
        <v>62</v>
      </c>
      <c r="E61" s="48" t="n">
        <v>0.103700570364975</v>
      </c>
      <c r="F61" s="10" t="n">
        <v>62</v>
      </c>
      <c r="G61" s="48" t="n">
        <v>0.266922696382957</v>
      </c>
      <c r="H61" s="10" t="n">
        <v>26</v>
      </c>
      <c r="I61" s="48" t="n">
        <v>0.221507334233417</v>
      </c>
      <c r="J61" s="10" t="n">
        <v>26</v>
      </c>
      <c r="K61" s="48" t="n">
        <v>0.0433622154183764</v>
      </c>
      <c r="L61" s="10" t="n">
        <v>36</v>
      </c>
      <c r="M61" s="48" t="n">
        <v>0.00400790728885491</v>
      </c>
      <c r="N61" s="13" t="n">
        <v>36</v>
      </c>
    </row>
    <row r="62">
      <c r="C62" s="49"/>
      <c r="E62" s="49"/>
      <c r="G62" s="49"/>
      <c r="I62" s="49"/>
      <c r="K62" s="49"/>
      <c r="M62" s="49"/>
    </row>
    <row r="63">
      <c r="A63" s="2" t="s">
        <v>68</v>
      </c>
      <c r="B63" s="2"/>
      <c r="C63" s="45"/>
      <c r="D63" s="2"/>
      <c r="E63" s="45"/>
      <c r="F63" s="2"/>
      <c r="G63" s="45"/>
      <c r="H63" s="2"/>
      <c r="I63" s="45"/>
      <c r="J63" s="2"/>
      <c r="K63" s="45"/>
      <c r="L63" s="2"/>
      <c r="M63" s="45"/>
      <c r="N63" s="2"/>
    </row>
    <row r="64" outlineLevel="1" hidden="0">
      <c r="A64" s="6" t="s">
        <v>14</v>
      </c>
      <c r="B64" s="9" t="s">
        <v>66</v>
      </c>
      <c r="C64" s="47" t="n">
        <v>0.34419827409901</v>
      </c>
      <c r="D64" s="9" t="n">
        <v>2133</v>
      </c>
      <c r="E64" s="47" t="n">
        <v>0.252127677109229</v>
      </c>
      <c r="F64" s="9" t="n">
        <v>2133</v>
      </c>
      <c r="G64" s="47" t="n">
        <v>0.352615004973134</v>
      </c>
      <c r="H64" s="9" t="n">
        <v>1067</v>
      </c>
      <c r="I64" s="47" t="n">
        <v>0.25708479537457</v>
      </c>
      <c r="J64" s="9" t="n">
        <v>1067</v>
      </c>
      <c r="K64" s="47" t="n">
        <v>0.336180411429741</v>
      </c>
      <c r="L64" s="9" t="n">
        <v>1066</v>
      </c>
      <c r="M64" s="47" t="n">
        <v>0.247405476283133</v>
      </c>
      <c r="N64" s="11" t="n">
        <v>1066</v>
      </c>
    </row>
    <row r="65" outlineLevel="1" hidden="0">
      <c r="A65" s="8" t="s">
        <v>14</v>
      </c>
      <c r="B65" s="10" t="s">
        <v>67</v>
      </c>
      <c r="C65" s="48" t="n">
        <v>0.160848749866465</v>
      </c>
      <c r="D65" s="10" t="n">
        <v>76</v>
      </c>
      <c r="E65" s="48" t="n">
        <v>0.111144421221161</v>
      </c>
      <c r="F65" s="10" t="n">
        <v>76</v>
      </c>
      <c r="G65" s="48" t="n">
        <v>0.263997164291709</v>
      </c>
      <c r="H65" s="10" t="n">
        <v>31</v>
      </c>
      <c r="I65" s="48" t="n">
        <v>0.226639089397817</v>
      </c>
      <c r="J65" s="10" t="n">
        <v>31</v>
      </c>
      <c r="K65" s="48" t="n">
        <v>0.0774175567191893</v>
      </c>
      <c r="L65" s="10" t="n">
        <v>45</v>
      </c>
      <c r="M65" s="48" t="n">
        <v>0.0177270088273853</v>
      </c>
      <c r="N65" s="13" t="n">
        <v>45</v>
      </c>
    </row>
    <row r="66">
      <c r="C66" s="49"/>
      <c r="E66" s="49"/>
      <c r="G66" s="49"/>
      <c r="I66" s="49"/>
      <c r="K66" s="49"/>
      <c r="M66" s="49"/>
    </row>
    <row r="67">
      <c r="C67" s="49"/>
      <c r="E67" s="49"/>
      <c r="G67" s="49"/>
      <c r="I67" s="49"/>
      <c r="K67" s="49"/>
      <c r="M67" s="49"/>
    </row>
  </sheetData>
  <mergeCells count="22">
    <mergeCell ref="A1:N1"/>
    <mergeCell ref="C2:F2"/>
    <mergeCell ref="G2:J2"/>
    <mergeCell ref="K2:N2"/>
    <mergeCell ref="E3:F3"/>
    <mergeCell ref="I3:J3"/>
    <mergeCell ref="M3:N3"/>
    <mergeCell ref="E4:F4"/>
    <mergeCell ref="C4:D4"/>
    <mergeCell ref="I4:J4"/>
    <mergeCell ref="G4:H4"/>
    <mergeCell ref="M4:N4"/>
    <mergeCell ref="K4:L4"/>
    <mergeCell ref="A6:N6"/>
    <mergeCell ref="A9:N9"/>
    <mergeCell ref="A16:N16"/>
    <mergeCell ref="A39:N39"/>
    <mergeCell ref="A44:N44"/>
    <mergeCell ref="A48:N48"/>
    <mergeCell ref="A53:N53"/>
    <mergeCell ref="A59:N59"/>
    <mergeCell ref="A63:N63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92</v>
      </c>
      <c r="B1" s="1"/>
      <c r="C1" s="1"/>
      <c r="D1" s="1"/>
      <c r="E1" s="1"/>
      <c r="F1" s="1"/>
      <c r="G1" s="1"/>
      <c r="H1" s="1"/>
    </row>
    <row r="2">
      <c r="C2" s="2" t="s">
        <v>2</v>
      </c>
      <c r="D2" s="2"/>
      <c r="E2" s="2" t="s">
        <v>3</v>
      </c>
      <c r="F2" s="2"/>
      <c r="G2" s="2" t="s">
        <v>4</v>
      </c>
      <c r="H2" s="2"/>
    </row>
    <row r="3">
      <c r="C3" s="2" t="s">
        <v>93</v>
      </c>
      <c r="D3" s="2"/>
      <c r="E3" s="2" t="s">
        <v>93</v>
      </c>
      <c r="F3" s="2"/>
      <c r="G3" s="2" t="s">
        <v>93</v>
      </c>
      <c r="H3" s="2"/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2" t="s">
        <v>12</v>
      </c>
      <c r="F4" s="2" t="s">
        <v>13</v>
      </c>
      <c r="G4" s="2" t="s">
        <v>12</v>
      </c>
      <c r="H4" s="2" t="s">
        <v>13</v>
      </c>
    </row>
    <row r="5">
      <c r="A5" s="2" t="s">
        <v>2</v>
      </c>
      <c r="B5" s="2"/>
      <c r="C5" s="50"/>
      <c r="D5" s="2"/>
      <c r="E5" s="50"/>
      <c r="F5" s="2"/>
      <c r="G5" s="50"/>
      <c r="H5" s="2"/>
    </row>
    <row r="6" outlineLevel="1" hidden="0">
      <c r="A6" s="3" t="s">
        <v>14</v>
      </c>
      <c r="B6" s="4" t="s">
        <v>2</v>
      </c>
      <c r="C6" s="51" t="n">
        <v>0.0866717704380342</v>
      </c>
      <c r="D6" s="4" t="n">
        <v>4603</v>
      </c>
      <c r="E6" s="51" t="n">
        <v>0.107653035901544</v>
      </c>
      <c r="F6" s="4" t="n">
        <v>2270</v>
      </c>
      <c r="G6" s="51" t="n">
        <v>0.066986704817442</v>
      </c>
      <c r="H6" s="5" t="n">
        <v>2333</v>
      </c>
    </row>
    <row r="7">
      <c r="C7" s="54"/>
      <c r="E7" s="54"/>
      <c r="G7" s="54"/>
    </row>
    <row r="8">
      <c r="A8" s="2" t="s">
        <v>15</v>
      </c>
      <c r="B8" s="2"/>
      <c r="C8" s="50"/>
      <c r="D8" s="2"/>
      <c r="E8" s="50"/>
      <c r="F8" s="2"/>
      <c r="G8" s="50"/>
      <c r="H8" s="2"/>
    </row>
    <row r="9" outlineLevel="1" hidden="0">
      <c r="A9" s="6" t="s">
        <v>14</v>
      </c>
      <c r="B9" s="9" t="s">
        <v>16</v>
      </c>
      <c r="C9" s="52" t="n">
        <v>0.0925392937834935</v>
      </c>
      <c r="D9" s="9" t="n">
        <v>519</v>
      </c>
      <c r="E9" s="52" t="n">
        <v>0.0904808956011201</v>
      </c>
      <c r="F9" s="9" t="n">
        <v>253</v>
      </c>
      <c r="G9" s="52" t="n">
        <v>0.0948660731727564</v>
      </c>
      <c r="H9" s="11" t="n">
        <v>266</v>
      </c>
    </row>
    <row r="10" outlineLevel="1" hidden="0">
      <c r="A10" s="7" t="s">
        <v>14</v>
      </c>
      <c r="B10" t="s">
        <v>17</v>
      </c>
      <c r="C10" s="54" t="n">
        <v>0.156072500553375</v>
      </c>
      <c r="D10" t="n">
        <v>1310</v>
      </c>
      <c r="E10" s="54" t="n">
        <v>0.179091704877075</v>
      </c>
      <c r="F10" t="n">
        <v>679</v>
      </c>
      <c r="G10" s="54" t="n">
        <v>0.134574906894779</v>
      </c>
      <c r="H10" s="12" t="n">
        <v>631</v>
      </c>
    </row>
    <row r="11" outlineLevel="1" hidden="0">
      <c r="A11" s="7" t="s">
        <v>14</v>
      </c>
      <c r="B11" t="s">
        <v>18</v>
      </c>
      <c r="C11" s="54" t="n">
        <v>0.0807609435297336</v>
      </c>
      <c r="D11" t="n">
        <v>1283</v>
      </c>
      <c r="E11" s="54" t="n">
        <v>0.117921057450886</v>
      </c>
      <c r="F11" t="n">
        <v>609</v>
      </c>
      <c r="G11" s="54" t="n">
        <v>0.04768155183102</v>
      </c>
      <c r="H11" s="12" t="n">
        <v>674</v>
      </c>
    </row>
    <row r="12" outlineLevel="1" hidden="0">
      <c r="A12" s="8" t="s">
        <v>14</v>
      </c>
      <c r="B12" s="10" t="s">
        <v>19</v>
      </c>
      <c r="C12" s="53" t="n">
        <v>0.0358444705252585</v>
      </c>
      <c r="D12" s="10" t="n">
        <v>1491</v>
      </c>
      <c r="E12" s="53" t="n">
        <v>0.0503940202582357</v>
      </c>
      <c r="F12" s="10" t="n">
        <v>729</v>
      </c>
      <c r="G12" s="53" t="n">
        <v>0.0224525904090585</v>
      </c>
      <c r="H12" s="13" t="n">
        <v>762</v>
      </c>
    </row>
    <row r="13">
      <c r="C13" s="54"/>
      <c r="E13" s="54"/>
      <c r="G13" s="54"/>
    </row>
    <row r="14">
      <c r="A14" s="2" t="s">
        <v>20</v>
      </c>
      <c r="B14" s="2"/>
      <c r="C14" s="50"/>
      <c r="D14" s="2"/>
      <c r="E14" s="50"/>
      <c r="F14" s="2"/>
      <c r="G14" s="50"/>
      <c r="H14" s="2"/>
    </row>
    <row r="15" outlineLevel="1" hidden="0">
      <c r="A15" s="6" t="s">
        <v>14</v>
      </c>
      <c r="B15" s="9" t="s">
        <v>21</v>
      </c>
      <c r="C15" s="52" t="n">
        <v>0.0309446813556472</v>
      </c>
      <c r="D15" s="9" t="n">
        <v>981</v>
      </c>
      <c r="E15" s="52" t="n">
        <v>0.0399382561319523</v>
      </c>
      <c r="F15" s="9" t="n">
        <v>495</v>
      </c>
      <c r="G15" s="52" t="n">
        <v>0.021481185958834</v>
      </c>
      <c r="H15" s="11" t="n">
        <v>486</v>
      </c>
    </row>
    <row r="16" outlineLevel="1" hidden="0">
      <c r="A16" s="7" t="s">
        <v>14</v>
      </c>
      <c r="B16" t="s">
        <v>22</v>
      </c>
      <c r="C16" s="54" t="n">
        <v>0.0914263296032177</v>
      </c>
      <c r="D16" t="n">
        <v>776</v>
      </c>
      <c r="E16" s="54" t="n">
        <v>0.133014014890275</v>
      </c>
      <c r="F16" t="n">
        <v>349</v>
      </c>
      <c r="G16" s="54" t="n">
        <v>0.0561535422040249</v>
      </c>
      <c r="H16" s="12" t="n">
        <v>427</v>
      </c>
    </row>
    <row r="17" outlineLevel="1" hidden="0">
      <c r="A17" s="7" t="s">
        <v>14</v>
      </c>
      <c r="B17" t="s">
        <v>23</v>
      </c>
      <c r="C17" s="54" t="n">
        <v>0.103511790519401</v>
      </c>
      <c r="D17" t="n">
        <v>1238</v>
      </c>
      <c r="E17" s="54" t="n">
        <v>0.118557521274603</v>
      </c>
      <c r="F17" t="n">
        <v>643</v>
      </c>
      <c r="G17" s="54" t="n">
        <v>0.0890013054515122</v>
      </c>
      <c r="H17" s="12" t="n">
        <v>595</v>
      </c>
    </row>
    <row r="18" outlineLevel="1" hidden="0">
      <c r="A18" s="7" t="s">
        <v>14</v>
      </c>
      <c r="B18" t="s">
        <v>24</v>
      </c>
      <c r="C18" s="54" t="n">
        <v>0.161310477221134</v>
      </c>
      <c r="D18" t="n">
        <v>762</v>
      </c>
      <c r="E18" s="54" t="n">
        <v>0.177302227760152</v>
      </c>
      <c r="F18" t="n">
        <v>388</v>
      </c>
      <c r="G18" s="54" t="n">
        <v>0.144817693060953</v>
      </c>
      <c r="H18" s="12" t="n">
        <v>374</v>
      </c>
    </row>
    <row r="19" outlineLevel="1" hidden="0">
      <c r="A19" s="8" t="s">
        <v>14</v>
      </c>
      <c r="B19" s="10" t="s">
        <v>25</v>
      </c>
      <c r="C19" s="53" t="n">
        <v>0.0912327317142628</v>
      </c>
      <c r="D19" s="10" t="n">
        <v>846</v>
      </c>
      <c r="E19" s="53" t="n">
        <v>0.101562008847321</v>
      </c>
      <c r="F19" s="10" t="n">
        <v>395</v>
      </c>
      <c r="G19" s="53" t="n">
        <v>0.0820487345779081</v>
      </c>
      <c r="H19" s="13" t="n">
        <v>451</v>
      </c>
    </row>
    <row r="20">
      <c r="C20" s="54"/>
      <c r="E20" s="54"/>
      <c r="G20" s="54"/>
    </row>
    <row r="21">
      <c r="A21" s="2" t="s">
        <v>26</v>
      </c>
      <c r="B21" s="2"/>
      <c r="C21" s="50"/>
      <c r="D21" s="2"/>
      <c r="E21" s="50"/>
      <c r="F21" s="2"/>
      <c r="G21" s="50"/>
      <c r="H21" s="2"/>
    </row>
    <row r="22" outlineLevel="1" hidden="0">
      <c r="A22" s="6" t="s">
        <v>14</v>
      </c>
      <c r="B22" s="9" t="s">
        <v>27</v>
      </c>
      <c r="C22" s="52" t="n">
        <v>0.0133498383107382</v>
      </c>
      <c r="D22" s="9" t="n">
        <v>92</v>
      </c>
      <c r="E22" s="52" t="n">
        <v>0.0225930593355339</v>
      </c>
      <c r="F22" s="9" t="n">
        <v>55</v>
      </c>
      <c r="G22" s="52"/>
      <c r="H22" s="11"/>
    </row>
    <row r="23" outlineLevel="1" hidden="0">
      <c r="A23" s="7" t="s">
        <v>14</v>
      </c>
      <c r="B23" t="s">
        <v>28</v>
      </c>
      <c r="C23" s="54" t="n">
        <v>0.0475865655884492</v>
      </c>
      <c r="D23" t="n">
        <v>110</v>
      </c>
      <c r="E23" s="54" t="n">
        <v>0.0531816319030297</v>
      </c>
      <c r="F23" t="n">
        <v>54</v>
      </c>
      <c r="G23" s="54" t="n">
        <v>0.0424537599984581</v>
      </c>
      <c r="H23" s="12" t="n">
        <v>56</v>
      </c>
    </row>
    <row r="24" outlineLevel="1" hidden="0">
      <c r="A24" s="7" t="s">
        <v>14</v>
      </c>
      <c r="B24" t="s">
        <v>29</v>
      </c>
      <c r="C24" s="54" t="n">
        <v>0.0346700879843326</v>
      </c>
      <c r="D24" t="n">
        <v>197</v>
      </c>
      <c r="E24" s="54" t="n">
        <v>0.036383369874859</v>
      </c>
      <c r="F24" t="n">
        <v>99</v>
      </c>
      <c r="G24" s="54" t="n">
        <v>0.0328734449554333</v>
      </c>
      <c r="H24" s="12" t="n">
        <v>98</v>
      </c>
    </row>
    <row r="25" outlineLevel="1" hidden="0">
      <c r="A25" s="7" t="s">
        <v>14</v>
      </c>
      <c r="B25" t="s">
        <v>30</v>
      </c>
      <c r="C25" s="54" t="n">
        <v>0.0867054009458596</v>
      </c>
      <c r="D25" t="n">
        <v>62</v>
      </c>
      <c r="E25" s="54" t="n">
        <v>0.129034423092317</v>
      </c>
      <c r="F25" t="n">
        <v>34</v>
      </c>
      <c r="G25" s="54" t="n">
        <v>0.021882176928125</v>
      </c>
      <c r="H25" s="12" t="n">
        <v>28</v>
      </c>
    </row>
    <row r="26" outlineLevel="1" hidden="0">
      <c r="A26" s="7" t="s">
        <v>14</v>
      </c>
      <c r="B26" t="s">
        <v>31</v>
      </c>
      <c r="C26" s="54" t="n">
        <v>0.00424673315066565</v>
      </c>
      <c r="D26" t="n">
        <v>197</v>
      </c>
      <c r="E26" s="54" t="n">
        <v>0.00653899503230063</v>
      </c>
      <c r="F26" t="n">
        <v>90</v>
      </c>
      <c r="G26" s="54" t="n">
        <v>0.00242158990628235</v>
      </c>
      <c r="H26" s="12" t="n">
        <v>107</v>
      </c>
    </row>
    <row r="27" outlineLevel="1" hidden="0">
      <c r="A27" s="7" t="s">
        <v>14</v>
      </c>
      <c r="B27" t="s">
        <v>32</v>
      </c>
      <c r="C27" s="54" t="n">
        <v>0.0256641756264454</v>
      </c>
      <c r="D27" t="n">
        <v>190</v>
      </c>
      <c r="E27" s="54" t="n">
        <v>0.0131161705876038</v>
      </c>
      <c r="F27" t="n">
        <v>92</v>
      </c>
      <c r="G27" s="54" t="n">
        <v>0.0376801501151042</v>
      </c>
      <c r="H27" s="12" t="n">
        <v>98</v>
      </c>
    </row>
    <row r="28" outlineLevel="1" hidden="0">
      <c r="A28" s="7" t="s">
        <v>14</v>
      </c>
      <c r="B28" t="s">
        <v>33</v>
      </c>
      <c r="C28" s="54" t="n">
        <v>0.0597336496776693</v>
      </c>
      <c r="D28" t="n">
        <v>133</v>
      </c>
      <c r="E28" s="54" t="n">
        <v>0.082628219164253</v>
      </c>
      <c r="F28" t="n">
        <v>71</v>
      </c>
      <c r="G28" s="54" t="n">
        <v>0.0338810593811981</v>
      </c>
      <c r="H28" s="12" t="n">
        <v>62</v>
      </c>
    </row>
    <row r="29" outlineLevel="1" hidden="0">
      <c r="A29" s="7" t="s">
        <v>14</v>
      </c>
      <c r="B29" t="s">
        <v>34</v>
      </c>
      <c r="C29" s="54" t="n">
        <v>0.0166812985370313</v>
      </c>
      <c r="D29" t="n">
        <v>209</v>
      </c>
      <c r="E29" s="54" t="n">
        <v>0.00304873551145475</v>
      </c>
      <c r="F29" t="n">
        <v>95</v>
      </c>
      <c r="G29" s="54" t="n">
        <v>0.0277333008228139</v>
      </c>
      <c r="H29" s="12" t="n">
        <v>114</v>
      </c>
    </row>
    <row r="30" outlineLevel="1" hidden="0">
      <c r="A30" s="7" t="s">
        <v>14</v>
      </c>
      <c r="B30" t="s">
        <v>35</v>
      </c>
      <c r="C30" s="54" t="n">
        <v>0.137984409786656</v>
      </c>
      <c r="D30" t="n">
        <v>303</v>
      </c>
      <c r="E30" s="54" t="n">
        <v>0.217907911511711</v>
      </c>
      <c r="F30" t="n">
        <v>145</v>
      </c>
      <c r="G30" s="54" t="n">
        <v>0.0659036119430453</v>
      </c>
      <c r="H30" s="12" t="n">
        <v>158</v>
      </c>
    </row>
    <row r="31" outlineLevel="1" hidden="0">
      <c r="A31" s="7" t="s">
        <v>14</v>
      </c>
      <c r="B31" t="s">
        <v>36</v>
      </c>
      <c r="C31" s="54" t="n">
        <v>0.0502658973450749</v>
      </c>
      <c r="D31" t="n">
        <v>131</v>
      </c>
      <c r="E31" s="54"/>
      <c r="F31"/>
      <c r="G31" s="54" t="n">
        <v>0.0833306306687141</v>
      </c>
      <c r="H31" s="12" t="n">
        <v>83</v>
      </c>
    </row>
    <row r="32" outlineLevel="1" hidden="0">
      <c r="A32" s="7" t="s">
        <v>14</v>
      </c>
      <c r="B32" t="s">
        <v>37</v>
      </c>
      <c r="C32" s="54" t="n">
        <v>0.0865354690624406</v>
      </c>
      <c r="D32" t="n">
        <v>133</v>
      </c>
      <c r="E32" s="54" t="n">
        <v>0.0857686179381128</v>
      </c>
      <c r="F32" t="n">
        <v>61</v>
      </c>
      <c r="G32" s="54" t="n">
        <v>0.0871452254265072</v>
      </c>
      <c r="H32" s="12" t="n">
        <v>72</v>
      </c>
    </row>
    <row r="33" outlineLevel="1" hidden="0">
      <c r="A33" s="7" t="s">
        <v>14</v>
      </c>
      <c r="B33" t="s">
        <v>38</v>
      </c>
      <c r="C33" s="54" t="n">
        <v>0.137409896737343</v>
      </c>
      <c r="D33" t="n">
        <v>752</v>
      </c>
      <c r="E33" s="54" t="n">
        <v>0.147260757882892</v>
      </c>
      <c r="F33" t="n">
        <v>412</v>
      </c>
      <c r="G33" s="54" t="n">
        <v>0.126587925045871</v>
      </c>
      <c r="H33" s="12" t="n">
        <v>340</v>
      </c>
    </row>
    <row r="34" outlineLevel="1" hidden="0">
      <c r="A34" s="7" t="s">
        <v>14</v>
      </c>
      <c r="B34" t="s">
        <v>39</v>
      </c>
      <c r="C34" s="54" t="n">
        <v>0.0552475197996906</v>
      </c>
      <c r="D34" t="n">
        <v>192</v>
      </c>
      <c r="E34" s="54" t="n">
        <v>0.105101446614724</v>
      </c>
      <c r="F34" t="n">
        <v>89</v>
      </c>
      <c r="G34" s="54" t="n">
        <v>0.0277122866806517</v>
      </c>
      <c r="H34" s="12" t="n">
        <v>103</v>
      </c>
    </row>
    <row r="35" outlineLevel="1" hidden="0">
      <c r="A35" s="7" t="s">
        <v>14</v>
      </c>
      <c r="B35" t="s">
        <v>40</v>
      </c>
      <c r="C35" s="54" t="n">
        <v>0.0104182487559246</v>
      </c>
      <c r="D35" t="n">
        <v>185</v>
      </c>
      <c r="E35" s="54"/>
      <c r="F35"/>
      <c r="G35" s="54" t="n">
        <v>0.0202855587136975</v>
      </c>
      <c r="H35" s="12" t="n">
        <v>96</v>
      </c>
    </row>
    <row r="36" outlineLevel="1" hidden="0">
      <c r="A36" s="7" t="s">
        <v>14</v>
      </c>
      <c r="B36" t="s">
        <v>41</v>
      </c>
      <c r="C36" s="54" t="n">
        <v>0.0368697971328441</v>
      </c>
      <c r="D36" t="n">
        <v>109</v>
      </c>
      <c r="E36" s="54" t="n">
        <v>0.0383404839198967</v>
      </c>
      <c r="F36" t="n">
        <v>53</v>
      </c>
      <c r="G36" s="54" t="n">
        <v>0.035490627179486</v>
      </c>
      <c r="H36" s="12" t="n">
        <v>56</v>
      </c>
    </row>
    <row r="37" outlineLevel="1" hidden="0">
      <c r="A37" s="7" t="s">
        <v>14</v>
      </c>
      <c r="B37" t="s">
        <v>42</v>
      </c>
      <c r="C37" s="54" t="n">
        <v>0.185533526416241</v>
      </c>
      <c r="D37" t="n">
        <v>536</v>
      </c>
      <c r="E37" s="54" t="n">
        <v>0.214183042878874</v>
      </c>
      <c r="F37" t="n">
        <v>275</v>
      </c>
      <c r="G37" s="54" t="n">
        <v>0.155297992192096</v>
      </c>
      <c r="H37" s="12" t="n">
        <v>261</v>
      </c>
    </row>
    <row r="38" outlineLevel="1" hidden="0">
      <c r="A38" s="7" t="s">
        <v>14</v>
      </c>
      <c r="B38" t="s">
        <v>43</v>
      </c>
      <c r="C38" s="54" t="n">
        <v>0.103079646712319</v>
      </c>
      <c r="D38" t="n">
        <v>146</v>
      </c>
      <c r="E38" s="54" t="n">
        <v>0.0843640438565832</v>
      </c>
      <c r="F38" t="n">
        <v>72</v>
      </c>
      <c r="G38" s="54" t="n">
        <v>0.120699516371078</v>
      </c>
      <c r="H38" s="12" t="n">
        <v>74</v>
      </c>
    </row>
    <row r="39" outlineLevel="1" hidden="0">
      <c r="A39" s="7" t="s">
        <v>14</v>
      </c>
      <c r="B39" t="s">
        <v>44</v>
      </c>
      <c r="C39" s="54" t="n">
        <v>0.0627918926221124</v>
      </c>
      <c r="D39" t="n">
        <v>80</v>
      </c>
      <c r="E39" s="54" t="n">
        <v>0.0242652784214278</v>
      </c>
      <c r="F39" t="n">
        <v>41</v>
      </c>
      <c r="G39" s="54" t="n">
        <v>0.10333210389649</v>
      </c>
      <c r="H39" s="12" t="n">
        <v>39</v>
      </c>
    </row>
    <row r="40" outlineLevel="1" hidden="0">
      <c r="A40" s="7" t="s">
        <v>14</v>
      </c>
      <c r="B40" t="s">
        <v>45</v>
      </c>
      <c r="C40" s="54" t="n">
        <v>0.100364746202766</v>
      </c>
      <c r="D40" t="n">
        <v>390</v>
      </c>
      <c r="E40" s="54" t="n">
        <v>0.114334706870689</v>
      </c>
      <c r="F40" t="n">
        <v>183</v>
      </c>
      <c r="G40" s="54" t="n">
        <v>0.0875817591987743</v>
      </c>
      <c r="H40" s="12" t="n">
        <v>207</v>
      </c>
    </row>
    <row r="41" outlineLevel="1" hidden="0">
      <c r="A41" s="7" t="s">
        <v>14</v>
      </c>
      <c r="B41" t="s">
        <v>46</v>
      </c>
      <c r="C41" s="54" t="n">
        <v>0.0464732699058515</v>
      </c>
      <c r="D41" t="n">
        <v>215</v>
      </c>
      <c r="E41" s="54" t="n">
        <v>0.0514917911061613</v>
      </c>
      <c r="F41" t="n">
        <v>108</v>
      </c>
      <c r="G41" s="54" t="n">
        <v>0.0411984007962991</v>
      </c>
      <c r="H41" s="12" t="n">
        <v>107</v>
      </c>
    </row>
    <row r="42" outlineLevel="1" hidden="0">
      <c r="A42" s="8" t="s">
        <v>14</v>
      </c>
      <c r="B42" s="10" t="s">
        <v>47</v>
      </c>
      <c r="C42" s="53" t="n">
        <v>0.0773762625765304</v>
      </c>
      <c r="D42" s="10" t="n">
        <v>241</v>
      </c>
      <c r="E42" s="53" t="n">
        <v>0.0763529976876702</v>
      </c>
      <c r="F42" s="10" t="n">
        <v>104</v>
      </c>
      <c r="G42" s="53" t="n">
        <v>0.0781508779520982</v>
      </c>
      <c r="H42" s="13" t="n">
        <v>137</v>
      </c>
    </row>
    <row r="43">
      <c r="C43" s="54"/>
      <c r="E43" s="54"/>
      <c r="G43" s="54"/>
    </row>
    <row r="44">
      <c r="A44" s="2" t="s">
        <v>48</v>
      </c>
      <c r="B44" s="2"/>
      <c r="C44" s="50"/>
      <c r="D44" s="2"/>
      <c r="E44" s="50"/>
      <c r="F44" s="2"/>
      <c r="G44" s="50"/>
      <c r="H44" s="2"/>
    </row>
    <row r="45" outlineLevel="1" hidden="0">
      <c r="A45" s="6" t="s">
        <v>14</v>
      </c>
      <c r="B45" s="9" t="s">
        <v>49</v>
      </c>
      <c r="C45" s="52" t="n">
        <v>0.156222814243362</v>
      </c>
      <c r="D45" s="9" t="n">
        <v>912</v>
      </c>
      <c r="E45" s="52" t="n">
        <v>0.182704670804686</v>
      </c>
      <c r="F45" s="9" t="n">
        <v>479</v>
      </c>
      <c r="G45" s="52" t="n">
        <v>0.126978854368591</v>
      </c>
      <c r="H45" s="11" t="n">
        <v>433</v>
      </c>
    </row>
    <row r="46" outlineLevel="1" hidden="0">
      <c r="A46" s="7" t="s">
        <v>14</v>
      </c>
      <c r="B46" t="s">
        <v>50</v>
      </c>
      <c r="C46" s="54" t="n">
        <v>0.0566536011725812</v>
      </c>
      <c r="D46" t="n">
        <v>904</v>
      </c>
      <c r="E46" s="54" t="n">
        <v>0.0810200833393994</v>
      </c>
      <c r="F46" t="n">
        <v>426</v>
      </c>
      <c r="G46" s="54" t="n">
        <v>0.0351603287732462</v>
      </c>
      <c r="H46" s="12" t="n">
        <v>478</v>
      </c>
    </row>
    <row r="47" outlineLevel="1" hidden="0">
      <c r="A47" s="8" t="s">
        <v>14</v>
      </c>
      <c r="B47" s="10" t="s">
        <v>51</v>
      </c>
      <c r="C47" s="53" t="n">
        <v>0.0542183124710047</v>
      </c>
      <c r="D47" s="10" t="n">
        <v>2787</v>
      </c>
      <c r="E47" s="53" t="n">
        <v>0.0637606812463858</v>
      </c>
      <c r="F47" s="10" t="n">
        <v>1365</v>
      </c>
      <c r="G47" s="53" t="n">
        <v>0.0459544875446968</v>
      </c>
      <c r="H47" s="13" t="n">
        <v>1422</v>
      </c>
    </row>
    <row r="48">
      <c r="C48" s="54"/>
      <c r="E48" s="54"/>
      <c r="G48" s="54"/>
    </row>
    <row r="49">
      <c r="A49" s="2" t="s">
        <v>52</v>
      </c>
      <c r="B49" s="2"/>
      <c r="C49" s="50"/>
      <c r="D49" s="2"/>
      <c r="E49" s="50"/>
      <c r="F49" s="2"/>
      <c r="G49" s="50"/>
      <c r="H49" s="2"/>
    </row>
    <row r="50" outlineLevel="1" hidden="0">
      <c r="A50" s="6" t="s">
        <v>14</v>
      </c>
      <c r="B50" s="9" t="s">
        <v>53</v>
      </c>
      <c r="C50" s="52" t="n">
        <v>0.0782941792977481</v>
      </c>
      <c r="D50" s="9" t="n">
        <v>1384</v>
      </c>
      <c r="E50" s="52" t="n">
        <v>0.111118386479793</v>
      </c>
      <c r="F50" s="9" t="n">
        <v>668</v>
      </c>
      <c r="G50" s="52" t="n">
        <v>0.0511928709119368</v>
      </c>
      <c r="H50" s="11" t="n">
        <v>716</v>
      </c>
    </row>
    <row r="51" outlineLevel="1" hidden="0">
      <c r="A51" s="8" t="s">
        <v>14</v>
      </c>
      <c r="B51" s="10" t="s">
        <v>54</v>
      </c>
      <c r="C51" s="53" t="n">
        <v>0.089969351968932</v>
      </c>
      <c r="D51" s="10" t="n">
        <v>3219</v>
      </c>
      <c r="E51" s="53" t="n">
        <v>0.106410788093127</v>
      </c>
      <c r="F51" s="10" t="n">
        <v>1602</v>
      </c>
      <c r="G51" s="53" t="n">
        <v>0.0737509674211102</v>
      </c>
      <c r="H51" s="13" t="n">
        <v>1617</v>
      </c>
    </row>
    <row r="52">
      <c r="C52" s="54"/>
      <c r="E52" s="54"/>
      <c r="G52" s="54"/>
    </row>
    <row r="53">
      <c r="A53" s="2" t="s">
        <v>55</v>
      </c>
      <c r="B53" s="2"/>
      <c r="C53" s="50"/>
      <c r="D53" s="2"/>
      <c r="E53" s="50"/>
      <c r="F53" s="2"/>
      <c r="G53" s="50"/>
      <c r="H53" s="2"/>
    </row>
    <row r="54" outlineLevel="1" hidden="0">
      <c r="A54" s="6" t="s">
        <v>14</v>
      </c>
      <c r="B54" s="9" t="s">
        <v>56</v>
      </c>
      <c r="C54" s="52" t="n">
        <v>0.156222814243362</v>
      </c>
      <c r="D54" s="9" t="n">
        <v>912</v>
      </c>
      <c r="E54" s="52" t="n">
        <v>0.182704670804686</v>
      </c>
      <c r="F54" s="9" t="n">
        <v>479</v>
      </c>
      <c r="G54" s="52" t="n">
        <v>0.126978854368591</v>
      </c>
      <c r="H54" s="11" t="n">
        <v>433</v>
      </c>
    </row>
    <row r="55" outlineLevel="1" hidden="0">
      <c r="A55" s="7" t="s">
        <v>14</v>
      </c>
      <c r="B55" t="s">
        <v>57</v>
      </c>
      <c r="C55" s="54" t="n">
        <v>0.054079472823497</v>
      </c>
      <c r="D55" t="n">
        <v>2808</v>
      </c>
      <c r="E55" s="54" t="n">
        <v>0.0559742194762332</v>
      </c>
      <c r="F55" t="n">
        <v>1407</v>
      </c>
      <c r="G55" s="54" t="n">
        <v>0.0521581550728908</v>
      </c>
      <c r="H55" s="12" t="n">
        <v>1401</v>
      </c>
    </row>
    <row r="56" outlineLevel="1" hidden="0">
      <c r="A56" s="8" t="s">
        <v>14</v>
      </c>
      <c r="B56" s="10" t="s">
        <v>58</v>
      </c>
      <c r="C56" s="53" t="n">
        <v>0.0562042648465581</v>
      </c>
      <c r="D56" s="10" t="n">
        <v>883</v>
      </c>
      <c r="E56" s="53" t="n">
        <v>0.0915358500883394</v>
      </c>
      <c r="F56" s="10" t="n">
        <v>384</v>
      </c>
      <c r="G56" s="53" t="n">
        <v>0.0314262413542296</v>
      </c>
      <c r="H56" s="13" t="n">
        <v>499</v>
      </c>
    </row>
    <row r="57">
      <c r="C57" s="54"/>
      <c r="E57" s="54"/>
      <c r="G57" s="54"/>
    </row>
    <row r="58">
      <c r="A58" s="2" t="s">
        <v>59</v>
      </c>
      <c r="B58" s="2"/>
      <c r="C58" s="50"/>
      <c r="D58" s="2"/>
      <c r="E58" s="50"/>
      <c r="F58" s="2"/>
      <c r="G58" s="50"/>
      <c r="H58" s="2"/>
    </row>
    <row r="59" outlineLevel="1" hidden="0">
      <c r="A59" s="6" t="s">
        <v>14</v>
      </c>
      <c r="B59" s="9" t="s">
        <v>60</v>
      </c>
      <c r="C59" s="52" t="n">
        <v>0.117348201803103</v>
      </c>
      <c r="D59" s="9" t="n">
        <v>1784</v>
      </c>
      <c r="E59" s="52" t="n">
        <v>0.145500180350124</v>
      </c>
      <c r="F59" s="9" t="n">
        <v>895</v>
      </c>
      <c r="G59" s="52" t="n">
        <v>0.0886730066009399</v>
      </c>
      <c r="H59" s="11" t="n">
        <v>889</v>
      </c>
    </row>
    <row r="60" outlineLevel="1" hidden="0">
      <c r="A60" s="7" t="s">
        <v>14</v>
      </c>
      <c r="B60" t="s">
        <v>61</v>
      </c>
      <c r="C60" s="54" t="n">
        <v>0.0606714307185207</v>
      </c>
      <c r="D60" t="n">
        <v>15</v>
      </c>
      <c r="E60" s="54"/>
      <c r="F60"/>
      <c r="G60" s="54" t="n">
        <v>0.0996528506292837</v>
      </c>
      <c r="H60" s="12" t="n">
        <v>9</v>
      </c>
    </row>
    <row r="61" outlineLevel="1" hidden="0">
      <c r="A61" s="8" t="s">
        <v>14</v>
      </c>
      <c r="B61" s="10" t="s">
        <v>64</v>
      </c>
      <c r="C61" s="53" t="n">
        <v>0.0542183124710047</v>
      </c>
      <c r="D61" s="10" t="n">
        <v>2787</v>
      </c>
      <c r="E61" s="53" t="n">
        <v>0.0637606812463858</v>
      </c>
      <c r="F61" s="10" t="n">
        <v>1365</v>
      </c>
      <c r="G61" s="53" t="n">
        <v>0.0459544875446968</v>
      </c>
      <c r="H61" s="13" t="n">
        <v>1422</v>
      </c>
    </row>
    <row r="62">
      <c r="C62" s="54"/>
      <c r="E62" s="54"/>
      <c r="G62" s="54"/>
    </row>
    <row r="63">
      <c r="C63" s="54"/>
      <c r="E63" s="54"/>
      <c r="G63" s="54"/>
    </row>
  </sheetData>
  <mergeCells count="15">
    <mergeCell ref="A1:H1"/>
    <mergeCell ref="C2:D2"/>
    <mergeCell ref="E2:F2"/>
    <mergeCell ref="G2:H2"/>
    <mergeCell ref="C3:D3"/>
    <mergeCell ref="E3:F3"/>
    <mergeCell ref="G3:H3"/>
    <mergeCell ref="A5:H5"/>
    <mergeCell ref="A8:H8"/>
    <mergeCell ref="A14:H14"/>
    <mergeCell ref="A21:H21"/>
    <mergeCell ref="A44:H44"/>
    <mergeCell ref="A49:H49"/>
    <mergeCell ref="A53:H53"/>
    <mergeCell ref="A58:H58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 outlineLevelRow="1"/>
  <sheetData>
    <row r="1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4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E3" s="2" t="s">
        <v>95</v>
      </c>
      <c r="F3" s="2"/>
      <c r="G3" s="2"/>
      <c r="H3" s="2"/>
      <c r="I3" s="2"/>
      <c r="J3" s="2"/>
      <c r="K3" s="2"/>
      <c r="L3" s="2"/>
      <c r="M3" s="2"/>
      <c r="N3" s="2"/>
      <c r="Q3" s="2" t="s">
        <v>95</v>
      </c>
      <c r="R3" s="2"/>
      <c r="S3" s="2"/>
      <c r="T3" s="2"/>
      <c r="U3" s="2"/>
      <c r="V3" s="2"/>
      <c r="W3" s="2"/>
      <c r="X3" s="2"/>
      <c r="Y3" s="2"/>
      <c r="Z3" s="2"/>
      <c r="AC3" s="2" t="s">
        <v>95</v>
      </c>
      <c r="AD3" s="2"/>
      <c r="AE3" s="2"/>
      <c r="AF3" s="2"/>
      <c r="AG3" s="2"/>
      <c r="AH3" s="2"/>
      <c r="AI3" s="2"/>
      <c r="AJ3" s="2"/>
      <c r="AK3" s="2"/>
      <c r="AL3" s="2"/>
    </row>
    <row r="4">
      <c r="C4" s="2" t="s">
        <v>65</v>
      </c>
      <c r="D4" s="2"/>
      <c r="E4" s="2" t="s">
        <v>68</v>
      </c>
      <c r="F4" s="2"/>
      <c r="G4" s="2" t="s">
        <v>96</v>
      </c>
      <c r="H4" s="2"/>
      <c r="I4" s="2" t="s">
        <v>97</v>
      </c>
      <c r="J4" s="2"/>
      <c r="K4" s="2" t="s">
        <v>98</v>
      </c>
      <c r="L4" s="2"/>
      <c r="M4" s="2" t="s">
        <v>99</v>
      </c>
      <c r="N4" s="2"/>
      <c r="O4" s="2" t="s">
        <v>65</v>
      </c>
      <c r="P4" s="2"/>
      <c r="Q4" s="2" t="s">
        <v>68</v>
      </c>
      <c r="R4" s="2"/>
      <c r="S4" s="2" t="s">
        <v>96</v>
      </c>
      <c r="T4" s="2"/>
      <c r="U4" s="2" t="s">
        <v>97</v>
      </c>
      <c r="V4" s="2"/>
      <c r="W4" s="2" t="s">
        <v>98</v>
      </c>
      <c r="X4" s="2"/>
      <c r="Y4" s="2" t="s">
        <v>99</v>
      </c>
      <c r="Z4" s="2"/>
      <c r="AA4" s="2" t="s">
        <v>65</v>
      </c>
      <c r="AB4" s="2"/>
      <c r="AC4" s="2" t="s">
        <v>68</v>
      </c>
      <c r="AD4" s="2"/>
      <c r="AE4" s="2" t="s">
        <v>96</v>
      </c>
      <c r="AF4" s="2"/>
      <c r="AG4" s="2" t="s">
        <v>97</v>
      </c>
      <c r="AH4" s="2"/>
      <c r="AI4" s="2" t="s">
        <v>98</v>
      </c>
      <c r="AJ4" s="2"/>
      <c r="AK4" s="2" t="s">
        <v>99</v>
      </c>
      <c r="AL4" s="2"/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2" t="s">
        <v>13</v>
      </c>
      <c r="O5" s="2" t="s">
        <v>12</v>
      </c>
      <c r="P5" s="2" t="s">
        <v>13</v>
      </c>
      <c r="Q5" s="2" t="s">
        <v>12</v>
      </c>
      <c r="R5" s="2" t="s">
        <v>13</v>
      </c>
      <c r="S5" s="2" t="s">
        <v>12</v>
      </c>
      <c r="T5" s="2" t="s">
        <v>13</v>
      </c>
      <c r="U5" s="2" t="s">
        <v>12</v>
      </c>
      <c r="V5" s="2" t="s">
        <v>13</v>
      </c>
      <c r="W5" s="2" t="s">
        <v>12</v>
      </c>
      <c r="X5" s="2" t="s">
        <v>13</v>
      </c>
      <c r="Y5" s="2" t="s">
        <v>12</v>
      </c>
      <c r="Z5" s="2" t="s">
        <v>13</v>
      </c>
      <c r="AA5" s="2" t="s">
        <v>12</v>
      </c>
      <c r="AB5" s="2" t="s">
        <v>13</v>
      </c>
      <c r="AC5" s="2" t="s">
        <v>12</v>
      </c>
      <c r="AD5" s="2" t="s">
        <v>13</v>
      </c>
      <c r="AE5" s="2" t="s">
        <v>12</v>
      </c>
      <c r="AF5" s="2" t="s">
        <v>13</v>
      </c>
      <c r="AG5" s="2" t="s">
        <v>12</v>
      </c>
      <c r="AH5" s="2" t="s">
        <v>13</v>
      </c>
      <c r="AI5" s="2" t="s">
        <v>12</v>
      </c>
      <c r="AJ5" s="2" t="s">
        <v>13</v>
      </c>
      <c r="AK5" s="2" t="s">
        <v>12</v>
      </c>
      <c r="AL5" s="2" t="s">
        <v>13</v>
      </c>
    </row>
    <row r="6">
      <c r="A6" s="2" t="s">
        <v>2</v>
      </c>
      <c r="B6" s="2"/>
      <c r="C6" s="55"/>
      <c r="D6" s="2"/>
      <c r="E6" s="55"/>
      <c r="F6" s="2"/>
      <c r="G6" s="55"/>
      <c r="H6" s="2"/>
      <c r="I6" s="55"/>
      <c r="J6" s="2"/>
      <c r="K6" s="55"/>
      <c r="L6" s="2"/>
      <c r="M6" s="55"/>
      <c r="N6" s="2"/>
      <c r="O6" s="55"/>
      <c r="P6" s="2"/>
      <c r="Q6" s="55"/>
      <c r="R6" s="2"/>
      <c r="S6" s="55"/>
      <c r="T6" s="2"/>
      <c r="U6" s="55"/>
      <c r="V6" s="2"/>
      <c r="W6" s="55"/>
      <c r="X6" s="2"/>
      <c r="Y6" s="55"/>
      <c r="Z6" s="2"/>
      <c r="AA6" s="55"/>
      <c r="AB6" s="2"/>
      <c r="AC6" s="55"/>
      <c r="AD6" s="2"/>
      <c r="AE6" s="55"/>
      <c r="AF6" s="2"/>
      <c r="AG6" s="55"/>
      <c r="AH6" s="2"/>
      <c r="AI6" s="55"/>
      <c r="AJ6" s="2"/>
      <c r="AK6" s="55"/>
      <c r="AL6" s="2"/>
    </row>
    <row r="7" outlineLevel="1" hidden="0">
      <c r="A7" s="3" t="s">
        <v>14</v>
      </c>
      <c r="B7" s="4" t="s">
        <v>2</v>
      </c>
      <c r="C7" s="56" t="n">
        <v>0.0292749741607188</v>
      </c>
      <c r="D7" s="4" t="n">
        <v>12562</v>
      </c>
      <c r="E7" s="56" t="n">
        <v>0.0401990298838454</v>
      </c>
      <c r="F7" s="4" t="n">
        <v>12562</v>
      </c>
      <c r="G7" s="56" t="n">
        <v>0.00840425108710458</v>
      </c>
      <c r="H7" s="4" t="n">
        <v>12562</v>
      </c>
      <c r="I7" s="56" t="n">
        <v>0.0246953363153248</v>
      </c>
      <c r="J7" s="4" t="n">
        <v>12562</v>
      </c>
      <c r="K7" s="56" t="n">
        <v>0.0849465091709861</v>
      </c>
      <c r="L7" s="4" t="n">
        <v>12562</v>
      </c>
      <c r="M7" s="56" t="n">
        <v>0.998938850094973</v>
      </c>
      <c r="N7" s="4" t="n">
        <v>12562</v>
      </c>
      <c r="O7" s="56" t="n">
        <v>0.0323099465008257</v>
      </c>
      <c r="P7" s="4" t="n">
        <v>6136</v>
      </c>
      <c r="Q7" s="56" t="n">
        <v>0.0403120626458555</v>
      </c>
      <c r="R7" s="4" t="n">
        <v>6136</v>
      </c>
      <c r="S7" s="56" t="n">
        <v>0.00956904635391179</v>
      </c>
      <c r="T7" s="4" t="n">
        <v>6136</v>
      </c>
      <c r="U7" s="56" t="n">
        <v>0.0276714299599796</v>
      </c>
      <c r="V7" s="4" t="n">
        <v>6136</v>
      </c>
      <c r="W7" s="56" t="n">
        <v>0.0753030292220615</v>
      </c>
      <c r="X7" s="4" t="n">
        <v>6136</v>
      </c>
      <c r="Y7" s="56" t="n">
        <v>0.998461714972148</v>
      </c>
      <c r="Z7" s="4" t="n">
        <v>6136</v>
      </c>
      <c r="AA7" s="56" t="n">
        <v>0.026474116617861</v>
      </c>
      <c r="AB7" s="4" t="n">
        <v>6426</v>
      </c>
      <c r="AC7" s="56" t="n">
        <v>0.0400947163585185</v>
      </c>
      <c r="AD7" s="4" t="n">
        <v>6426</v>
      </c>
      <c r="AE7" s="56" t="n">
        <v>0.00732930698767762</v>
      </c>
      <c r="AF7" s="4" t="n">
        <v>6426</v>
      </c>
      <c r="AG7" s="56" t="n">
        <v>0.0219488156229521</v>
      </c>
      <c r="AH7" s="4" t="n">
        <v>6426</v>
      </c>
      <c r="AI7" s="56" t="n">
        <v>0.0938461005107184</v>
      </c>
      <c r="AJ7" s="4" t="n">
        <v>6426</v>
      </c>
      <c r="AK7" s="56" t="n">
        <v>0.999379179481197</v>
      </c>
      <c r="AL7" s="5" t="n">
        <v>6426</v>
      </c>
    </row>
    <row r="8">
      <c r="C8" s="59"/>
      <c r="E8" s="59"/>
      <c r="G8" s="59"/>
      <c r="I8" s="59"/>
      <c r="K8" s="59"/>
      <c r="M8" s="59"/>
      <c r="O8" s="59"/>
      <c r="Q8" s="59"/>
      <c r="S8" s="59"/>
      <c r="U8" s="59"/>
      <c r="W8" s="59"/>
      <c r="Y8" s="59"/>
      <c r="AA8" s="59"/>
      <c r="AC8" s="59"/>
      <c r="AE8" s="59"/>
      <c r="AG8" s="59"/>
      <c r="AI8" s="59"/>
      <c r="AK8" s="59"/>
    </row>
    <row r="9">
      <c r="A9" s="2" t="s">
        <v>15</v>
      </c>
      <c r="B9" s="2"/>
      <c r="C9" s="55"/>
      <c r="D9" s="2"/>
      <c r="E9" s="55"/>
      <c r="F9" s="2"/>
      <c r="G9" s="55"/>
      <c r="H9" s="2"/>
      <c r="I9" s="55"/>
      <c r="J9" s="2"/>
      <c r="K9" s="55"/>
      <c r="L9" s="2"/>
      <c r="M9" s="55"/>
      <c r="N9" s="2"/>
      <c r="O9" s="55"/>
      <c r="P9" s="2"/>
      <c r="Q9" s="55"/>
      <c r="R9" s="2"/>
      <c r="S9" s="55"/>
      <c r="T9" s="2"/>
      <c r="U9" s="55"/>
      <c r="V9" s="2"/>
      <c r="W9" s="55"/>
      <c r="X9" s="2"/>
      <c r="Y9" s="55"/>
      <c r="Z9" s="2"/>
      <c r="AA9" s="55"/>
      <c r="AB9" s="2"/>
      <c r="AC9" s="55"/>
      <c r="AD9" s="2"/>
      <c r="AE9" s="55"/>
      <c r="AF9" s="2"/>
      <c r="AG9" s="55"/>
      <c r="AH9" s="2"/>
      <c r="AI9" s="55"/>
      <c r="AJ9" s="2"/>
      <c r="AK9" s="55"/>
      <c r="AL9" s="2"/>
    </row>
    <row r="10" outlineLevel="1" hidden="0">
      <c r="A10" s="6" t="s">
        <v>14</v>
      </c>
      <c r="B10" s="9" t="s">
        <v>16</v>
      </c>
      <c r="C10" s="57" t="n">
        <v>0.0245006527913263</v>
      </c>
      <c r="D10" s="9" t="n">
        <v>1065</v>
      </c>
      <c r="E10" s="57" t="n">
        <v>0.0382482122576158</v>
      </c>
      <c r="F10" s="9" t="n">
        <v>1065</v>
      </c>
      <c r="G10" s="57" t="n">
        <v>0.00438040448043903</v>
      </c>
      <c r="H10" s="9" t="n">
        <v>1065</v>
      </c>
      <c r="I10" s="57" t="n">
        <v>0.0216450202314167</v>
      </c>
      <c r="J10" s="9" t="n">
        <v>1065</v>
      </c>
      <c r="K10" s="57" t="n">
        <v>0.0903172680311014</v>
      </c>
      <c r="L10" s="9" t="n">
        <v>1065</v>
      </c>
      <c r="M10" s="57" t="n">
        <v>0.99952218548034</v>
      </c>
      <c r="N10" s="9" t="n">
        <v>1065</v>
      </c>
      <c r="O10" s="57" t="n">
        <v>0.0428882456354297</v>
      </c>
      <c r="P10" s="9" t="n">
        <v>509</v>
      </c>
      <c r="Q10" s="57" t="n">
        <v>0.057136347094471</v>
      </c>
      <c r="R10" s="9" t="n">
        <v>509</v>
      </c>
      <c r="S10" s="57" t="n">
        <v>0.0038523981649192</v>
      </c>
      <c r="T10" s="9" t="n">
        <v>509</v>
      </c>
      <c r="U10" s="57" t="n">
        <v>0.0390358474705105</v>
      </c>
      <c r="V10" s="9" t="n">
        <v>509</v>
      </c>
      <c r="W10" s="57" t="n">
        <v>0.0736946505119013</v>
      </c>
      <c r="X10" s="9" t="n">
        <v>509</v>
      </c>
      <c r="Y10" s="57" t="n">
        <v>1</v>
      </c>
      <c r="Z10" s="9" t="n">
        <v>509</v>
      </c>
      <c r="AA10" s="57" t="n">
        <v>0.00793895206341231</v>
      </c>
      <c r="AB10" s="9" t="n">
        <v>556</v>
      </c>
      <c r="AC10" s="57" t="n">
        <v>0.0212356734697125</v>
      </c>
      <c r="AD10" s="9" t="n">
        <v>556</v>
      </c>
      <c r="AE10" s="57" t="n">
        <v>0.00485597964975176</v>
      </c>
      <c r="AF10" s="9" t="n">
        <v>556</v>
      </c>
      <c r="AG10" s="57" t="n">
        <v>0.00598110605914438</v>
      </c>
      <c r="AH10" s="9" t="n">
        <v>556</v>
      </c>
      <c r="AI10" s="57" t="n">
        <v>0.105289255881912</v>
      </c>
      <c r="AJ10" s="9" t="n">
        <v>556</v>
      </c>
      <c r="AK10" s="57" t="n">
        <v>0.999091818050239</v>
      </c>
      <c r="AL10" s="11" t="n">
        <v>556</v>
      </c>
    </row>
    <row r="11" outlineLevel="1" hidden="0">
      <c r="A11" s="7" t="s">
        <v>14</v>
      </c>
      <c r="B11" t="s">
        <v>17</v>
      </c>
      <c r="C11" s="59" t="n">
        <v>0.0289755418813995</v>
      </c>
      <c r="D11" t="n">
        <v>6423</v>
      </c>
      <c r="E11" s="59" t="n">
        <v>0.0416297195739685</v>
      </c>
      <c r="F11" t="n">
        <v>6423</v>
      </c>
      <c r="G11" s="59" t="n">
        <v>0.0100441929661964</v>
      </c>
      <c r="H11" t="n">
        <v>6423</v>
      </c>
      <c r="I11" s="59" t="n">
        <v>0.0240442861044514</v>
      </c>
      <c r="J11" t="n">
        <v>6423</v>
      </c>
      <c r="K11" s="59" t="n">
        <v>0.087912726468648</v>
      </c>
      <c r="L11" t="n">
        <v>6423</v>
      </c>
      <c r="M11" s="59" t="n">
        <v>0.99875542895702</v>
      </c>
      <c r="N11" t="n">
        <v>6423</v>
      </c>
      <c r="O11" s="59" t="n">
        <v>0.0339056386996993</v>
      </c>
      <c r="P11" t="n">
        <v>3144</v>
      </c>
      <c r="Q11" s="59" t="n">
        <v>0.0427214018024426</v>
      </c>
      <c r="R11" t="n">
        <v>3144</v>
      </c>
      <c r="S11" s="59" t="n">
        <v>0.0125839332966674</v>
      </c>
      <c r="T11" t="n">
        <v>3144</v>
      </c>
      <c r="U11" s="59" t="n">
        <v>0.0286951876080897</v>
      </c>
      <c r="V11" t="n">
        <v>3144</v>
      </c>
      <c r="W11" s="59" t="n">
        <v>0.0831743463059165</v>
      </c>
      <c r="X11" t="n">
        <v>3144</v>
      </c>
      <c r="Y11" s="59" t="n">
        <v>0.998067515931466</v>
      </c>
      <c r="Z11" t="n">
        <v>3144</v>
      </c>
      <c r="AA11" s="59" t="n">
        <v>0.0246818730183237</v>
      </c>
      <c r="AB11" t="n">
        <v>3279</v>
      </c>
      <c r="AC11" s="59" t="n">
        <v>0.0406789629934133</v>
      </c>
      <c r="AD11" t="n">
        <v>3279</v>
      </c>
      <c r="AE11" s="59" t="n">
        <v>0.00783230862007879</v>
      </c>
      <c r="AF11" t="n">
        <v>3279</v>
      </c>
      <c r="AG11" s="59" t="n">
        <v>0.0199937711333699</v>
      </c>
      <c r="AH11" t="n">
        <v>3279</v>
      </c>
      <c r="AI11" s="59" t="n">
        <v>0.0920394274475455</v>
      </c>
      <c r="AJ11" t="n">
        <v>3279</v>
      </c>
      <c r="AK11" s="59" t="n">
        <v>0.999354539044952</v>
      </c>
      <c r="AL11" s="12" t="n">
        <v>3279</v>
      </c>
    </row>
    <row r="12" outlineLevel="1" hidden="0">
      <c r="A12" s="7" t="s">
        <v>14</v>
      </c>
      <c r="B12" t="s">
        <v>18</v>
      </c>
      <c r="C12" s="59" t="n">
        <v>0.033869515185869</v>
      </c>
      <c r="D12" t="n">
        <v>2865</v>
      </c>
      <c r="E12" s="59" t="n">
        <v>0.0433179473256964</v>
      </c>
      <c r="F12" t="n">
        <v>2865</v>
      </c>
      <c r="G12" s="59" t="n">
        <v>0.00739280992302291</v>
      </c>
      <c r="H12" t="n">
        <v>2865</v>
      </c>
      <c r="I12" s="59" t="n">
        <v>0.0286609200422861</v>
      </c>
      <c r="J12" t="n">
        <v>2865</v>
      </c>
      <c r="K12" s="59" t="n">
        <v>0.0813272779562167</v>
      </c>
      <c r="L12" t="n">
        <v>2865</v>
      </c>
      <c r="M12" s="59" t="n">
        <v>0.998673660047239</v>
      </c>
      <c r="N12" t="n">
        <v>2865</v>
      </c>
      <c r="O12" s="59" t="n">
        <v>0.0312162697772871</v>
      </c>
      <c r="P12" t="n">
        <v>1385</v>
      </c>
      <c r="Q12" s="59" t="n">
        <v>0.0375251511276914</v>
      </c>
      <c r="R12" t="n">
        <v>1385</v>
      </c>
      <c r="S12" s="59" t="n">
        <v>0.00804414657522996</v>
      </c>
      <c r="T12" t="n">
        <v>1385</v>
      </c>
      <c r="U12" s="59" t="n">
        <v>0.0245451856467108</v>
      </c>
      <c r="V12" t="n">
        <v>1385</v>
      </c>
      <c r="W12" s="59" t="n">
        <v>0.0568254902548179</v>
      </c>
      <c r="X12" t="n">
        <v>1385</v>
      </c>
      <c r="Y12" s="59" t="n">
        <v>0.997701834431668</v>
      </c>
      <c r="Z12" t="n">
        <v>1385</v>
      </c>
      <c r="AA12" s="59" t="n">
        <v>0.0366229800081876</v>
      </c>
      <c r="AB12" t="n">
        <v>1480</v>
      </c>
      <c r="AC12" s="59" t="n">
        <v>0.0493295512664687</v>
      </c>
      <c r="AD12" t="n">
        <v>1480</v>
      </c>
      <c r="AE12" s="59" t="n">
        <v>0.00671687073038812</v>
      </c>
      <c r="AF12" t="n">
        <v>1480</v>
      </c>
      <c r="AG12" s="59" t="n">
        <v>0.0329321155523463</v>
      </c>
      <c r="AH12" t="n">
        <v>1480</v>
      </c>
      <c r="AI12" s="59" t="n">
        <v>0.106754556677402</v>
      </c>
      <c r="AJ12" t="n">
        <v>1480</v>
      </c>
      <c r="AK12" s="59" t="n">
        <v>0.999682193836555</v>
      </c>
      <c r="AL12" s="12" t="n">
        <v>1480</v>
      </c>
    </row>
    <row r="13" outlineLevel="1" hidden="0">
      <c r="A13" s="8" t="s">
        <v>14</v>
      </c>
      <c r="B13" s="10" t="s">
        <v>19</v>
      </c>
      <c r="C13" s="58" t="n">
        <v>0.0261132446704496</v>
      </c>
      <c r="D13" s="10" t="n">
        <v>2209</v>
      </c>
      <c r="E13" s="58" t="n">
        <v>0.0325401786077602</v>
      </c>
      <c r="F13" s="10" t="n">
        <v>2209</v>
      </c>
      <c r="G13" s="58" t="n">
        <v>0.00664312456261197</v>
      </c>
      <c r="H13" s="10" t="n">
        <v>2209</v>
      </c>
      <c r="I13" s="58" t="n">
        <v>0.0226675480649125</v>
      </c>
      <c r="J13" s="10" t="n">
        <v>2209</v>
      </c>
      <c r="K13" s="58" t="n">
        <v>0.078472091257491</v>
      </c>
      <c r="L13" s="10" t="n">
        <v>2209</v>
      </c>
      <c r="M13" s="58" t="n">
        <v>0.999587900787001</v>
      </c>
      <c r="N13" s="10" t="n">
        <v>2209</v>
      </c>
      <c r="O13" s="58" t="n">
        <v>0.0246006702923285</v>
      </c>
      <c r="P13" s="10" t="n">
        <v>1098</v>
      </c>
      <c r="Q13" s="58" t="n">
        <v>0.0299064754707199</v>
      </c>
      <c r="R13" s="10" t="n">
        <v>1098</v>
      </c>
      <c r="S13" s="58" t="n">
        <v>0.00554188600185414</v>
      </c>
      <c r="T13" s="10" t="n">
        <v>1098</v>
      </c>
      <c r="U13" s="58" t="n">
        <v>0.0241481857222143</v>
      </c>
      <c r="V13" s="10" t="n">
        <v>1098</v>
      </c>
      <c r="W13" s="58" t="n">
        <v>0.0794772693153207</v>
      </c>
      <c r="X13" s="10" t="n">
        <v>1098</v>
      </c>
      <c r="Y13" s="58" t="n">
        <v>1</v>
      </c>
      <c r="Z13" s="10" t="n">
        <v>1098</v>
      </c>
      <c r="AA13" s="58" t="n">
        <v>0.0275465196037593</v>
      </c>
      <c r="AB13" s="10" t="n">
        <v>1111</v>
      </c>
      <c r="AC13" s="58" t="n">
        <v>0.0350358050990589</v>
      </c>
      <c r="AD13" s="10" t="n">
        <v>1111</v>
      </c>
      <c r="AE13" s="58" t="n">
        <v>0.00768662870201753</v>
      </c>
      <c r="AF13" s="10" t="n">
        <v>1111</v>
      </c>
      <c r="AG13" s="58" t="n">
        <v>0.0212645355121274</v>
      </c>
      <c r="AH13" s="10" t="n">
        <v>1111</v>
      </c>
      <c r="AI13" s="58" t="n">
        <v>0.0775196114755779</v>
      </c>
      <c r="AJ13" s="10" t="n">
        <v>1111</v>
      </c>
      <c r="AK13" s="58" t="n">
        <v>0.999197406619857</v>
      </c>
      <c r="AL13" s="13" t="n">
        <v>1111</v>
      </c>
    </row>
    <row r="14">
      <c r="C14" s="59"/>
      <c r="E14" s="59"/>
      <c r="G14" s="59"/>
      <c r="I14" s="59"/>
      <c r="K14" s="59"/>
      <c r="M14" s="59"/>
      <c r="O14" s="59"/>
      <c r="Q14" s="59"/>
      <c r="S14" s="59"/>
      <c r="U14" s="59"/>
      <c r="W14" s="59"/>
      <c r="Y14" s="59"/>
      <c r="AA14" s="59"/>
      <c r="AC14" s="59"/>
      <c r="AE14" s="59"/>
      <c r="AG14" s="59"/>
      <c r="AI14" s="59"/>
      <c r="AK14" s="59"/>
    </row>
    <row r="15">
      <c r="A15" s="2" t="s">
        <v>100</v>
      </c>
      <c r="B15" s="2"/>
      <c r="C15" s="55"/>
      <c r="D15" s="2"/>
      <c r="E15" s="55"/>
      <c r="F15" s="2"/>
      <c r="G15" s="55"/>
      <c r="H15" s="2"/>
      <c r="I15" s="55"/>
      <c r="J15" s="2"/>
      <c r="K15" s="55"/>
      <c r="L15" s="2"/>
      <c r="M15" s="55"/>
      <c r="N15" s="2"/>
      <c r="O15" s="55"/>
      <c r="P15" s="2"/>
      <c r="Q15" s="55"/>
      <c r="R15" s="2"/>
      <c r="S15" s="55"/>
      <c r="T15" s="2"/>
      <c r="U15" s="55"/>
      <c r="V15" s="2"/>
      <c r="W15" s="55"/>
      <c r="X15" s="2"/>
      <c r="Y15" s="55"/>
      <c r="Z15" s="2"/>
      <c r="AA15" s="55"/>
      <c r="AB15" s="2"/>
      <c r="AC15" s="55"/>
      <c r="AD15" s="2"/>
      <c r="AE15" s="55"/>
      <c r="AF15" s="2"/>
      <c r="AG15" s="55"/>
      <c r="AH15" s="2"/>
      <c r="AI15" s="55"/>
      <c r="AJ15" s="2"/>
      <c r="AK15" s="55"/>
      <c r="AL15" s="2"/>
    </row>
    <row r="16" outlineLevel="1" hidden="0">
      <c r="A16" s="6" t="s">
        <v>14</v>
      </c>
      <c r="B16" s="9" t="s">
        <v>66</v>
      </c>
      <c r="C16" s="57" t="n">
        <v>0.0473056309280155</v>
      </c>
      <c r="D16" s="9" t="n">
        <v>4619</v>
      </c>
      <c r="E16" s="57" t="n">
        <v>0.0563882281014714</v>
      </c>
      <c r="F16" s="9" t="n">
        <v>4619</v>
      </c>
      <c r="G16" s="57" t="n">
        <v>0.0190509949008175</v>
      </c>
      <c r="H16" s="9" t="n">
        <v>4619</v>
      </c>
      <c r="I16" s="57" t="n">
        <v>0.0347267568260477</v>
      </c>
      <c r="J16" s="9" t="n">
        <v>4619</v>
      </c>
      <c r="K16" s="57" t="n">
        <v>0.0888738511113525</v>
      </c>
      <c r="L16" s="9" t="n">
        <v>4619</v>
      </c>
      <c r="M16" s="57" t="n">
        <v>0.99743222440314</v>
      </c>
      <c r="N16" s="9" t="n">
        <v>4619</v>
      </c>
      <c r="O16" s="57" t="n">
        <v>0.0458139956230169</v>
      </c>
      <c r="P16" s="9" t="n">
        <v>2275</v>
      </c>
      <c r="Q16" s="57" t="n">
        <v>0.0559666387119191</v>
      </c>
      <c r="R16" s="9" t="n">
        <v>2275</v>
      </c>
      <c r="S16" s="57" t="n">
        <v>0.0191680616207982</v>
      </c>
      <c r="T16" s="9" t="n">
        <v>2275</v>
      </c>
      <c r="U16" s="57" t="n">
        <v>0.0324719097766428</v>
      </c>
      <c r="V16" s="9" t="n">
        <v>2275</v>
      </c>
      <c r="W16" s="57" t="n">
        <v>0.0730834822124098</v>
      </c>
      <c r="X16" s="9" t="n">
        <v>2275</v>
      </c>
      <c r="Y16" s="57" t="n">
        <v>0.99651666748902</v>
      </c>
      <c r="Z16" s="9" t="n">
        <v>2275</v>
      </c>
      <c r="AA16" s="57" t="n">
        <v>0.0487029774730227</v>
      </c>
      <c r="AB16" s="9" t="n">
        <v>2344</v>
      </c>
      <c r="AC16" s="57" t="n">
        <v>0.0567831681212796</v>
      </c>
      <c r="AD16" s="9" t="n">
        <v>2344</v>
      </c>
      <c r="AE16" s="57" t="n">
        <v>0.0189413281638126</v>
      </c>
      <c r="AF16" s="9" t="n">
        <v>2344</v>
      </c>
      <c r="AG16" s="57" t="n">
        <v>0.0368390712258527</v>
      </c>
      <c r="AH16" s="9" t="n">
        <v>2344</v>
      </c>
      <c r="AI16" s="57" t="n">
        <v>0.103666084408183</v>
      </c>
      <c r="AJ16" s="9" t="n">
        <v>2344</v>
      </c>
      <c r="AK16" s="57" t="n">
        <v>0.998289907434922</v>
      </c>
      <c r="AL16" s="11" t="n">
        <v>2344</v>
      </c>
    </row>
    <row r="17" outlineLevel="1" hidden="0">
      <c r="A17" s="8" t="s">
        <v>14</v>
      </c>
      <c r="B17" s="10" t="s">
        <v>67</v>
      </c>
      <c r="C17" s="58" t="n">
        <v>0.0201816034659233</v>
      </c>
      <c r="D17" s="10" t="n">
        <v>7943</v>
      </c>
      <c r="E17" s="58" t="n">
        <v>0.0320343588713391</v>
      </c>
      <c r="F17" s="10" t="n">
        <v>7943</v>
      </c>
      <c r="G17" s="58" t="n">
        <v>0.00303479674941173</v>
      </c>
      <c r="H17" s="10" t="n">
        <v>7943</v>
      </c>
      <c r="I17" s="58" t="n">
        <v>0.0196362069404687</v>
      </c>
      <c r="J17" s="10" t="n">
        <v>7943</v>
      </c>
      <c r="K17" s="58" t="n">
        <v>0.0829658394388805</v>
      </c>
      <c r="L17" s="10" t="n">
        <v>7943</v>
      </c>
      <c r="M17" s="58" t="n">
        <v>0.999698684087209</v>
      </c>
      <c r="N17" s="10" t="n">
        <v>7943</v>
      </c>
      <c r="O17" s="58" t="n">
        <v>0.0254193265255048</v>
      </c>
      <c r="P17" s="10" t="n">
        <v>3861</v>
      </c>
      <c r="Q17" s="58" t="n">
        <v>0.0323241078057966</v>
      </c>
      <c r="R17" s="10" t="n">
        <v>3861</v>
      </c>
      <c r="S17" s="58" t="n">
        <v>0.00467102163977435</v>
      </c>
      <c r="T17" s="10" t="n">
        <v>3861</v>
      </c>
      <c r="U17" s="58" t="n">
        <v>0.0252219215335428</v>
      </c>
      <c r="V17" s="10" t="n">
        <v>3861</v>
      </c>
      <c r="W17" s="58" t="n">
        <v>0.0764355824897875</v>
      </c>
      <c r="X17" s="10" t="n">
        <v>3861</v>
      </c>
      <c r="Y17" s="58" t="n">
        <v>0.999454201219711</v>
      </c>
      <c r="Z17" s="10" t="n">
        <v>3861</v>
      </c>
      <c r="AA17" s="58" t="n">
        <v>0.0153843062477506</v>
      </c>
      <c r="AB17" s="10" t="n">
        <v>4082</v>
      </c>
      <c r="AC17" s="58" t="n">
        <v>0.0317689741342254</v>
      </c>
      <c r="AD17" s="10" t="n">
        <v>4082</v>
      </c>
      <c r="AE17" s="58" t="n">
        <v>0.00153615754578253</v>
      </c>
      <c r="AF17" s="10" t="n">
        <v>4082</v>
      </c>
      <c r="AG17" s="58" t="n">
        <v>0.0145201798473901</v>
      </c>
      <c r="AH17" s="10" t="n">
        <v>4082</v>
      </c>
      <c r="AI17" s="58" t="n">
        <v>0.0889469848983618</v>
      </c>
      <c r="AJ17" s="10" t="n">
        <v>4082</v>
      </c>
      <c r="AK17" s="58" t="n">
        <v>0.99992260905743</v>
      </c>
      <c r="AL17" s="13" t="n">
        <v>4082</v>
      </c>
    </row>
    <row r="18">
      <c r="C18" s="59"/>
      <c r="E18" s="59"/>
      <c r="G18" s="59"/>
      <c r="I18" s="59"/>
      <c r="K18" s="59"/>
      <c r="M18" s="59"/>
      <c r="O18" s="59"/>
      <c r="Q18" s="59"/>
      <c r="S18" s="59"/>
      <c r="U18" s="59"/>
      <c r="W18" s="59"/>
      <c r="Y18" s="59"/>
      <c r="AA18" s="59"/>
      <c r="AC18" s="59"/>
      <c r="AE18" s="59"/>
      <c r="AG18" s="59"/>
      <c r="AI18" s="59"/>
      <c r="AK18" s="59"/>
    </row>
    <row r="19">
      <c r="A19" s="2" t="s">
        <v>20</v>
      </c>
      <c r="B19" s="2"/>
      <c r="C19" s="55"/>
      <c r="D19" s="2"/>
      <c r="E19" s="55"/>
      <c r="F19" s="2"/>
      <c r="G19" s="55"/>
      <c r="H19" s="2"/>
      <c r="I19" s="55"/>
      <c r="J19" s="2"/>
      <c r="K19" s="55"/>
      <c r="L19" s="2"/>
      <c r="M19" s="55"/>
      <c r="N19" s="2"/>
      <c r="O19" s="55"/>
      <c r="P19" s="2"/>
      <c r="Q19" s="55"/>
      <c r="R19" s="2"/>
      <c r="S19" s="55"/>
      <c r="T19" s="2"/>
      <c r="U19" s="55"/>
      <c r="V19" s="2"/>
      <c r="W19" s="55"/>
      <c r="X19" s="2"/>
      <c r="Y19" s="55"/>
      <c r="Z19" s="2"/>
      <c r="AA19" s="55"/>
      <c r="AB19" s="2"/>
      <c r="AC19" s="55"/>
      <c r="AD19" s="2"/>
      <c r="AE19" s="55"/>
      <c r="AF19" s="2"/>
      <c r="AG19" s="55"/>
      <c r="AH19" s="2"/>
      <c r="AI19" s="55"/>
      <c r="AJ19" s="2"/>
      <c r="AK19" s="55"/>
      <c r="AL19" s="2"/>
    </row>
    <row r="20" outlineLevel="1" hidden="0">
      <c r="A20" s="6" t="s">
        <v>14</v>
      </c>
      <c r="B20" s="9" t="s">
        <v>21</v>
      </c>
      <c r="C20" s="57" t="n">
        <v>0.0202365846793381</v>
      </c>
      <c r="D20" s="9" t="n">
        <v>3358</v>
      </c>
      <c r="E20" s="57" t="n">
        <v>0.0311908543115453</v>
      </c>
      <c r="F20" s="9" t="n">
        <v>3358</v>
      </c>
      <c r="G20" s="57" t="n">
        <v>0.00455936601251138</v>
      </c>
      <c r="H20" s="9" t="n">
        <v>3358</v>
      </c>
      <c r="I20" s="57" t="n">
        <v>0.0176417576858887</v>
      </c>
      <c r="J20" s="9" t="n">
        <v>3358</v>
      </c>
      <c r="K20" s="57" t="n">
        <v>0.0725588567493499</v>
      </c>
      <c r="L20" s="9" t="n">
        <v>3358</v>
      </c>
      <c r="M20" s="57" t="n">
        <v>0.999015626200202</v>
      </c>
      <c r="N20" s="9" t="n">
        <v>3358</v>
      </c>
      <c r="O20" s="57" t="n">
        <v>0.0233972905318604</v>
      </c>
      <c r="P20" s="9" t="n">
        <v>1626</v>
      </c>
      <c r="Q20" s="57" t="n">
        <v>0.0322719820340549</v>
      </c>
      <c r="R20" s="9" t="n">
        <v>1626</v>
      </c>
      <c r="S20" s="57" t="n">
        <v>0.00356369607032289</v>
      </c>
      <c r="T20" s="9" t="n">
        <v>1626</v>
      </c>
      <c r="U20" s="57" t="n">
        <v>0.0201604087339456</v>
      </c>
      <c r="V20" s="9" t="n">
        <v>1626</v>
      </c>
      <c r="W20" s="57" t="n">
        <v>0.0673135950868565</v>
      </c>
      <c r="X20" s="9" t="n">
        <v>1626</v>
      </c>
      <c r="Y20" s="57" t="n">
        <v>0.998674859744971</v>
      </c>
      <c r="Z20" s="9" t="n">
        <v>1626</v>
      </c>
      <c r="AA20" s="57" t="n">
        <v>0.0172708804035401</v>
      </c>
      <c r="AB20" s="9" t="n">
        <v>1732</v>
      </c>
      <c r="AC20" s="57" t="n">
        <v>0.0301764273895424</v>
      </c>
      <c r="AD20" s="9" t="n">
        <v>1732</v>
      </c>
      <c r="AE20" s="57" t="n">
        <v>0.00549360752140586</v>
      </c>
      <c r="AF20" s="9" t="n">
        <v>1732</v>
      </c>
      <c r="AG20" s="57" t="n">
        <v>0.0152784962718268</v>
      </c>
      <c r="AH20" s="9" t="n">
        <v>1732</v>
      </c>
      <c r="AI20" s="57" t="n">
        <v>0.0774805089580561</v>
      </c>
      <c r="AJ20" s="9" t="n">
        <v>1732</v>
      </c>
      <c r="AK20" s="57" t="n">
        <v>0.99933536887177</v>
      </c>
      <c r="AL20" s="11" t="n">
        <v>1732</v>
      </c>
    </row>
    <row r="21" outlineLevel="1" hidden="0">
      <c r="A21" s="7" t="s">
        <v>14</v>
      </c>
      <c r="B21" t="s">
        <v>22</v>
      </c>
      <c r="C21" s="59" t="n">
        <v>0.0366565092268464</v>
      </c>
      <c r="D21" t="n">
        <v>2838</v>
      </c>
      <c r="E21" s="59" t="n">
        <v>0.0489128164739936</v>
      </c>
      <c r="F21" t="n">
        <v>2838</v>
      </c>
      <c r="G21" s="59" t="n">
        <v>0.0128431830623474</v>
      </c>
      <c r="H21" t="n">
        <v>2838</v>
      </c>
      <c r="I21" s="59" t="n">
        <v>0.029367701027601</v>
      </c>
      <c r="J21" t="n">
        <v>2838</v>
      </c>
      <c r="K21" s="59" t="n">
        <v>0.0968167493362384</v>
      </c>
      <c r="L21" t="n">
        <v>2838</v>
      </c>
      <c r="M21" s="59" t="n">
        <v>0.999483747861699</v>
      </c>
      <c r="N21" t="n">
        <v>2838</v>
      </c>
      <c r="O21" s="59" t="n">
        <v>0.0436131206244925</v>
      </c>
      <c r="P21" t="n">
        <v>1350</v>
      </c>
      <c r="Q21" s="59" t="n">
        <v>0.0519550003153817</v>
      </c>
      <c r="R21" t="n">
        <v>1350</v>
      </c>
      <c r="S21" s="59" t="n">
        <v>0.0183179885867404</v>
      </c>
      <c r="T21" t="n">
        <v>1350</v>
      </c>
      <c r="U21" s="59" t="n">
        <v>0.034911565787059</v>
      </c>
      <c r="V21" t="n">
        <v>1350</v>
      </c>
      <c r="W21" s="59" t="n">
        <v>0.0804610298055436</v>
      </c>
      <c r="X21" t="n">
        <v>1350</v>
      </c>
      <c r="Y21" s="59" t="n">
        <v>0.998901754818476</v>
      </c>
      <c r="Z21" t="n">
        <v>1350</v>
      </c>
      <c r="AA21" s="59" t="n">
        <v>0.030485704350075</v>
      </c>
      <c r="AB21" t="n">
        <v>1488</v>
      </c>
      <c r="AC21" s="59" t="n">
        <v>0.0462142723392982</v>
      </c>
      <c r="AD21" t="n">
        <v>1488</v>
      </c>
      <c r="AE21" s="59" t="n">
        <v>0.0079868018879252</v>
      </c>
      <c r="AF21" t="n">
        <v>1488</v>
      </c>
      <c r="AG21" s="59" t="n">
        <v>0.0244500614271771</v>
      </c>
      <c r="AH21" t="n">
        <v>1488</v>
      </c>
      <c r="AI21" s="59" t="n">
        <v>0.11132495571345</v>
      </c>
      <c r="AJ21" t="n">
        <v>1488</v>
      </c>
      <c r="AK21" s="59" t="n">
        <v>1</v>
      </c>
      <c r="AL21" s="12" t="n">
        <v>1488</v>
      </c>
    </row>
    <row r="22" outlineLevel="1" hidden="0">
      <c r="A22" s="7" t="s">
        <v>14</v>
      </c>
      <c r="B22" t="s">
        <v>23</v>
      </c>
      <c r="C22" s="59" t="n">
        <v>0.0345729825707651</v>
      </c>
      <c r="D22" t="n">
        <v>2764</v>
      </c>
      <c r="E22" s="59" t="n">
        <v>0.0437902249094136</v>
      </c>
      <c r="F22" t="n">
        <v>2764</v>
      </c>
      <c r="G22" s="59" t="n">
        <v>0.0061192189149027</v>
      </c>
      <c r="H22" t="n">
        <v>2764</v>
      </c>
      <c r="I22" s="59" t="n">
        <v>0.0324406149321692</v>
      </c>
      <c r="J22" t="n">
        <v>2764</v>
      </c>
      <c r="K22" s="59" t="n">
        <v>0.0777695317547441</v>
      </c>
      <c r="L22" t="n">
        <v>2764</v>
      </c>
      <c r="M22" s="59" t="n">
        <v>0.997482346192125</v>
      </c>
      <c r="N22" t="n">
        <v>2764</v>
      </c>
      <c r="O22" s="59" t="n">
        <v>0.0344905940808945</v>
      </c>
      <c r="P22" t="n">
        <v>1390</v>
      </c>
      <c r="Q22" s="59" t="n">
        <v>0.0423743471330833</v>
      </c>
      <c r="R22" t="n">
        <v>1390</v>
      </c>
      <c r="S22" s="59" t="n">
        <v>0.00460408889640712</v>
      </c>
      <c r="T22" t="n">
        <v>1390</v>
      </c>
      <c r="U22" s="59" t="n">
        <v>0.0341114665280267</v>
      </c>
      <c r="V22" t="n">
        <v>1390</v>
      </c>
      <c r="W22" s="59" t="n">
        <v>0.0762766408251883</v>
      </c>
      <c r="X22" t="n">
        <v>1390</v>
      </c>
      <c r="Y22" s="59" t="n">
        <v>0.99614165744918</v>
      </c>
      <c r="Z22" t="n">
        <v>1390</v>
      </c>
      <c r="AA22" s="59" t="n">
        <v>0.0346510179744527</v>
      </c>
      <c r="AB22" t="n">
        <v>1374</v>
      </c>
      <c r="AC22" s="59" t="n">
        <v>0.0451312932312362</v>
      </c>
      <c r="AD22" t="n">
        <v>1374</v>
      </c>
      <c r="AE22" s="59" t="n">
        <v>0.00755429537786779</v>
      </c>
      <c r="AF22" t="n">
        <v>1374</v>
      </c>
      <c r="AG22" s="59" t="n">
        <v>0.0308580446120961</v>
      </c>
      <c r="AH22" t="n">
        <v>1374</v>
      </c>
      <c r="AI22" s="59" t="n">
        <v>0.0791835441554137</v>
      </c>
      <c r="AJ22" t="n">
        <v>1374</v>
      </c>
      <c r="AK22" s="59" t="n">
        <v>0.998752198175569</v>
      </c>
      <c r="AL22" s="12" t="n">
        <v>1374</v>
      </c>
    </row>
    <row r="23" outlineLevel="1" hidden="0">
      <c r="A23" s="7" t="s">
        <v>14</v>
      </c>
      <c r="B23" t="s">
        <v>24</v>
      </c>
      <c r="C23" s="59" t="n">
        <v>0.0336473268203684</v>
      </c>
      <c r="D23" t="n">
        <v>1623</v>
      </c>
      <c r="E23" s="59" t="n">
        <v>0.0475857149163276</v>
      </c>
      <c r="F23" t="n">
        <v>1623</v>
      </c>
      <c r="G23" s="59" t="n">
        <v>0.00508197739253138</v>
      </c>
      <c r="H23" t="n">
        <v>1623</v>
      </c>
      <c r="I23" s="59" t="n">
        <v>0.0319613319233414</v>
      </c>
      <c r="J23" t="n">
        <v>1623</v>
      </c>
      <c r="K23" s="59" t="n">
        <v>0.135448811271602</v>
      </c>
      <c r="L23" t="n">
        <v>1623</v>
      </c>
      <c r="M23" s="59" t="n">
        <v>0.998310272857078</v>
      </c>
      <c r="N23" t="n">
        <v>1623</v>
      </c>
      <c r="O23" s="59" t="n">
        <v>0.0312905922949919</v>
      </c>
      <c r="P23" t="n">
        <v>830</v>
      </c>
      <c r="Q23" s="59" t="n">
        <v>0.0415144257404392</v>
      </c>
      <c r="R23" t="n">
        <v>830</v>
      </c>
      <c r="S23" s="59" t="n">
        <v>0.00421572318950769</v>
      </c>
      <c r="T23" t="n">
        <v>830</v>
      </c>
      <c r="U23" s="59" t="n">
        <v>0.0295651030676406</v>
      </c>
      <c r="V23" t="n">
        <v>830</v>
      </c>
      <c r="W23" s="59" t="n">
        <v>0.115538466718573</v>
      </c>
      <c r="X23" t="n">
        <v>830</v>
      </c>
      <c r="Y23" s="59" t="n">
        <v>1</v>
      </c>
      <c r="Z23" t="n">
        <v>830</v>
      </c>
      <c r="AA23" s="59" t="n">
        <v>0.0360604697762866</v>
      </c>
      <c r="AB23" t="n">
        <v>793</v>
      </c>
      <c r="AC23" s="59" t="n">
        <v>0.0538023203720468</v>
      </c>
      <c r="AD23" t="n">
        <v>793</v>
      </c>
      <c r="AE23" s="59" t="n">
        <v>0.00596896538611</v>
      </c>
      <c r="AF23" t="n">
        <v>793</v>
      </c>
      <c r="AG23" s="59" t="n">
        <v>0.0344149145062072</v>
      </c>
      <c r="AH23" t="n">
        <v>793</v>
      </c>
      <c r="AI23" s="59" t="n">
        <v>0.155835709834295</v>
      </c>
      <c r="AJ23" t="n">
        <v>793</v>
      </c>
      <c r="AK23" s="59" t="n">
        <v>0.996580102102391</v>
      </c>
      <c r="AL23" s="12" t="n">
        <v>793</v>
      </c>
    </row>
    <row r="24" outlineLevel="1" hidden="0">
      <c r="A24" s="8" t="s">
        <v>14</v>
      </c>
      <c r="B24" s="10" t="s">
        <v>25</v>
      </c>
      <c r="C24" s="58" t="n">
        <v>0.0134764556536837</v>
      </c>
      <c r="D24" s="10" t="n">
        <v>1979</v>
      </c>
      <c r="E24" s="58" t="n">
        <v>0.020472910080071</v>
      </c>
      <c r="F24" s="10" t="n">
        <v>1979</v>
      </c>
      <c r="G24" s="58" t="n">
        <v>0.00718883179599148</v>
      </c>
      <c r="H24" s="10" t="n">
        <v>1979</v>
      </c>
      <c r="I24" s="58" t="n">
        <v>0.00834026617243895</v>
      </c>
      <c r="J24" s="10" t="n">
        <v>1979</v>
      </c>
      <c r="K24" s="58" t="n">
        <v>0.0530339677079523</v>
      </c>
      <c r="L24" s="10" t="n">
        <v>1979</v>
      </c>
      <c r="M24" s="58" t="n">
        <v>0.999459866289404</v>
      </c>
      <c r="N24" s="10" t="n">
        <v>1979</v>
      </c>
      <c r="O24" s="58" t="n">
        <v>0.0113542160322388</v>
      </c>
      <c r="P24" s="10" t="n">
        <v>940</v>
      </c>
      <c r="Q24" s="58" t="n">
        <v>0.0149205314987632</v>
      </c>
      <c r="R24" s="10" t="n">
        <v>940</v>
      </c>
      <c r="S24" s="58" t="n">
        <v>0.00453927911131873</v>
      </c>
      <c r="T24" s="10" t="n">
        <v>940</v>
      </c>
      <c r="U24" s="58" t="n">
        <v>0.0089856824905127</v>
      </c>
      <c r="V24" s="10" t="n">
        <v>940</v>
      </c>
      <c r="W24" s="58" t="n">
        <v>0.0495489096758596</v>
      </c>
      <c r="X24" s="10" t="n">
        <v>940</v>
      </c>
      <c r="Y24" s="58" t="n">
        <v>0.999113349644559</v>
      </c>
      <c r="Z24" s="10" t="n">
        <v>940</v>
      </c>
      <c r="AA24" s="58" t="n">
        <v>0.0154332807282263</v>
      </c>
      <c r="AB24" s="10" t="n">
        <v>1039</v>
      </c>
      <c r="AC24" s="58" t="n">
        <v>0.0255925174615691</v>
      </c>
      <c r="AD24" s="10" t="n">
        <v>1039</v>
      </c>
      <c r="AE24" s="58" t="n">
        <v>0.00963186936691367</v>
      </c>
      <c r="AF24" s="10" t="n">
        <v>1039</v>
      </c>
      <c r="AG24" s="58" t="n">
        <v>0.00774515578906675</v>
      </c>
      <c r="AH24" s="10" t="n">
        <v>1039</v>
      </c>
      <c r="AI24" s="58" t="n">
        <v>0.0562473885085651</v>
      </c>
      <c r="AJ24" s="10" t="n">
        <v>1039</v>
      </c>
      <c r="AK24" s="58" t="n">
        <v>0.999779374252844</v>
      </c>
      <c r="AL24" s="13" t="n">
        <v>1039</v>
      </c>
    </row>
    <row r="25">
      <c r="C25" s="59"/>
      <c r="E25" s="59"/>
      <c r="G25" s="59"/>
      <c r="I25" s="59"/>
      <c r="K25" s="59"/>
      <c r="M25" s="59"/>
      <c r="O25" s="59"/>
      <c r="Q25" s="59"/>
      <c r="S25" s="59"/>
      <c r="U25" s="59"/>
      <c r="W25" s="59"/>
      <c r="Y25" s="59"/>
      <c r="AA25" s="59"/>
      <c r="AC25" s="59"/>
      <c r="AE25" s="59"/>
      <c r="AG25" s="59"/>
      <c r="AI25" s="59"/>
      <c r="AK25" s="59"/>
    </row>
    <row r="26">
      <c r="A26" s="2" t="s">
        <v>26</v>
      </c>
      <c r="B26" s="2"/>
      <c r="C26" s="55"/>
      <c r="D26" s="2"/>
      <c r="E26" s="55"/>
      <c r="F26" s="2"/>
      <c r="G26" s="55"/>
      <c r="H26" s="2"/>
      <c r="I26" s="55"/>
      <c r="J26" s="2"/>
      <c r="K26" s="55"/>
      <c r="L26" s="2"/>
      <c r="M26" s="55"/>
      <c r="N26" s="2"/>
      <c r="O26" s="55"/>
      <c r="P26" s="2"/>
      <c r="Q26" s="55"/>
      <c r="R26" s="2"/>
      <c r="S26" s="55"/>
      <c r="T26" s="2"/>
      <c r="U26" s="55"/>
      <c r="V26" s="2"/>
      <c r="W26" s="55"/>
      <c r="X26" s="2"/>
      <c r="Y26" s="55"/>
      <c r="Z26" s="2"/>
      <c r="AA26" s="55"/>
      <c r="AB26" s="2"/>
      <c r="AC26" s="55"/>
      <c r="AD26" s="2"/>
      <c r="AE26" s="55"/>
      <c r="AF26" s="2"/>
      <c r="AG26" s="55"/>
      <c r="AH26" s="2"/>
      <c r="AI26" s="55"/>
      <c r="AJ26" s="2"/>
      <c r="AK26" s="55"/>
      <c r="AL26" s="2"/>
    </row>
    <row r="27" outlineLevel="1" hidden="0">
      <c r="A27" s="6" t="s">
        <v>14</v>
      </c>
      <c r="B27" s="9" t="s">
        <v>27</v>
      </c>
      <c r="C27" s="57" t="n">
        <v>0.0615166465138938</v>
      </c>
      <c r="D27" s="9" t="n">
        <v>337</v>
      </c>
      <c r="E27" s="57" t="n">
        <v>0.0714825117579846</v>
      </c>
      <c r="F27" s="9" t="n">
        <v>337</v>
      </c>
      <c r="G27" s="57" t="n">
        <v>0.00914735542220621</v>
      </c>
      <c r="H27" s="9" t="n">
        <v>337</v>
      </c>
      <c r="I27" s="57" t="n">
        <v>0.0570095622043585</v>
      </c>
      <c r="J27" s="9" t="n">
        <v>337</v>
      </c>
      <c r="K27" s="57" t="n">
        <v>0.116689859196844</v>
      </c>
      <c r="L27" s="9" t="n">
        <v>337</v>
      </c>
      <c r="M27" s="57" t="n">
        <v>0.995492915690465</v>
      </c>
      <c r="N27" s="9" t="n">
        <v>337</v>
      </c>
      <c r="O27" s="57" t="n">
        <v>0.0678336654659325</v>
      </c>
      <c r="P27" s="9" t="n">
        <v>178</v>
      </c>
      <c r="Q27" s="57" t="n">
        <v>0.0693288131977476</v>
      </c>
      <c r="R27" s="9" t="n">
        <v>178</v>
      </c>
      <c r="S27" s="57" t="n">
        <v>0.00846350731884097</v>
      </c>
      <c r="T27" s="9" t="n">
        <v>178</v>
      </c>
      <c r="U27" s="57" t="n">
        <v>0.0593701581470915</v>
      </c>
      <c r="V27" s="9" t="n">
        <v>178</v>
      </c>
      <c r="W27" s="57" t="n">
        <v>0.0743316338028542</v>
      </c>
      <c r="X27" s="9" t="n">
        <v>178</v>
      </c>
      <c r="Y27" s="57" t="n">
        <v>0.991536492681159</v>
      </c>
      <c r="Z27" s="9" t="n">
        <v>178</v>
      </c>
      <c r="AA27" s="57" t="n">
        <v>0.0543204147321039</v>
      </c>
      <c r="AB27" s="9" t="n">
        <v>159</v>
      </c>
      <c r="AC27" s="57" t="n">
        <v>0.0739359655382003</v>
      </c>
      <c r="AD27" s="9" t="n">
        <v>159</v>
      </c>
      <c r="AE27" s="57" t="n">
        <v>0.00992638260143693</v>
      </c>
      <c r="AF27" s="9" t="n">
        <v>159</v>
      </c>
      <c r="AG27" s="57" t="n">
        <v>0.0543204147321039</v>
      </c>
      <c r="AH27" s="9" t="n">
        <v>159</v>
      </c>
      <c r="AI27" s="57" t="n">
        <v>0.164943570340463</v>
      </c>
      <c r="AJ27" s="9" t="n">
        <v>159</v>
      </c>
      <c r="AK27" s="57" t="n">
        <v>1</v>
      </c>
      <c r="AL27" s="11" t="n">
        <v>159</v>
      </c>
    </row>
    <row r="28" outlineLevel="1" hidden="0">
      <c r="A28" s="7" t="s">
        <v>14</v>
      </c>
      <c r="B28" t="s">
        <v>28</v>
      </c>
      <c r="C28" s="59" t="n">
        <v>0.0347458169080233</v>
      </c>
      <c r="D28" t="n">
        <v>451</v>
      </c>
      <c r="E28" s="59" t="n">
        <v>0.0525777001277414</v>
      </c>
      <c r="F28" t="n">
        <v>451</v>
      </c>
      <c r="G28" s="59" t="n">
        <v>0.00600335373582242</v>
      </c>
      <c r="H28" t="n">
        <v>451</v>
      </c>
      <c r="I28" s="59" t="n">
        <v>0.0298904322699358</v>
      </c>
      <c r="J28" t="n">
        <v>451</v>
      </c>
      <c r="K28" s="59" t="n">
        <v>0.105626930948977</v>
      </c>
      <c r="L28" t="n">
        <v>451</v>
      </c>
      <c r="M28" s="59" t="n">
        <v>1</v>
      </c>
      <c r="N28" t="n">
        <v>451</v>
      </c>
      <c r="O28" s="59" t="n">
        <v>0.0458274896488795</v>
      </c>
      <c r="P28" t="n">
        <v>204</v>
      </c>
      <c r="Q28" s="59" t="n">
        <v>0.0614464424406184</v>
      </c>
      <c r="R28" t="n">
        <v>204</v>
      </c>
      <c r="S28" s="59" t="n">
        <v>0.0117512545079594</v>
      </c>
      <c r="T28" t="n">
        <v>204</v>
      </c>
      <c r="U28" s="59" t="n">
        <v>0.0353654679021799</v>
      </c>
      <c r="V28" t="n">
        <v>204</v>
      </c>
      <c r="W28" s="59" t="n">
        <v>0.132028446568971</v>
      </c>
      <c r="X28" t="n">
        <v>204</v>
      </c>
      <c r="Y28" s="59" t="n">
        <v>1</v>
      </c>
      <c r="Z28" t="n">
        <v>204</v>
      </c>
      <c r="AA28" s="59" t="n">
        <v>0.0251490153765638</v>
      </c>
      <c r="AB28" t="n">
        <v>247</v>
      </c>
      <c r="AC28" s="59" t="n">
        <v>0.0448973109120821</v>
      </c>
      <c r="AD28" t="n">
        <v>247</v>
      </c>
      <c r="AE28" s="59" t="n">
        <v>0.00102563383534646</v>
      </c>
      <c r="AF28" t="n">
        <v>247</v>
      </c>
      <c r="AG28" s="59" t="n">
        <v>0.0251490153765638</v>
      </c>
      <c r="AH28" t="n">
        <v>247</v>
      </c>
      <c r="AI28" s="59" t="n">
        <v>0.0827630446513175</v>
      </c>
      <c r="AJ28" t="n">
        <v>247</v>
      </c>
      <c r="AK28" s="59" t="n">
        <v>1</v>
      </c>
      <c r="AL28" s="12" t="n">
        <v>247</v>
      </c>
    </row>
    <row r="29" outlineLevel="1" hidden="0">
      <c r="A29" s="7" t="s">
        <v>14</v>
      </c>
      <c r="B29" t="s">
        <v>29</v>
      </c>
      <c r="C29" s="59" t="n">
        <v>0.00679242793772917</v>
      </c>
      <c r="D29" t="n">
        <v>752</v>
      </c>
      <c r="E29" s="59" t="n">
        <v>0.0328158859189403</v>
      </c>
      <c r="F29" t="n">
        <v>752</v>
      </c>
      <c r="G29" s="59" t="n">
        <v>0.00250713595122618</v>
      </c>
      <c r="H29" t="n">
        <v>752</v>
      </c>
      <c r="I29" s="59" t="n">
        <v>0.00602596363392368</v>
      </c>
      <c r="J29" t="n">
        <v>752</v>
      </c>
      <c r="K29" s="59" t="n">
        <v>0.0793099744266391</v>
      </c>
      <c r="L29" t="n">
        <v>752</v>
      </c>
      <c r="M29" s="59" t="n">
        <v>0.99864984364945</v>
      </c>
      <c r="N29" t="n">
        <v>752</v>
      </c>
      <c r="O29" s="59" t="n">
        <v>0.00823654525109173</v>
      </c>
      <c r="P29" t="n">
        <v>347</v>
      </c>
      <c r="Q29" s="59" t="n">
        <v>0.036474673903597</v>
      </c>
      <c r="R29" t="n">
        <v>347</v>
      </c>
      <c r="S29" s="59"/>
      <c r="T29"/>
      <c r="U29" s="59" t="n">
        <v>0.00823654525109173</v>
      </c>
      <c r="V29" t="n">
        <v>347</v>
      </c>
      <c r="W29" s="59" t="n">
        <v>0.0882026307616136</v>
      </c>
      <c r="X29" t="n">
        <v>347</v>
      </c>
      <c r="Y29" s="59" t="n">
        <v>1</v>
      </c>
      <c r="Z29" t="n">
        <v>347</v>
      </c>
      <c r="AA29" s="59" t="n">
        <v>0.00562332807614886</v>
      </c>
      <c r="AB29" t="n">
        <v>405</v>
      </c>
      <c r="AC29" s="59" t="n">
        <v>0.0298538768862712</v>
      </c>
      <c r="AD29" t="n">
        <v>405</v>
      </c>
      <c r="AE29" s="59" t="n">
        <v>0.0045368133648406</v>
      </c>
      <c r="AF29" t="n">
        <v>405</v>
      </c>
      <c r="AG29" s="59" t="n">
        <v>0.00423636479819925</v>
      </c>
      <c r="AH29" t="n">
        <v>405</v>
      </c>
      <c r="AI29" s="59" t="n">
        <v>0.0721108340284865</v>
      </c>
      <c r="AJ29" t="n">
        <v>405</v>
      </c>
      <c r="AK29" s="59" t="n">
        <v>0.99755681084115</v>
      </c>
      <c r="AL29" s="12" t="n">
        <v>405</v>
      </c>
    </row>
    <row r="30" outlineLevel="1" hidden="0">
      <c r="A30" s="7" t="s">
        <v>14</v>
      </c>
      <c r="B30" t="s">
        <v>30</v>
      </c>
      <c r="C30" s="59" t="n">
        <v>0.0117415201266998</v>
      </c>
      <c r="D30" t="n">
        <v>432</v>
      </c>
      <c r="E30" s="59" t="n">
        <v>0.0134555204373787</v>
      </c>
      <c r="F30" t="n">
        <v>432</v>
      </c>
      <c r="G30" s="59" t="n">
        <v>0.000885069251957329</v>
      </c>
      <c r="H30" t="n">
        <v>432</v>
      </c>
      <c r="I30" s="59" t="n">
        <v>0.0108564508747424</v>
      </c>
      <c r="J30" t="n">
        <v>432</v>
      </c>
      <c r="K30" s="59" t="n">
        <v>0.056764175544011</v>
      </c>
      <c r="L30" t="n">
        <v>432</v>
      </c>
      <c r="M30" s="59" t="n">
        <v>1</v>
      </c>
      <c r="N30" t="n">
        <v>432</v>
      </c>
      <c r="O30" s="59" t="n">
        <v>0.0194052462683067</v>
      </c>
      <c r="P30" t="n">
        <v>208</v>
      </c>
      <c r="Q30" s="59" t="n">
        <v>0.0194052462683067</v>
      </c>
      <c r="R30" t="n">
        <v>208</v>
      </c>
      <c r="S30" s="59"/>
      <c r="T30"/>
      <c r="U30" s="59" t="n">
        <v>0.0194052462683067</v>
      </c>
      <c r="V30" t="n">
        <v>208</v>
      </c>
      <c r="W30" s="59" t="n">
        <v>0.0620537491719191</v>
      </c>
      <c r="X30" t="n">
        <v>208</v>
      </c>
      <c r="Y30" s="59" t="n">
        <v>1</v>
      </c>
      <c r="Z30" t="n">
        <v>208</v>
      </c>
      <c r="AA30" s="59" t="n">
        <v>0.0043009964628651</v>
      </c>
      <c r="AB30" t="n">
        <v>224</v>
      </c>
      <c r="AC30" s="59" t="n">
        <v>0.00767907761826391</v>
      </c>
      <c r="AD30" t="n">
        <v>224</v>
      </c>
      <c r="AE30" s="59" t="n">
        <v>0.00174436127148403</v>
      </c>
      <c r="AF30" t="n">
        <v>224</v>
      </c>
      <c r="AG30" s="59" t="n">
        <v>0.00255663519138107</v>
      </c>
      <c r="AH30" t="n">
        <v>224</v>
      </c>
      <c r="AI30" s="59" t="n">
        <v>0.0516286583004638</v>
      </c>
      <c r="AJ30" t="n">
        <v>224</v>
      </c>
      <c r="AK30" s="59" t="n">
        <v>1</v>
      </c>
      <c r="AL30" s="12" t="n">
        <v>224</v>
      </c>
    </row>
    <row r="31" outlineLevel="1" hidden="0">
      <c r="A31" s="7" t="s">
        <v>14</v>
      </c>
      <c r="B31" t="s">
        <v>31</v>
      </c>
      <c r="C31" s="59" t="n">
        <v>0.00939819800851413</v>
      </c>
      <c r="D31" t="n">
        <v>517</v>
      </c>
      <c r="E31" s="59" t="n">
        <v>0.0119909282125113</v>
      </c>
      <c r="F31" t="n">
        <v>517</v>
      </c>
      <c r="G31" s="59" t="n">
        <v>0.00524982968211869</v>
      </c>
      <c r="H31" t="n">
        <v>517</v>
      </c>
      <c r="I31" s="59" t="n">
        <v>0.0051854604079943</v>
      </c>
      <c r="J31" t="n">
        <v>517</v>
      </c>
      <c r="K31" s="59" t="n">
        <v>0.0275470842551869</v>
      </c>
      <c r="L31" t="n">
        <v>517</v>
      </c>
      <c r="M31" s="59" t="n">
        <v>0.999481453959201</v>
      </c>
      <c r="N31" t="n">
        <v>517</v>
      </c>
      <c r="O31" s="59" t="n">
        <v>0.00698218785032948</v>
      </c>
      <c r="P31" t="n">
        <v>239</v>
      </c>
      <c r="Q31" s="59" t="n">
        <v>0.00814588582538439</v>
      </c>
      <c r="R31" t="n">
        <v>239</v>
      </c>
      <c r="S31" s="59" t="n">
        <v>0.00116369797505491</v>
      </c>
      <c r="T31" t="n">
        <v>239</v>
      </c>
      <c r="U31" s="59" t="n">
        <v>0.00698218785032948</v>
      </c>
      <c r="V31" t="n">
        <v>239</v>
      </c>
      <c r="W31" s="59" t="n">
        <v>0.0235929957795224</v>
      </c>
      <c r="X31" t="n">
        <v>239</v>
      </c>
      <c r="Y31" s="59" t="n">
        <v>1</v>
      </c>
      <c r="Z31" t="n">
        <v>239</v>
      </c>
      <c r="AA31" s="59" t="n">
        <v>0.0113400855477705</v>
      </c>
      <c r="AB31" t="n">
        <v>278</v>
      </c>
      <c r="AC31" s="59" t="n">
        <v>0.015081411865562</v>
      </c>
      <c r="AD31" t="n">
        <v>278</v>
      </c>
      <c r="AE31" s="59" t="n">
        <v>0.00853409080942683</v>
      </c>
      <c r="AF31" t="n">
        <v>278</v>
      </c>
      <c r="AG31" s="59" t="n">
        <v>0.00374132631779154</v>
      </c>
      <c r="AH31" t="n">
        <v>278</v>
      </c>
      <c r="AI31" s="59" t="n">
        <v>0.0307252145763687</v>
      </c>
      <c r="AJ31" t="n">
        <v>278</v>
      </c>
      <c r="AK31" s="59" t="n">
        <v>0.999064668420552</v>
      </c>
      <c r="AL31" s="12" t="n">
        <v>278</v>
      </c>
    </row>
    <row r="32" outlineLevel="1" hidden="0">
      <c r="A32" s="7" t="s">
        <v>14</v>
      </c>
      <c r="B32" t="s">
        <v>32</v>
      </c>
      <c r="C32" s="59" t="n">
        <v>0.00629805363793016</v>
      </c>
      <c r="D32" t="n">
        <v>544</v>
      </c>
      <c r="E32" s="59" t="n">
        <v>0.0170745956251856</v>
      </c>
      <c r="F32" t="n">
        <v>544</v>
      </c>
      <c r="G32" s="59"/>
      <c r="H32"/>
      <c r="I32" s="59" t="n">
        <v>0.00629805363793016</v>
      </c>
      <c r="J32" t="n">
        <v>544</v>
      </c>
      <c r="K32" s="59" t="n">
        <v>0.0757326134061854</v>
      </c>
      <c r="L32" t="n">
        <v>544</v>
      </c>
      <c r="M32" s="59" t="n">
        <v>1</v>
      </c>
      <c r="N32" t="n">
        <v>544</v>
      </c>
      <c r="O32" s="59" t="n">
        <v>0.00109753055833691</v>
      </c>
      <c r="P32" t="n">
        <v>276</v>
      </c>
      <c r="Q32" s="59" t="n">
        <v>0.0116674317885407</v>
      </c>
      <c r="R32" t="n">
        <v>276</v>
      </c>
      <c r="S32" s="59"/>
      <c r="T32"/>
      <c r="U32" s="59" t="n">
        <v>0.00109753055833691</v>
      </c>
      <c r="V32" t="n">
        <v>276</v>
      </c>
      <c r="W32" s="59" t="n">
        <v>0.0584852713550846</v>
      </c>
      <c r="X32" t="n">
        <v>276</v>
      </c>
      <c r="Y32" s="59" t="n">
        <v>1</v>
      </c>
      <c r="Z32" t="n">
        <v>276</v>
      </c>
      <c r="AA32" s="59" t="n">
        <v>0.0117059709114676</v>
      </c>
      <c r="AB32" t="n">
        <v>268</v>
      </c>
      <c r="AC32" s="59" t="n">
        <v>0.0226973943832148</v>
      </c>
      <c r="AD32" t="n">
        <v>268</v>
      </c>
      <c r="AE32" s="59"/>
      <c r="AF32"/>
      <c r="AG32" s="59" t="n">
        <v>0.0117059709114676</v>
      </c>
      <c r="AH32" t="n">
        <v>268</v>
      </c>
      <c r="AI32" s="59" t="n">
        <v>0.0936677706150354</v>
      </c>
      <c r="AJ32" t="n">
        <v>268</v>
      </c>
      <c r="AK32" s="59" t="n">
        <v>1</v>
      </c>
      <c r="AL32" s="12" t="n">
        <v>268</v>
      </c>
    </row>
    <row r="33" outlineLevel="1" hidden="0">
      <c r="A33" s="7" t="s">
        <v>14</v>
      </c>
      <c r="B33" t="s">
        <v>33</v>
      </c>
      <c r="C33" s="59" t="n">
        <v>0.0269058671866549</v>
      </c>
      <c r="D33" t="n">
        <v>325</v>
      </c>
      <c r="E33" s="59" t="n">
        <v>0.0313588043078589</v>
      </c>
      <c r="F33" t="n">
        <v>325</v>
      </c>
      <c r="G33" s="59" t="n">
        <v>0.0161268743881997</v>
      </c>
      <c r="H33" t="n">
        <v>325</v>
      </c>
      <c r="I33" s="59" t="n">
        <v>0.0210717637173864</v>
      </c>
      <c r="J33" t="n">
        <v>325</v>
      </c>
      <c r="K33" s="59" t="n">
        <v>0.0534143005648136</v>
      </c>
      <c r="L33" t="n">
        <v>325</v>
      </c>
      <c r="M33" s="59" t="n">
        <v>1</v>
      </c>
      <c r="N33" t="n">
        <v>325</v>
      </c>
      <c r="O33" s="59" t="n">
        <v>0.0252821426160101</v>
      </c>
      <c r="P33" t="n">
        <v>174</v>
      </c>
      <c r="Q33" s="59" t="n">
        <v>0.0280280093274958</v>
      </c>
      <c r="R33" t="n">
        <v>174</v>
      </c>
      <c r="S33" s="59" t="n">
        <v>0.010807014783311</v>
      </c>
      <c r="T33" t="n">
        <v>174</v>
      </c>
      <c r="U33" s="59" t="n">
        <v>0.0144751278326991</v>
      </c>
      <c r="V33" t="n">
        <v>174</v>
      </c>
      <c r="W33" s="59" t="n">
        <v>0.0350778201163834</v>
      </c>
      <c r="X33" t="n">
        <v>174</v>
      </c>
      <c r="Y33" s="59" t="n">
        <v>1</v>
      </c>
      <c r="Z33" t="n">
        <v>174</v>
      </c>
      <c r="AA33" s="59" t="n">
        <v>0.0288107829497783</v>
      </c>
      <c r="AB33" t="n">
        <v>151</v>
      </c>
      <c r="AC33" s="59" t="n">
        <v>0.0352664152269367</v>
      </c>
      <c r="AD33" t="n">
        <v>151</v>
      </c>
      <c r="AE33" s="59" t="n">
        <v>0.0223680094933564</v>
      </c>
      <c r="AF33" t="n">
        <v>151</v>
      </c>
      <c r="AG33" s="59" t="n">
        <v>0.0288107829497783</v>
      </c>
      <c r="AH33" t="n">
        <v>151</v>
      </c>
      <c r="AI33" s="59" t="n">
        <v>0.0749262313921895</v>
      </c>
      <c r="AJ33" t="n">
        <v>151</v>
      </c>
      <c r="AK33" s="59" t="n">
        <v>1</v>
      </c>
      <c r="AL33" s="12" t="n">
        <v>151</v>
      </c>
    </row>
    <row r="34" outlineLevel="1" hidden="0">
      <c r="A34" s="7" t="s">
        <v>14</v>
      </c>
      <c r="B34" t="s">
        <v>34</v>
      </c>
      <c r="C34" s="59" t="n">
        <v>0.0546892996066823</v>
      </c>
      <c r="D34" t="n">
        <v>687</v>
      </c>
      <c r="E34" s="59" t="n">
        <v>0.0633058152979869</v>
      </c>
      <c r="F34" t="n">
        <v>687</v>
      </c>
      <c r="G34" s="59" t="n">
        <v>0.0189576421114718</v>
      </c>
      <c r="H34" t="n">
        <v>687</v>
      </c>
      <c r="I34" s="59" t="n">
        <v>0.0430735874933698</v>
      </c>
      <c r="J34" t="n">
        <v>687</v>
      </c>
      <c r="K34" s="59" t="n">
        <v>0.0981499425263686</v>
      </c>
      <c r="L34" t="n">
        <v>687</v>
      </c>
      <c r="M34" s="59" t="n">
        <v>1</v>
      </c>
      <c r="N34" t="n">
        <v>687</v>
      </c>
      <c r="O34" s="59" t="n">
        <v>0.0454537222948824</v>
      </c>
      <c r="P34" t="n">
        <v>324</v>
      </c>
      <c r="Q34" s="59" t="n">
        <v>0.0587088908496053</v>
      </c>
      <c r="R34" t="n">
        <v>324</v>
      </c>
      <c r="S34" s="59" t="n">
        <v>0.0160720677977615</v>
      </c>
      <c r="T34" t="n">
        <v>324</v>
      </c>
      <c r="U34" s="59" t="n">
        <v>0.0399058803911367</v>
      </c>
      <c r="V34" t="n">
        <v>324</v>
      </c>
      <c r="W34" s="59" t="n">
        <v>0.0977310537386467</v>
      </c>
      <c r="X34" t="n">
        <v>324</v>
      </c>
      <c r="Y34" s="59" t="n">
        <v>1</v>
      </c>
      <c r="Z34" t="n">
        <v>324</v>
      </c>
      <c r="AA34" s="59" t="n">
        <v>0.0624117239475998</v>
      </c>
      <c r="AB34" t="n">
        <v>363</v>
      </c>
      <c r="AC34" s="59" t="n">
        <v>0.0671495816436147</v>
      </c>
      <c r="AD34" t="n">
        <v>363</v>
      </c>
      <c r="AE34" s="59" t="n">
        <v>0.0213704451843508</v>
      </c>
      <c r="AF34" t="n">
        <v>363</v>
      </c>
      <c r="AG34" s="59" t="n">
        <v>0.0457222988413791</v>
      </c>
      <c r="AH34" t="n">
        <v>363</v>
      </c>
      <c r="AI34" s="59" t="n">
        <v>0.0985002007572544</v>
      </c>
      <c r="AJ34" t="n">
        <v>363</v>
      </c>
      <c r="AK34" s="59" t="n">
        <v>1</v>
      </c>
      <c r="AL34" s="12" t="n">
        <v>363</v>
      </c>
    </row>
    <row r="35" outlineLevel="1" hidden="0">
      <c r="A35" s="7" t="s">
        <v>14</v>
      </c>
      <c r="B35" t="s">
        <v>35</v>
      </c>
      <c r="C35" s="59" t="n">
        <v>0.0275912307690379</v>
      </c>
      <c r="D35" t="n">
        <v>1049</v>
      </c>
      <c r="E35" s="59" t="n">
        <v>0.0368551507114844</v>
      </c>
      <c r="F35" t="n">
        <v>1049</v>
      </c>
      <c r="G35" s="59" t="n">
        <v>0.0108700936467599</v>
      </c>
      <c r="H35" t="n">
        <v>1049</v>
      </c>
      <c r="I35" s="59" t="n">
        <v>0.0219220065872214</v>
      </c>
      <c r="J35" t="n">
        <v>1049</v>
      </c>
      <c r="K35" s="59" t="n">
        <v>0.0884571056274723</v>
      </c>
      <c r="L35" t="n">
        <v>1049</v>
      </c>
      <c r="M35" s="59" t="n">
        <v>0.999417598805671</v>
      </c>
      <c r="N35" t="n">
        <v>1049</v>
      </c>
      <c r="O35" s="59" t="n">
        <v>0.043735261002769</v>
      </c>
      <c r="P35" t="n">
        <v>509</v>
      </c>
      <c r="Q35" s="59" t="n">
        <v>0.0459813786439194</v>
      </c>
      <c r="R35" t="n">
        <v>509</v>
      </c>
      <c r="S35" s="59" t="n">
        <v>0.0209098506794164</v>
      </c>
      <c r="T35" t="n">
        <v>509</v>
      </c>
      <c r="U35" s="59" t="n">
        <v>0.0330032836142481</v>
      </c>
      <c r="V35" t="n">
        <v>509</v>
      </c>
      <c r="W35" s="59" t="n">
        <v>0.0639021357075466</v>
      </c>
      <c r="X35" t="n">
        <v>509</v>
      </c>
      <c r="Y35" s="59" t="n">
        <v>0.998777622780216</v>
      </c>
      <c r="Z35" t="n">
        <v>509</v>
      </c>
      <c r="AA35" s="59" t="n">
        <v>0.0128995827768975</v>
      </c>
      <c r="AB35" t="n">
        <v>540</v>
      </c>
      <c r="AC35" s="59" t="n">
        <v>0.0285499551476636</v>
      </c>
      <c r="AD35" t="n">
        <v>540</v>
      </c>
      <c r="AE35" s="59" t="n">
        <v>0.0017335537546195</v>
      </c>
      <c r="AF35" t="n">
        <v>540</v>
      </c>
      <c r="AG35" s="59" t="n">
        <v>0.0118376460510085</v>
      </c>
      <c r="AH35" t="n">
        <v>540</v>
      </c>
      <c r="AI35" s="59" t="n">
        <v>0.110803011160243</v>
      </c>
      <c r="AJ35" t="n">
        <v>540</v>
      </c>
      <c r="AK35" s="59" t="n">
        <v>1</v>
      </c>
      <c r="AL35" s="12" t="n">
        <v>540</v>
      </c>
    </row>
    <row r="36" outlineLevel="1" hidden="0">
      <c r="A36" s="7" t="s">
        <v>14</v>
      </c>
      <c r="B36" t="s">
        <v>36</v>
      </c>
      <c r="C36" s="59" t="n">
        <v>0.0511629563303963</v>
      </c>
      <c r="D36" t="n">
        <v>608</v>
      </c>
      <c r="E36" s="59" t="n">
        <v>0.0953565077053045</v>
      </c>
      <c r="F36" t="n">
        <v>608</v>
      </c>
      <c r="G36" s="59" t="n">
        <v>0.0153817556595779</v>
      </c>
      <c r="H36" t="n">
        <v>608</v>
      </c>
      <c r="I36" s="59" t="n">
        <v>0.0415824876592521</v>
      </c>
      <c r="J36" t="n">
        <v>608</v>
      </c>
      <c r="K36" s="59" t="n">
        <v>0.163127308734634</v>
      </c>
      <c r="L36" t="n">
        <v>608</v>
      </c>
      <c r="M36" s="59" t="n">
        <v>0.998216687227549</v>
      </c>
      <c r="N36" t="n">
        <v>608</v>
      </c>
      <c r="O36" s="59" t="n">
        <v>0.0470493116628986</v>
      </c>
      <c r="P36" t="n">
        <v>280</v>
      </c>
      <c r="Q36" s="59" t="n">
        <v>0.0868010722659742</v>
      </c>
      <c r="R36" t="n">
        <v>280</v>
      </c>
      <c r="S36" s="59" t="n">
        <v>0.017182186651785</v>
      </c>
      <c r="T36" t="n">
        <v>280</v>
      </c>
      <c r="U36" s="59" t="n">
        <v>0.038517885427347</v>
      </c>
      <c r="V36" t="n">
        <v>280</v>
      </c>
      <c r="W36" s="59" t="n">
        <v>0.159389621479986</v>
      </c>
      <c r="X36" t="n">
        <v>280</v>
      </c>
      <c r="Y36" s="59" t="n">
        <v>0.99616050011463</v>
      </c>
      <c r="Z36" t="n">
        <v>280</v>
      </c>
      <c r="AA36" s="59" t="n">
        <v>0.0547306837180374</v>
      </c>
      <c r="AB36" t="n">
        <v>328</v>
      </c>
      <c r="AC36" s="59" t="n">
        <v>0.102776560674697</v>
      </c>
      <c r="AD36" t="n">
        <v>328</v>
      </c>
      <c r="AE36" s="59" t="n">
        <v>0.0138202578930822</v>
      </c>
      <c r="AF36" t="n">
        <v>328</v>
      </c>
      <c r="AG36" s="59" t="n">
        <v>0.0442403898843474</v>
      </c>
      <c r="AH36" t="n">
        <v>328</v>
      </c>
      <c r="AI36" s="59" t="n">
        <v>0.166368971606054</v>
      </c>
      <c r="AJ36" t="n">
        <v>328</v>
      </c>
      <c r="AK36" s="59" t="n">
        <v>1</v>
      </c>
      <c r="AL36" s="12" t="n">
        <v>328</v>
      </c>
    </row>
    <row r="37" outlineLevel="1" hidden="0">
      <c r="A37" s="7" t="s">
        <v>14</v>
      </c>
      <c r="B37" t="s">
        <v>37</v>
      </c>
      <c r="C37" s="59" t="n">
        <v>0.0252822280070071</v>
      </c>
      <c r="D37" t="n">
        <v>494</v>
      </c>
      <c r="E37" s="59" t="n">
        <v>0.032410685580316</v>
      </c>
      <c r="F37" t="n">
        <v>494</v>
      </c>
      <c r="G37" s="59"/>
      <c r="H37"/>
      <c r="I37" s="59" t="n">
        <v>0.0252822280070071</v>
      </c>
      <c r="J37" t="n">
        <v>494</v>
      </c>
      <c r="K37" s="59" t="n">
        <v>0.0656764638917432</v>
      </c>
      <c r="L37" t="n">
        <v>494</v>
      </c>
      <c r="M37" s="59" t="n">
        <v>1</v>
      </c>
      <c r="N37" t="n">
        <v>494</v>
      </c>
      <c r="O37" s="59" t="n">
        <v>0.02653377528288</v>
      </c>
      <c r="P37" t="n">
        <v>237</v>
      </c>
      <c r="Q37" s="59" t="n">
        <v>0.02653377528288</v>
      </c>
      <c r="R37" t="n">
        <v>237</v>
      </c>
      <c r="S37" s="59"/>
      <c r="T37"/>
      <c r="U37" s="59" t="n">
        <v>0.02653377528288</v>
      </c>
      <c r="V37" t="n">
        <v>237</v>
      </c>
      <c r="W37" s="59" t="n">
        <v>0.050007697692005</v>
      </c>
      <c r="X37" t="n">
        <v>237</v>
      </c>
      <c r="Y37" s="59" t="n">
        <v>1</v>
      </c>
      <c r="Z37" t="n">
        <v>237</v>
      </c>
      <c r="AA37" s="59" t="n">
        <v>0.0241279627069389</v>
      </c>
      <c r="AB37" t="n">
        <v>257</v>
      </c>
      <c r="AC37" s="59" t="n">
        <v>0.0378307873684905</v>
      </c>
      <c r="AD37" t="n">
        <v>257</v>
      </c>
      <c r="AE37" s="59"/>
      <c r="AF37"/>
      <c r="AG37" s="59" t="n">
        <v>0.0241279627069389</v>
      </c>
      <c r="AH37" t="n">
        <v>257</v>
      </c>
      <c r="AI37" s="59" t="n">
        <v>0.0801273068346312</v>
      </c>
      <c r="AJ37" t="n">
        <v>257</v>
      </c>
      <c r="AK37" s="59" t="n">
        <v>1</v>
      </c>
      <c r="AL37" s="12" t="n">
        <v>257</v>
      </c>
    </row>
    <row r="38" outlineLevel="1" hidden="0">
      <c r="A38" s="7" t="s">
        <v>14</v>
      </c>
      <c r="B38" t="s">
        <v>38</v>
      </c>
      <c r="C38" s="59" t="n">
        <v>0.0317225674721351</v>
      </c>
      <c r="D38" t="n">
        <v>1412</v>
      </c>
      <c r="E38" s="59" t="n">
        <v>0.0379659778421592</v>
      </c>
      <c r="F38" t="n">
        <v>1412</v>
      </c>
      <c r="G38" s="59" t="n">
        <v>0.00396912504607932</v>
      </c>
      <c r="H38" t="n">
        <v>1412</v>
      </c>
      <c r="I38" s="59" t="n">
        <v>0.0307418496887353</v>
      </c>
      <c r="J38" t="n">
        <v>1412</v>
      </c>
      <c r="K38" s="59" t="n">
        <v>0.079842212949793</v>
      </c>
      <c r="L38" t="n">
        <v>1412</v>
      </c>
      <c r="M38" s="59" t="n">
        <v>0.999292499575174</v>
      </c>
      <c r="N38" t="n">
        <v>1412</v>
      </c>
      <c r="O38" s="59" t="n">
        <v>0.0346021684062586</v>
      </c>
      <c r="P38" t="n">
        <v>741</v>
      </c>
      <c r="Q38" s="59" t="n">
        <v>0.0418467682916513</v>
      </c>
      <c r="R38" t="n">
        <v>741</v>
      </c>
      <c r="S38" s="59" t="n">
        <v>0.0021203835618129</v>
      </c>
      <c r="T38" t="n">
        <v>741</v>
      </c>
      <c r="U38" s="59" t="n">
        <v>0.0346021684062586</v>
      </c>
      <c r="V38" t="n">
        <v>741</v>
      </c>
      <c r="W38" s="59" t="n">
        <v>0.0911152997304955</v>
      </c>
      <c r="X38" t="n">
        <v>741</v>
      </c>
      <c r="Y38" s="59" t="n">
        <v>0.999295016075022</v>
      </c>
      <c r="Z38" t="n">
        <v>741</v>
      </c>
      <c r="AA38" s="59" t="n">
        <v>0.0288223349327464</v>
      </c>
      <c r="AB38" t="n">
        <v>671</v>
      </c>
      <c r="AC38" s="59" t="n">
        <v>0.0340573825202204</v>
      </c>
      <c r="AD38" t="n">
        <v>671</v>
      </c>
      <c r="AE38" s="59" t="n">
        <v>0.00583111229092618</v>
      </c>
      <c r="AF38" t="n">
        <v>671</v>
      </c>
      <c r="AG38" s="59" t="n">
        <v>0.0268538727734966</v>
      </c>
      <c r="AH38" t="n">
        <v>671</v>
      </c>
      <c r="AI38" s="59" t="n">
        <v>0.0684883573813662</v>
      </c>
      <c r="AJ38" t="n">
        <v>671</v>
      </c>
      <c r="AK38" s="59" t="n">
        <v>0.999289965045247</v>
      </c>
      <c r="AL38" s="12" t="n">
        <v>671</v>
      </c>
    </row>
    <row r="39" outlineLevel="1" hidden="0">
      <c r="A39" s="7" t="s">
        <v>14</v>
      </c>
      <c r="B39" t="s">
        <v>39</v>
      </c>
      <c r="C39" s="59" t="n">
        <v>0.0403659137248876</v>
      </c>
      <c r="D39" t="n">
        <v>545</v>
      </c>
      <c r="E39" s="59" t="n">
        <v>0.0609039674142646</v>
      </c>
      <c r="F39" t="n">
        <v>545</v>
      </c>
      <c r="G39" s="59" t="n">
        <v>0.00950954705553368</v>
      </c>
      <c r="H39" t="n">
        <v>545</v>
      </c>
      <c r="I39" s="59" t="n">
        <v>0.0385769920782183</v>
      </c>
      <c r="J39" t="n">
        <v>545</v>
      </c>
      <c r="K39" s="59" t="n">
        <v>0.0766076080873134</v>
      </c>
      <c r="L39" t="n">
        <v>545</v>
      </c>
      <c r="M39" s="59" t="n">
        <v>0.992471152203963</v>
      </c>
      <c r="N39" t="n">
        <v>545</v>
      </c>
      <c r="O39" s="59" t="n">
        <v>0.0499695533415161</v>
      </c>
      <c r="P39" t="n">
        <v>261</v>
      </c>
      <c r="Q39" s="59" t="n">
        <v>0.0645532415683191</v>
      </c>
      <c r="R39" t="n">
        <v>261</v>
      </c>
      <c r="S39" s="59" t="n">
        <v>0.0127552360716505</v>
      </c>
      <c r="T39" t="n">
        <v>261</v>
      </c>
      <c r="U39" s="59" t="n">
        <v>0.0499695533415161</v>
      </c>
      <c r="V39" t="n">
        <v>261</v>
      </c>
      <c r="W39" s="59" t="n">
        <v>0.0591718606564265</v>
      </c>
      <c r="X39" t="n">
        <v>261</v>
      </c>
      <c r="Y39" s="59" t="n">
        <v>0.985416311773197</v>
      </c>
      <c r="Z39" t="n">
        <v>261</v>
      </c>
      <c r="AA39" s="59" t="n">
        <v>0.0325082163779029</v>
      </c>
      <c r="AB39" t="n">
        <v>284</v>
      </c>
      <c r="AC39" s="59" t="n">
        <v>0.0579181315246001</v>
      </c>
      <c r="AD39" t="n">
        <v>284</v>
      </c>
      <c r="AE39" s="59" t="n">
        <v>0.00685392450104723</v>
      </c>
      <c r="AF39" t="n">
        <v>284</v>
      </c>
      <c r="AG39" s="59" t="n">
        <v>0.0292555991493361</v>
      </c>
      <c r="AH39" t="n">
        <v>284</v>
      </c>
      <c r="AI39" s="59" t="n">
        <v>0.090873535568927</v>
      </c>
      <c r="AJ39" t="n">
        <v>284</v>
      </c>
      <c r="AK39" s="59" t="n">
        <v>0.998243422212954</v>
      </c>
      <c r="AL39" s="12" t="n">
        <v>284</v>
      </c>
    </row>
    <row r="40" outlineLevel="1" hidden="0">
      <c r="A40" s="7" t="s">
        <v>14</v>
      </c>
      <c r="B40" t="s">
        <v>40</v>
      </c>
      <c r="C40" s="59" t="n">
        <v>0.0253113770522912</v>
      </c>
      <c r="D40" t="n">
        <v>489</v>
      </c>
      <c r="E40" s="59" t="n">
        <v>0.0264800454324009</v>
      </c>
      <c r="F40" t="n">
        <v>489</v>
      </c>
      <c r="G40" s="59"/>
      <c r="H40"/>
      <c r="I40" s="59" t="n">
        <v>0.0253113770522912</v>
      </c>
      <c r="J40" t="n">
        <v>489</v>
      </c>
      <c r="K40" s="59" t="n">
        <v>0.058475344681478</v>
      </c>
      <c r="L40" t="n">
        <v>489</v>
      </c>
      <c r="M40" s="59" t="n">
        <v>1</v>
      </c>
      <c r="N40" t="n">
        <v>489</v>
      </c>
      <c r="O40" s="59" t="n">
        <v>0.0109015509603817</v>
      </c>
      <c r="P40" t="n">
        <v>239</v>
      </c>
      <c r="Q40" s="59" t="n">
        <v>0.0132294768341256</v>
      </c>
      <c r="R40" t="n">
        <v>239</v>
      </c>
      <c r="S40" s="59"/>
      <c r="T40"/>
      <c r="U40" s="59" t="n">
        <v>0.0109015509603817</v>
      </c>
      <c r="V40" t="n">
        <v>239</v>
      </c>
      <c r="W40" s="59" t="n">
        <v>0.0496511229417997</v>
      </c>
      <c r="X40" t="n">
        <v>239</v>
      </c>
      <c r="Y40" s="59" t="n">
        <v>1</v>
      </c>
      <c r="Z40" t="n">
        <v>239</v>
      </c>
      <c r="AA40" s="59" t="n">
        <v>0.039838182536811</v>
      </c>
      <c r="AB40" t="n">
        <v>250</v>
      </c>
      <c r="AC40" s="59" t="n">
        <v>0.039838182536811</v>
      </c>
      <c r="AD40" t="n">
        <v>250</v>
      </c>
      <c r="AE40" s="59"/>
      <c r="AF40"/>
      <c r="AG40" s="59" t="n">
        <v>0.039838182536811</v>
      </c>
      <c r="AH40" t="n">
        <v>250</v>
      </c>
      <c r="AI40" s="59" t="n">
        <v>0.0673712017131287</v>
      </c>
      <c r="AJ40" t="n">
        <v>250</v>
      </c>
      <c r="AK40" s="59" t="n">
        <v>1</v>
      </c>
      <c r="AL40" s="12" t="n">
        <v>250</v>
      </c>
    </row>
    <row r="41" outlineLevel="1" hidden="0">
      <c r="A41" s="7" t="s">
        <v>14</v>
      </c>
      <c r="B41" t="s">
        <v>41</v>
      </c>
      <c r="C41" s="59" t="n">
        <v>0.0572221065321081</v>
      </c>
      <c r="D41" t="n">
        <v>318</v>
      </c>
      <c r="E41" s="59" t="n">
        <v>0.0634607089327428</v>
      </c>
      <c r="F41" t="n">
        <v>318</v>
      </c>
      <c r="G41" s="59" t="n">
        <v>0.0254533502840679</v>
      </c>
      <c r="H41" t="n">
        <v>318</v>
      </c>
      <c r="I41" s="59" t="n">
        <v>0.038007358648675</v>
      </c>
      <c r="J41" t="n">
        <v>318</v>
      </c>
      <c r="K41" s="59" t="n">
        <v>0.108060307212111</v>
      </c>
      <c r="L41" t="n">
        <v>318</v>
      </c>
      <c r="M41" s="59" t="n">
        <v>0.996631228458918</v>
      </c>
      <c r="N41" t="n">
        <v>318</v>
      </c>
      <c r="O41" s="59" t="n">
        <v>0.0271161996079312</v>
      </c>
      <c r="P41" t="n">
        <v>149</v>
      </c>
      <c r="Q41" s="59" t="n">
        <v>0.0271161996079312</v>
      </c>
      <c r="R41" t="n">
        <v>149</v>
      </c>
      <c r="S41" s="59" t="n">
        <v>0.00669155910779433</v>
      </c>
      <c r="T41" t="n">
        <v>149</v>
      </c>
      <c r="U41" s="59" t="n">
        <v>0.0204246405001369</v>
      </c>
      <c r="V41" t="n">
        <v>149</v>
      </c>
      <c r="W41" s="59" t="n">
        <v>0.0658835146827013</v>
      </c>
      <c r="X41" t="n">
        <v>149</v>
      </c>
      <c r="Y41" s="59" t="n">
        <v>1</v>
      </c>
      <c r="Z41" t="n">
        <v>149</v>
      </c>
      <c r="AA41" s="59" t="n">
        <v>0.0835106316155487</v>
      </c>
      <c r="AB41" t="n">
        <v>169</v>
      </c>
      <c r="AC41" s="59" t="n">
        <v>0.0951967914044312</v>
      </c>
      <c r="AD41" t="n">
        <v>169</v>
      </c>
      <c r="AE41" s="59" t="n">
        <v>0.0418361757272587</v>
      </c>
      <c r="AF41" t="n">
        <v>169</v>
      </c>
      <c r="AG41" s="59" t="n">
        <v>0.0533606156771725</v>
      </c>
      <c r="AH41" t="n">
        <v>169</v>
      </c>
      <c r="AI41" s="59" t="n">
        <v>0.144889148513619</v>
      </c>
      <c r="AJ41" t="n">
        <v>169</v>
      </c>
      <c r="AK41" s="59" t="n">
        <v>0.993689611872474</v>
      </c>
      <c r="AL41" s="12" t="n">
        <v>169</v>
      </c>
    </row>
    <row r="42" outlineLevel="1" hidden="0">
      <c r="A42" s="7" t="s">
        <v>14</v>
      </c>
      <c r="B42" t="s">
        <v>42</v>
      </c>
      <c r="C42" s="59" t="n">
        <v>0.0360764284646645</v>
      </c>
      <c r="D42" t="n">
        <v>890</v>
      </c>
      <c r="E42" s="59" t="n">
        <v>0.049780549350669</v>
      </c>
      <c r="F42" t="n">
        <v>890</v>
      </c>
      <c r="G42" s="59" t="n">
        <v>0.00564950569384331</v>
      </c>
      <c r="H42" t="n">
        <v>890</v>
      </c>
      <c r="I42" s="59" t="n">
        <v>0.0333045765438464</v>
      </c>
      <c r="J42" t="n">
        <v>890</v>
      </c>
      <c r="K42" s="59" t="n">
        <v>0.125763876744295</v>
      </c>
      <c r="L42" t="n">
        <v>890</v>
      </c>
      <c r="M42" s="59" t="n">
        <v>1</v>
      </c>
      <c r="N42" t="n">
        <v>890</v>
      </c>
      <c r="O42" s="59" t="n">
        <v>0.0272293840145214</v>
      </c>
      <c r="P42" t="n">
        <v>446</v>
      </c>
      <c r="Q42" s="59" t="n">
        <v>0.0378542678478313</v>
      </c>
      <c r="R42" t="n">
        <v>446</v>
      </c>
      <c r="S42" s="59" t="n">
        <v>0.00289313415514393</v>
      </c>
      <c r="T42" t="n">
        <v>446</v>
      </c>
      <c r="U42" s="59" t="n">
        <v>0.0243362498593775</v>
      </c>
      <c r="V42" t="n">
        <v>446</v>
      </c>
      <c r="W42" s="59" t="n">
        <v>0.100556996154397</v>
      </c>
      <c r="X42" t="n">
        <v>446</v>
      </c>
      <c r="Y42" s="59" t="n">
        <v>1</v>
      </c>
      <c r="Z42" t="n">
        <v>446</v>
      </c>
      <c r="AA42" s="59" t="n">
        <v>0.0447850964870066</v>
      </c>
      <c r="AB42" t="n">
        <v>444</v>
      </c>
      <c r="AC42" s="59" t="n">
        <v>0.061520292146641</v>
      </c>
      <c r="AD42" t="n">
        <v>444</v>
      </c>
      <c r="AE42" s="59" t="n">
        <v>0.00836276488588644</v>
      </c>
      <c r="AF42" t="n">
        <v>444</v>
      </c>
      <c r="AG42" s="59" t="n">
        <v>0.0421326298277529</v>
      </c>
      <c r="AH42" t="n">
        <v>444</v>
      </c>
      <c r="AI42" s="59" t="n">
        <v>0.150576497068892</v>
      </c>
      <c r="AJ42" t="n">
        <v>444</v>
      </c>
      <c r="AK42" s="59" t="n">
        <v>1</v>
      </c>
      <c r="AL42" s="12" t="n">
        <v>444</v>
      </c>
    </row>
    <row r="43" outlineLevel="1" hidden="0">
      <c r="A43" s="7" t="s">
        <v>14</v>
      </c>
      <c r="B43" t="s">
        <v>43</v>
      </c>
      <c r="C43" s="59" t="n">
        <v>0.0317437709082371</v>
      </c>
      <c r="D43" t="n">
        <v>450</v>
      </c>
      <c r="E43" s="59" t="n">
        <v>0.0434779330813236</v>
      </c>
      <c r="F43" t="n">
        <v>450</v>
      </c>
      <c r="G43" s="59" t="n">
        <v>0.0030697303872622</v>
      </c>
      <c r="H43" t="n">
        <v>450</v>
      </c>
      <c r="I43" s="59" t="n">
        <v>0.0317437709082371</v>
      </c>
      <c r="J43" t="n">
        <v>450</v>
      </c>
      <c r="K43" s="59" t="n">
        <v>0.161846679050678</v>
      </c>
      <c r="L43" t="n">
        <v>450</v>
      </c>
      <c r="M43" s="59" t="n">
        <v>0.994065551761465</v>
      </c>
      <c r="N43" t="n">
        <v>450</v>
      </c>
      <c r="O43" s="59" t="n">
        <v>0.0424949941688437</v>
      </c>
      <c r="P43" t="n">
        <v>247</v>
      </c>
      <c r="Q43" s="59" t="n">
        <v>0.050453726905645</v>
      </c>
      <c r="R43" t="n">
        <v>247</v>
      </c>
      <c r="S43" s="59" t="n">
        <v>0.00573661010656587</v>
      </c>
      <c r="T43" t="n">
        <v>247</v>
      </c>
      <c r="U43" s="59" t="n">
        <v>0.0424949941688437</v>
      </c>
      <c r="V43" t="n">
        <v>247</v>
      </c>
      <c r="W43" s="59" t="n">
        <v>0.154697199187543</v>
      </c>
      <c r="X43" t="n">
        <v>247</v>
      </c>
      <c r="Y43" s="59" t="n">
        <v>1</v>
      </c>
      <c r="Z43" t="n">
        <v>247</v>
      </c>
      <c r="AA43" s="59" t="n">
        <v>0.0193685008484605</v>
      </c>
      <c r="AB43" t="n">
        <v>203</v>
      </c>
      <c r="AC43" s="59" t="n">
        <v>0.0354483972448194</v>
      </c>
      <c r="AD43" t="n">
        <v>203</v>
      </c>
      <c r="AE43" s="59"/>
      <c r="AF43"/>
      <c r="AG43" s="59" t="n">
        <v>0.0193685008484605</v>
      </c>
      <c r="AH43" t="n">
        <v>203</v>
      </c>
      <c r="AI43" s="59" t="n">
        <v>0.170076137406121</v>
      </c>
      <c r="AJ43" t="n">
        <v>203</v>
      </c>
      <c r="AK43" s="59" t="n">
        <v>0.98723466397991</v>
      </c>
      <c r="AL43" s="12" t="n">
        <v>203</v>
      </c>
    </row>
    <row r="44" outlineLevel="1" hidden="0">
      <c r="A44" s="7" t="s">
        <v>14</v>
      </c>
      <c r="B44" t="s">
        <v>44</v>
      </c>
      <c r="C44" s="59" t="n">
        <v>0.0249052279089082</v>
      </c>
      <c r="D44" t="n">
        <v>283</v>
      </c>
      <c r="E44" s="59" t="n">
        <v>0.0460400615911876</v>
      </c>
      <c r="F44" t="n">
        <v>283</v>
      </c>
      <c r="G44" s="59" t="n">
        <v>0.007210225858259</v>
      </c>
      <c r="H44" t="n">
        <v>283</v>
      </c>
      <c r="I44" s="59" t="n">
        <v>0.0249052279089082</v>
      </c>
      <c r="J44" t="n">
        <v>283</v>
      </c>
      <c r="K44" s="59" t="n">
        <v>0.120259901425415</v>
      </c>
      <c r="L44" t="n">
        <v>283</v>
      </c>
      <c r="M44" s="59" t="n">
        <v>1</v>
      </c>
      <c r="N44" t="n">
        <v>283</v>
      </c>
      <c r="O44" s="59" t="n">
        <v>0.0219937305843815</v>
      </c>
      <c r="P44" t="n">
        <v>137</v>
      </c>
      <c r="Q44" s="59" t="n">
        <v>0.0365424419691184</v>
      </c>
      <c r="R44" t="n">
        <v>137</v>
      </c>
      <c r="S44" s="59" t="n">
        <v>0.00744501919964458</v>
      </c>
      <c r="T44" t="n">
        <v>137</v>
      </c>
      <c r="U44" s="59" t="n">
        <v>0.0219937305843815</v>
      </c>
      <c r="V44" t="n">
        <v>137</v>
      </c>
      <c r="W44" s="59" t="n">
        <v>0.0876335953229736</v>
      </c>
      <c r="X44" t="n">
        <v>137</v>
      </c>
      <c r="Y44" s="59" t="n">
        <v>1</v>
      </c>
      <c r="Z44" t="n">
        <v>137</v>
      </c>
      <c r="AA44" s="59" t="n">
        <v>0.0276387000064886</v>
      </c>
      <c r="AB44" t="n">
        <v>146</v>
      </c>
      <c r="AC44" s="59" t="n">
        <v>0.0549569436407287</v>
      </c>
      <c r="AD44" t="n">
        <v>146</v>
      </c>
      <c r="AE44" s="59" t="n">
        <v>0.00698978909468427</v>
      </c>
      <c r="AF44" t="n">
        <v>146</v>
      </c>
      <c r="AG44" s="59" t="n">
        <v>0.0276387000064886</v>
      </c>
      <c r="AH44" t="n">
        <v>146</v>
      </c>
      <c r="AI44" s="59" t="n">
        <v>0.150891252732818</v>
      </c>
      <c r="AJ44" t="n">
        <v>146</v>
      </c>
      <c r="AK44" s="59" t="n">
        <v>1</v>
      </c>
      <c r="AL44" s="12" t="n">
        <v>146</v>
      </c>
    </row>
    <row r="45" outlineLevel="1" hidden="0">
      <c r="A45" s="7" t="s">
        <v>14</v>
      </c>
      <c r="B45" t="s">
        <v>45</v>
      </c>
      <c r="C45" s="59" t="n">
        <v>0.0116026742532375</v>
      </c>
      <c r="D45" t="n">
        <v>813</v>
      </c>
      <c r="E45" s="59" t="n">
        <v>0.0170530022998801</v>
      </c>
      <c r="F45" t="n">
        <v>813</v>
      </c>
      <c r="G45" s="59" t="n">
        <v>0.00918136193319072</v>
      </c>
      <c r="H45" t="n">
        <v>813</v>
      </c>
      <c r="I45" s="59" t="n">
        <v>0.00493928510186395</v>
      </c>
      <c r="J45" t="n">
        <v>813</v>
      </c>
      <c r="K45" s="59" t="n">
        <v>0.0417202152429862</v>
      </c>
      <c r="L45" t="n">
        <v>813</v>
      </c>
      <c r="M45" s="59" t="n">
        <v>1</v>
      </c>
      <c r="N45" t="n">
        <v>813</v>
      </c>
      <c r="O45" s="59" t="n">
        <v>0.00855853363677004</v>
      </c>
      <c r="P45" t="n">
        <v>375</v>
      </c>
      <c r="Q45" s="59" t="n">
        <v>0.0101513655445387</v>
      </c>
      <c r="R45" t="n">
        <v>375</v>
      </c>
      <c r="S45" s="59" t="n">
        <v>0.00526533011660491</v>
      </c>
      <c r="T45" t="n">
        <v>375</v>
      </c>
      <c r="U45" s="59" t="n">
        <v>0.00647886733570252</v>
      </c>
      <c r="V45" t="n">
        <v>375</v>
      </c>
      <c r="W45" s="59" t="n">
        <v>0.0354524763118536</v>
      </c>
      <c r="X45" t="n">
        <v>375</v>
      </c>
      <c r="Y45" s="59" t="n">
        <v>1</v>
      </c>
      <c r="Z45" t="n">
        <v>375</v>
      </c>
      <c r="AA45" s="59" t="n">
        <v>0.0143926510499331</v>
      </c>
      <c r="AB45" t="n">
        <v>438</v>
      </c>
      <c r="AC45" s="59" t="n">
        <v>0.0233784020867564</v>
      </c>
      <c r="AD45" t="n">
        <v>438</v>
      </c>
      <c r="AE45" s="59" t="n">
        <v>0.0127704332935259</v>
      </c>
      <c r="AF45" t="n">
        <v>438</v>
      </c>
      <c r="AG45" s="59" t="n">
        <v>0.00352824689759104</v>
      </c>
      <c r="AH45" t="n">
        <v>438</v>
      </c>
      <c r="AI45" s="59" t="n">
        <v>0.0474646431091005</v>
      </c>
      <c r="AJ45" t="n">
        <v>438</v>
      </c>
      <c r="AK45" s="59" t="n">
        <v>1</v>
      </c>
      <c r="AL45" s="12" t="n">
        <v>438</v>
      </c>
    </row>
    <row r="46" outlineLevel="1" hidden="0">
      <c r="A46" s="7" t="s">
        <v>14</v>
      </c>
      <c r="B46" t="s">
        <v>46</v>
      </c>
      <c r="C46" s="59" t="n">
        <v>0.0183846005520041</v>
      </c>
      <c r="D46" t="n">
        <v>612</v>
      </c>
      <c r="E46" s="59" t="n">
        <v>0.0349651194367953</v>
      </c>
      <c r="F46" t="n">
        <v>612</v>
      </c>
      <c r="G46" s="59" t="n">
        <v>0.00213773214446773</v>
      </c>
      <c r="H46" t="n">
        <v>612</v>
      </c>
      <c r="I46" s="59" t="n">
        <v>0.0162468684075364</v>
      </c>
      <c r="J46" t="n">
        <v>612</v>
      </c>
      <c r="K46" s="59" t="n">
        <v>0.0980107125675226</v>
      </c>
      <c r="L46" t="n">
        <v>612</v>
      </c>
      <c r="M46" s="59" t="n">
        <v>0.995379826576035</v>
      </c>
      <c r="N46" t="n">
        <v>612</v>
      </c>
      <c r="O46" s="59" t="n">
        <v>0.0222139949088129</v>
      </c>
      <c r="P46" t="n">
        <v>306</v>
      </c>
      <c r="Q46" s="59" t="n">
        <v>0.0368571278749443</v>
      </c>
      <c r="R46" t="n">
        <v>306</v>
      </c>
      <c r="S46" s="59" t="n">
        <v>0.00209758728469909</v>
      </c>
      <c r="T46" t="n">
        <v>306</v>
      </c>
      <c r="U46" s="59" t="n">
        <v>0.0201164076241138</v>
      </c>
      <c r="V46" t="n">
        <v>306</v>
      </c>
      <c r="W46" s="59" t="n">
        <v>0.104390464136057</v>
      </c>
      <c r="X46" t="n">
        <v>306</v>
      </c>
      <c r="Y46" s="59" t="n">
        <v>0.992860010913041</v>
      </c>
      <c r="Z46" t="n">
        <v>306</v>
      </c>
      <c r="AA46" s="59" t="n">
        <v>0.0144057677491032</v>
      </c>
      <c r="AB46" t="n">
        <v>306</v>
      </c>
      <c r="AC46" s="59" t="n">
        <v>0.0329992771819521</v>
      </c>
      <c r="AD46" t="n">
        <v>306</v>
      </c>
      <c r="AE46" s="59" t="n">
        <v>0.00217944361892879</v>
      </c>
      <c r="AF46" t="n">
        <v>306</v>
      </c>
      <c r="AG46" s="59" t="n">
        <v>0.0122263241301744</v>
      </c>
      <c r="AH46" t="n">
        <v>306</v>
      </c>
      <c r="AI46" s="59" t="n">
        <v>0.0913819973060317</v>
      </c>
      <c r="AJ46" t="n">
        <v>306</v>
      </c>
      <c r="AK46" s="59" t="n">
        <v>0.997997975631214</v>
      </c>
      <c r="AL46" s="12" t="n">
        <v>306</v>
      </c>
    </row>
    <row r="47" outlineLevel="1" hidden="0">
      <c r="A47" s="8" t="s">
        <v>14</v>
      </c>
      <c r="B47" s="10" t="s">
        <v>47</v>
      </c>
      <c r="C47" s="58" t="n">
        <v>0.0170198811460257</v>
      </c>
      <c r="D47" s="10" t="n">
        <v>554</v>
      </c>
      <c r="E47" s="58" t="n">
        <v>0.0236976717501942</v>
      </c>
      <c r="F47" s="10" t="n">
        <v>554</v>
      </c>
      <c r="G47" s="58" t="n">
        <v>0.00332235983597404</v>
      </c>
      <c r="H47" s="10" t="n">
        <v>554</v>
      </c>
      <c r="I47" s="58" t="n">
        <v>0.0153587012280387</v>
      </c>
      <c r="J47" s="10" t="n">
        <v>554</v>
      </c>
      <c r="K47" s="58" t="n">
        <v>0.0654401759425497</v>
      </c>
      <c r="L47" s="10" t="n">
        <v>554</v>
      </c>
      <c r="M47" s="58" t="n">
        <v>1</v>
      </c>
      <c r="N47" s="10" t="n">
        <v>554</v>
      </c>
      <c r="O47" s="58" t="n">
        <v>0.0142163915921344</v>
      </c>
      <c r="P47" s="10" t="n">
        <v>259</v>
      </c>
      <c r="Q47" s="58" t="n">
        <v>0.0176243991071705</v>
      </c>
      <c r="R47" s="10" t="n">
        <v>259</v>
      </c>
      <c r="S47" s="58" t="n">
        <v>0.00355409789803359</v>
      </c>
      <c r="T47" s="10" t="n">
        <v>259</v>
      </c>
      <c r="U47" s="58" t="n">
        <v>0.0106622936941008</v>
      </c>
      <c r="V47" s="10" t="n">
        <v>259</v>
      </c>
      <c r="W47" s="58" t="n">
        <v>0.0639268268754219</v>
      </c>
      <c r="X47" s="10" t="n">
        <v>259</v>
      </c>
      <c r="Y47" s="58" t="n">
        <v>1</v>
      </c>
      <c r="Z47" s="10" t="n">
        <v>259</v>
      </c>
      <c r="AA47" s="58" t="n">
        <v>0.0194801570778419</v>
      </c>
      <c r="AB47" s="10" t="n">
        <v>295</v>
      </c>
      <c r="AC47" s="58" t="n">
        <v>0.0290274317595542</v>
      </c>
      <c r="AD47" s="10" t="n">
        <v>295</v>
      </c>
      <c r="AE47" s="58" t="n">
        <v>0.00311899200969501</v>
      </c>
      <c r="AF47" s="10" t="n">
        <v>295</v>
      </c>
      <c r="AG47" s="58" t="n">
        <v>0.0194801570778419</v>
      </c>
      <c r="AH47" s="10" t="n">
        <v>295</v>
      </c>
      <c r="AI47" s="58" t="n">
        <v>0.0667682551861919</v>
      </c>
      <c r="AJ47" s="10" t="n">
        <v>295</v>
      </c>
      <c r="AK47" s="58" t="n">
        <v>1</v>
      </c>
      <c r="AL47" s="13" t="n">
        <v>295</v>
      </c>
    </row>
    <row r="48">
      <c r="C48" s="59"/>
      <c r="E48" s="59"/>
      <c r="G48" s="59"/>
      <c r="I48" s="59"/>
      <c r="K48" s="59"/>
      <c r="M48" s="59"/>
      <c r="O48" s="59"/>
      <c r="Q48" s="59"/>
      <c r="S48" s="59"/>
      <c r="U48" s="59"/>
      <c r="W48" s="59"/>
      <c r="Y48" s="59"/>
      <c r="AA48" s="59"/>
      <c r="AC48" s="59"/>
      <c r="AE48" s="59"/>
      <c r="AG48" s="59"/>
      <c r="AI48" s="59"/>
      <c r="AK48" s="59"/>
    </row>
    <row r="49">
      <c r="A49" s="2" t="s">
        <v>48</v>
      </c>
      <c r="B49" s="2"/>
      <c r="C49" s="55"/>
      <c r="D49" s="2"/>
      <c r="E49" s="55"/>
      <c r="F49" s="2"/>
      <c r="G49" s="55"/>
      <c r="H49" s="2"/>
      <c r="I49" s="55"/>
      <c r="J49" s="2"/>
      <c r="K49" s="55"/>
      <c r="L49" s="2"/>
      <c r="M49" s="55"/>
      <c r="N49" s="2"/>
      <c r="O49" s="55"/>
      <c r="P49" s="2"/>
      <c r="Q49" s="55"/>
      <c r="R49" s="2"/>
      <c r="S49" s="55"/>
      <c r="T49" s="2"/>
      <c r="U49" s="55"/>
      <c r="V49" s="2"/>
      <c r="W49" s="55"/>
      <c r="X49" s="2"/>
      <c r="Y49" s="55"/>
      <c r="Z49" s="2"/>
      <c r="AA49" s="55"/>
      <c r="AB49" s="2"/>
      <c r="AC49" s="55"/>
      <c r="AD49" s="2"/>
      <c r="AE49" s="55"/>
      <c r="AF49" s="2"/>
      <c r="AG49" s="55"/>
      <c r="AH49" s="2"/>
      <c r="AI49" s="55"/>
      <c r="AJ49" s="2"/>
      <c r="AK49" s="55"/>
      <c r="AL49" s="2"/>
    </row>
    <row r="50" outlineLevel="1" hidden="0">
      <c r="A50" s="6" t="s">
        <v>14</v>
      </c>
      <c r="B50" s="9" t="s">
        <v>49</v>
      </c>
      <c r="C50" s="57" t="n">
        <v>0.0329018039407603</v>
      </c>
      <c r="D50" s="9" t="n">
        <v>2000</v>
      </c>
      <c r="E50" s="57" t="n">
        <v>0.0422756707997982</v>
      </c>
      <c r="F50" s="9" t="n">
        <v>2000</v>
      </c>
      <c r="G50" s="57" t="n">
        <v>0.00775805824683667</v>
      </c>
      <c r="H50" s="9" t="n">
        <v>2000</v>
      </c>
      <c r="I50" s="57" t="n">
        <v>0.0303356122675728</v>
      </c>
      <c r="J50" s="9" t="n">
        <v>2000</v>
      </c>
      <c r="K50" s="57" t="n">
        <v>0.0833708705398966</v>
      </c>
      <c r="L50" s="9" t="n">
        <v>2000</v>
      </c>
      <c r="M50" s="57" t="n">
        <v>0.999089606119978</v>
      </c>
      <c r="N50" s="9" t="n">
        <v>2000</v>
      </c>
      <c r="O50" s="57" t="n">
        <v>0.041121747706951</v>
      </c>
      <c r="P50" s="9" t="n">
        <v>994</v>
      </c>
      <c r="Q50" s="57" t="n">
        <v>0.0443265123080945</v>
      </c>
      <c r="R50" s="9" t="n">
        <v>994</v>
      </c>
      <c r="S50" s="57" t="n">
        <v>0.0118628463700376</v>
      </c>
      <c r="T50" s="9" t="n">
        <v>994</v>
      </c>
      <c r="U50" s="57" t="n">
        <v>0.0376401211645162</v>
      </c>
      <c r="V50" s="9" t="n">
        <v>994</v>
      </c>
      <c r="W50" s="57" t="n">
        <v>0.0599670340835412</v>
      </c>
      <c r="X50" s="9" t="n">
        <v>994</v>
      </c>
      <c r="Y50" s="57" t="n">
        <v>0.998407114736875</v>
      </c>
      <c r="Z50" s="9" t="n">
        <v>994</v>
      </c>
      <c r="AA50" s="57" t="n">
        <v>0.0249192362816079</v>
      </c>
      <c r="AB50" s="9" t="n">
        <v>1006</v>
      </c>
      <c r="AC50" s="57" t="n">
        <v>0.0402840536350301</v>
      </c>
      <c r="AD50" s="9" t="n">
        <v>1006</v>
      </c>
      <c r="AE50" s="57" t="n">
        <v>0.00377180848017665</v>
      </c>
      <c r="AF50" s="9" t="n">
        <v>1006</v>
      </c>
      <c r="AG50" s="57" t="n">
        <v>0.0232420434859273</v>
      </c>
      <c r="AH50" s="9" t="n">
        <v>1006</v>
      </c>
      <c r="AI50" s="57" t="n">
        <v>0.106098849381432</v>
      </c>
      <c r="AJ50" s="9" t="n">
        <v>1006</v>
      </c>
      <c r="AK50" s="57" t="n">
        <v>0.999752388469515</v>
      </c>
      <c r="AL50" s="11" t="n">
        <v>1006</v>
      </c>
    </row>
    <row r="51" outlineLevel="1" hidden="0">
      <c r="A51" s="7" t="s">
        <v>14</v>
      </c>
      <c r="B51" t="s">
        <v>50</v>
      </c>
      <c r="C51" s="59" t="n">
        <v>0.0282069438597205</v>
      </c>
      <c r="D51" t="n">
        <v>2809</v>
      </c>
      <c r="E51" s="59" t="n">
        <v>0.0389995034979582</v>
      </c>
      <c r="F51" t="n">
        <v>2809</v>
      </c>
      <c r="G51" s="59" t="n">
        <v>0.0103908774942662</v>
      </c>
      <c r="H51" t="n">
        <v>2809</v>
      </c>
      <c r="I51" s="59" t="n">
        <v>0.0194738851155857</v>
      </c>
      <c r="J51" t="n">
        <v>2809</v>
      </c>
      <c r="K51" s="59" t="n">
        <v>0.094427544388527</v>
      </c>
      <c r="L51" t="n">
        <v>2809</v>
      </c>
      <c r="M51" s="59" t="n">
        <v>0.999582513708267</v>
      </c>
      <c r="N51" t="n">
        <v>2809</v>
      </c>
      <c r="O51" s="59" t="n">
        <v>0.036013513970597</v>
      </c>
      <c r="P51" t="n">
        <v>1324</v>
      </c>
      <c r="Q51" s="59" t="n">
        <v>0.0478662931538764</v>
      </c>
      <c r="R51" t="n">
        <v>1324</v>
      </c>
      <c r="S51" s="59" t="n">
        <v>0.0169618667930134</v>
      </c>
      <c r="T51" t="n">
        <v>1324</v>
      </c>
      <c r="U51" s="59" t="n">
        <v>0.0219063279887393</v>
      </c>
      <c r="V51" t="n">
        <v>1324</v>
      </c>
      <c r="W51" s="59" t="n">
        <v>0.0923777133337348</v>
      </c>
      <c r="X51" t="n">
        <v>1324</v>
      </c>
      <c r="Y51" s="59" t="n">
        <v>0.999693188120648</v>
      </c>
      <c r="Z51" t="n">
        <v>1324</v>
      </c>
      <c r="AA51" s="59" t="n">
        <v>0.0211802018783143</v>
      </c>
      <c r="AB51" t="n">
        <v>1485</v>
      </c>
      <c r="AC51" s="59" t="n">
        <v>0.0310184513546191</v>
      </c>
      <c r="AD51" t="n">
        <v>1485</v>
      </c>
      <c r="AE51" s="59" t="n">
        <v>0.00447628943458199</v>
      </c>
      <c r="AF51" t="n">
        <v>1485</v>
      </c>
      <c r="AG51" s="59" t="n">
        <v>0.0172844282591941</v>
      </c>
      <c r="AH51" t="n">
        <v>1485</v>
      </c>
      <c r="AI51" s="59" t="n">
        <v>0.0962726099836505</v>
      </c>
      <c r="AJ51" t="n">
        <v>1485</v>
      </c>
      <c r="AK51" s="59" t="n">
        <v>0.999482894985999</v>
      </c>
      <c r="AL51" s="12" t="n">
        <v>1485</v>
      </c>
    </row>
    <row r="52" outlineLevel="1" hidden="0">
      <c r="A52" s="8" t="s">
        <v>14</v>
      </c>
      <c r="B52" s="10" t="s">
        <v>51</v>
      </c>
      <c r="C52" s="58" t="n">
        <v>0.0275403445149589</v>
      </c>
      <c r="D52" s="10" t="n">
        <v>7753</v>
      </c>
      <c r="E52" s="58" t="n">
        <v>0.0394894412596601</v>
      </c>
      <c r="F52" s="10" t="n">
        <v>7753</v>
      </c>
      <c r="G52" s="58" t="n">
        <v>0.00784684448990749</v>
      </c>
      <c r="H52" s="10" t="n">
        <v>7753</v>
      </c>
      <c r="I52" s="58" t="n">
        <v>0.0237151358286797</v>
      </c>
      <c r="J52" s="10" t="n">
        <v>7753</v>
      </c>
      <c r="K52" s="58" t="n">
        <v>0.081350713909129</v>
      </c>
      <c r="L52" s="10" t="n">
        <v>7753</v>
      </c>
      <c r="M52" s="58" t="n">
        <v>0.998534860667824</v>
      </c>
      <c r="N52" s="10" t="n">
        <v>7753</v>
      </c>
      <c r="O52" s="58" t="n">
        <v>0.0248595659529325</v>
      </c>
      <c r="P52" s="10" t="n">
        <v>3818</v>
      </c>
      <c r="Q52" s="58" t="n">
        <v>0.0340958423863339</v>
      </c>
      <c r="R52" s="10" t="n">
        <v>3818</v>
      </c>
      <c r="S52" s="58" t="n">
        <v>0.00453742437860234</v>
      </c>
      <c r="T52" s="10" t="n">
        <v>3818</v>
      </c>
      <c r="U52" s="58" t="n">
        <v>0.0240311884633511</v>
      </c>
      <c r="V52" s="10" t="n">
        <v>3818</v>
      </c>
      <c r="W52" s="58" t="n">
        <v>0.0769563782198344</v>
      </c>
      <c r="X52" s="10" t="n">
        <v>3818</v>
      </c>
      <c r="Y52" s="58" t="n">
        <v>0.997904505290622</v>
      </c>
      <c r="Z52" s="10" t="n">
        <v>3818</v>
      </c>
      <c r="AA52" s="58" t="n">
        <v>0.029966268722264</v>
      </c>
      <c r="AB52" s="10" t="n">
        <v>3935</v>
      </c>
      <c r="AC52" s="58" t="n">
        <v>0.0443702853012525</v>
      </c>
      <c r="AD52" s="10" t="n">
        <v>3935</v>
      </c>
      <c r="AE52" s="58" t="n">
        <v>0.010841646997612</v>
      </c>
      <c r="AF52" s="10" t="n">
        <v>3935</v>
      </c>
      <c r="AG52" s="58" t="n">
        <v>0.0234291294616889</v>
      </c>
      <c r="AH52" s="10" t="n">
        <v>3935</v>
      </c>
      <c r="AI52" s="58" t="n">
        <v>0.0853272920102408</v>
      </c>
      <c r="AJ52" s="10" t="n">
        <v>3935</v>
      </c>
      <c r="AK52" s="58" t="n">
        <v>0.999105289867168</v>
      </c>
      <c r="AL52" s="13" t="n">
        <v>3935</v>
      </c>
    </row>
    <row r="53">
      <c r="C53" s="59"/>
      <c r="E53" s="59"/>
      <c r="G53" s="59"/>
      <c r="I53" s="59"/>
      <c r="K53" s="59"/>
      <c r="M53" s="59"/>
      <c r="O53" s="59"/>
      <c r="Q53" s="59"/>
      <c r="S53" s="59"/>
      <c r="U53" s="59"/>
      <c r="W53" s="59"/>
      <c r="Y53" s="59"/>
      <c r="AA53" s="59"/>
      <c r="AC53" s="59"/>
      <c r="AE53" s="59"/>
      <c r="AG53" s="59"/>
      <c r="AI53" s="59"/>
      <c r="AK53" s="59"/>
    </row>
    <row r="54">
      <c r="A54" s="2" t="s">
        <v>52</v>
      </c>
      <c r="B54" s="2"/>
      <c r="C54" s="55"/>
      <c r="D54" s="2"/>
      <c r="E54" s="55"/>
      <c r="F54" s="2"/>
      <c r="G54" s="55"/>
      <c r="H54" s="2"/>
      <c r="I54" s="55"/>
      <c r="J54" s="2"/>
      <c r="K54" s="55"/>
      <c r="L54" s="2"/>
      <c r="M54" s="55"/>
      <c r="N54" s="2"/>
      <c r="O54" s="55"/>
      <c r="P54" s="2"/>
      <c r="Q54" s="55"/>
      <c r="R54" s="2"/>
      <c r="S54" s="55"/>
      <c r="T54" s="2"/>
      <c r="U54" s="55"/>
      <c r="V54" s="2"/>
      <c r="W54" s="55"/>
      <c r="X54" s="2"/>
      <c r="Y54" s="55"/>
      <c r="Z54" s="2"/>
      <c r="AA54" s="55"/>
      <c r="AB54" s="2"/>
      <c r="AC54" s="55"/>
      <c r="AD54" s="2"/>
      <c r="AE54" s="55"/>
      <c r="AF54" s="2"/>
      <c r="AG54" s="55"/>
      <c r="AH54" s="2"/>
      <c r="AI54" s="55"/>
      <c r="AJ54" s="2"/>
      <c r="AK54" s="55"/>
      <c r="AL54" s="2"/>
    </row>
    <row r="55" outlineLevel="1" hidden="0">
      <c r="A55" s="6" t="s">
        <v>14</v>
      </c>
      <c r="B55" s="9" t="s">
        <v>53</v>
      </c>
      <c r="C55" s="57" t="n">
        <v>0.115538575550596</v>
      </c>
      <c r="D55" s="9" t="n">
        <v>3274</v>
      </c>
      <c r="E55" s="57" t="n">
        <v>0.129505939001083</v>
      </c>
      <c r="F55" s="9" t="n">
        <v>3274</v>
      </c>
      <c r="G55" s="57" t="n">
        <v>0.033168780742308</v>
      </c>
      <c r="H55" s="9" t="n">
        <v>3274</v>
      </c>
      <c r="I55" s="57" t="n">
        <v>0.0974642698214248</v>
      </c>
      <c r="J55" s="9" t="n">
        <v>3274</v>
      </c>
      <c r="K55" s="57" t="n">
        <v>0.111191999607599</v>
      </c>
      <c r="L55" s="9" t="n">
        <v>3274</v>
      </c>
      <c r="M55" s="57" t="n">
        <v>0.996175615959672</v>
      </c>
      <c r="N55" s="9" t="n">
        <v>3274</v>
      </c>
      <c r="O55" s="57" t="n">
        <v>0.123652561501187</v>
      </c>
      <c r="P55" s="9" t="n">
        <v>1623</v>
      </c>
      <c r="Q55" s="57" t="n">
        <v>0.137400684459991</v>
      </c>
      <c r="R55" s="9" t="n">
        <v>1623</v>
      </c>
      <c r="S55" s="57" t="n">
        <v>0.0366214500774412</v>
      </c>
      <c r="T55" s="9" t="n">
        <v>1623</v>
      </c>
      <c r="U55" s="57" t="n">
        <v>0.105900614687329</v>
      </c>
      <c r="V55" s="9" t="n">
        <v>1623</v>
      </c>
      <c r="W55" s="57" t="n">
        <v>0.105938327622951</v>
      </c>
      <c r="X55" s="9" t="n">
        <v>1623</v>
      </c>
      <c r="Y55" s="57" t="n">
        <v>0.994112869112675</v>
      </c>
      <c r="Z55" s="9" t="n">
        <v>1623</v>
      </c>
      <c r="AA55" s="57" t="n">
        <v>0.107587191182264</v>
      </c>
      <c r="AB55" s="9" t="n">
        <v>1651</v>
      </c>
      <c r="AC55" s="57" t="n">
        <v>0.121769401617831</v>
      </c>
      <c r="AD55" s="9" t="n">
        <v>1651</v>
      </c>
      <c r="AE55" s="57" t="n">
        <v>0.0297853017533652</v>
      </c>
      <c r="AF55" s="9" t="n">
        <v>1651</v>
      </c>
      <c r="AG55" s="57" t="n">
        <v>0.0891969865033248</v>
      </c>
      <c r="AH55" s="9" t="n">
        <v>1651</v>
      </c>
      <c r="AI55" s="57" t="n">
        <v>0.116340389751414</v>
      </c>
      <c r="AJ55" s="9" t="n">
        <v>1651</v>
      </c>
      <c r="AK55" s="57" t="n">
        <v>0.998197026045283</v>
      </c>
      <c r="AL55" s="11" t="n">
        <v>1651</v>
      </c>
    </row>
    <row r="56" outlineLevel="1" hidden="0">
      <c r="A56" s="8" t="s">
        <v>14</v>
      </c>
      <c r="B56" s="10" t="s">
        <v>54</v>
      </c>
      <c r="C56" s="58"/>
      <c r="D56" s="10"/>
      <c r="E56" s="58" t="n">
        <v>0.0098912591131297</v>
      </c>
      <c r="F56" s="10" t="n">
        <v>9288</v>
      </c>
      <c r="G56" s="58"/>
      <c r="H56" s="10"/>
      <c r="I56" s="58"/>
      <c r="J56" s="10"/>
      <c r="K56" s="58" t="n">
        <v>0.076039669646693</v>
      </c>
      <c r="L56" s="10" t="n">
        <v>9288</v>
      </c>
      <c r="M56" s="58" t="n">
        <v>0.999876599117824</v>
      </c>
      <c r="N56" s="10" t="n">
        <v>9288</v>
      </c>
      <c r="O56" s="58"/>
      <c r="P56" s="10"/>
      <c r="Q56" s="58" t="n">
        <v>0.00596962372354943</v>
      </c>
      <c r="R56" s="10" t="n">
        <v>4513</v>
      </c>
      <c r="S56" s="58"/>
      <c r="T56" s="10"/>
      <c r="U56" s="58"/>
      <c r="V56" s="10"/>
      <c r="W56" s="58" t="n">
        <v>0.0644666320774686</v>
      </c>
      <c r="X56" s="10" t="n">
        <v>4513</v>
      </c>
      <c r="Y56" s="58" t="n">
        <v>1</v>
      </c>
      <c r="Z56" s="10" t="n">
        <v>4513</v>
      </c>
      <c r="AA56" s="58"/>
      <c r="AB56" s="10"/>
      <c r="AC56" s="58" t="n">
        <v>0.0134372982555303</v>
      </c>
      <c r="AD56" s="10" t="n">
        <v>4775</v>
      </c>
      <c r="AE56" s="58"/>
      <c r="AF56" s="10"/>
      <c r="AG56" s="58"/>
      <c r="AH56" s="10"/>
      <c r="AI56" s="58" t="n">
        <v>0.0865042947686461</v>
      </c>
      <c r="AJ56" s="10" t="n">
        <v>4775</v>
      </c>
      <c r="AK56" s="58" t="n">
        <v>0.999765017006043</v>
      </c>
      <c r="AL56" s="13" t="n">
        <v>4775</v>
      </c>
    </row>
    <row r="57">
      <c r="C57" s="59"/>
      <c r="E57" s="59"/>
      <c r="G57" s="59"/>
      <c r="I57" s="59"/>
      <c r="K57" s="59"/>
      <c r="M57" s="59"/>
      <c r="O57" s="59"/>
      <c r="Q57" s="59"/>
      <c r="S57" s="59"/>
      <c r="U57" s="59"/>
      <c r="W57" s="59"/>
      <c r="Y57" s="59"/>
      <c r="AA57" s="59"/>
      <c r="AC57" s="59"/>
      <c r="AE57" s="59"/>
      <c r="AG57" s="59"/>
      <c r="AI57" s="59"/>
      <c r="AK57" s="59"/>
    </row>
    <row r="58">
      <c r="A58" s="2" t="s">
        <v>55</v>
      </c>
      <c r="B58" s="2"/>
      <c r="C58" s="55"/>
      <c r="D58" s="2"/>
      <c r="E58" s="55"/>
      <c r="F58" s="2"/>
      <c r="G58" s="55"/>
      <c r="H58" s="2"/>
      <c r="I58" s="55"/>
      <c r="J58" s="2"/>
      <c r="K58" s="55"/>
      <c r="L58" s="2"/>
      <c r="M58" s="55"/>
      <c r="N58" s="2"/>
      <c r="O58" s="55"/>
      <c r="P58" s="2"/>
      <c r="Q58" s="55"/>
      <c r="R58" s="2"/>
      <c r="S58" s="55"/>
      <c r="T58" s="2"/>
      <c r="U58" s="55"/>
      <c r="V58" s="2"/>
      <c r="W58" s="55"/>
      <c r="X58" s="2"/>
      <c r="Y58" s="55"/>
      <c r="Z58" s="2"/>
      <c r="AA58" s="55"/>
      <c r="AB58" s="2"/>
      <c r="AC58" s="55"/>
      <c r="AD58" s="2"/>
      <c r="AE58" s="55"/>
      <c r="AF58" s="2"/>
      <c r="AG58" s="55"/>
      <c r="AH58" s="2"/>
      <c r="AI58" s="55"/>
      <c r="AJ58" s="2"/>
      <c r="AK58" s="55"/>
      <c r="AL58" s="2"/>
    </row>
    <row r="59" outlineLevel="1" hidden="0">
      <c r="A59" s="6" t="s">
        <v>14</v>
      </c>
      <c r="B59" s="9" t="s">
        <v>56</v>
      </c>
      <c r="C59" s="57" t="n">
        <v>0.0329018039407603</v>
      </c>
      <c r="D59" s="9" t="n">
        <v>2000</v>
      </c>
      <c r="E59" s="57" t="n">
        <v>0.0422756707997982</v>
      </c>
      <c r="F59" s="9" t="n">
        <v>2000</v>
      </c>
      <c r="G59" s="57" t="n">
        <v>0.00775805824683667</v>
      </c>
      <c r="H59" s="9" t="n">
        <v>2000</v>
      </c>
      <c r="I59" s="57" t="n">
        <v>0.0303356122675728</v>
      </c>
      <c r="J59" s="9" t="n">
        <v>2000</v>
      </c>
      <c r="K59" s="57" t="n">
        <v>0.0833708705398966</v>
      </c>
      <c r="L59" s="9" t="n">
        <v>2000</v>
      </c>
      <c r="M59" s="57" t="n">
        <v>0.999089606119978</v>
      </c>
      <c r="N59" s="9" t="n">
        <v>2000</v>
      </c>
      <c r="O59" s="57" t="n">
        <v>0.041121747706951</v>
      </c>
      <c r="P59" s="9" t="n">
        <v>994</v>
      </c>
      <c r="Q59" s="57" t="n">
        <v>0.0443265123080945</v>
      </c>
      <c r="R59" s="9" t="n">
        <v>994</v>
      </c>
      <c r="S59" s="57" t="n">
        <v>0.0118628463700376</v>
      </c>
      <c r="T59" s="9" t="n">
        <v>994</v>
      </c>
      <c r="U59" s="57" t="n">
        <v>0.0376401211645162</v>
      </c>
      <c r="V59" s="9" t="n">
        <v>994</v>
      </c>
      <c r="W59" s="57" t="n">
        <v>0.0599670340835412</v>
      </c>
      <c r="X59" s="9" t="n">
        <v>994</v>
      </c>
      <c r="Y59" s="57" t="n">
        <v>0.998407114736875</v>
      </c>
      <c r="Z59" s="9" t="n">
        <v>994</v>
      </c>
      <c r="AA59" s="57" t="n">
        <v>0.0249192362816079</v>
      </c>
      <c r="AB59" s="9" t="n">
        <v>1006</v>
      </c>
      <c r="AC59" s="57" t="n">
        <v>0.0402840536350301</v>
      </c>
      <c r="AD59" s="9" t="n">
        <v>1006</v>
      </c>
      <c r="AE59" s="57" t="n">
        <v>0.00377180848017665</v>
      </c>
      <c r="AF59" s="9" t="n">
        <v>1006</v>
      </c>
      <c r="AG59" s="57" t="n">
        <v>0.0232420434859273</v>
      </c>
      <c r="AH59" s="9" t="n">
        <v>1006</v>
      </c>
      <c r="AI59" s="57" t="n">
        <v>0.106098849381432</v>
      </c>
      <c r="AJ59" s="9" t="n">
        <v>1006</v>
      </c>
      <c r="AK59" s="57" t="n">
        <v>0.999752388469515</v>
      </c>
      <c r="AL59" s="11" t="n">
        <v>1006</v>
      </c>
    </row>
    <row r="60" outlineLevel="1" hidden="0">
      <c r="A60" s="7" t="s">
        <v>14</v>
      </c>
      <c r="B60" t="s">
        <v>57</v>
      </c>
      <c r="C60" s="59" t="n">
        <v>0.02958565017443</v>
      </c>
      <c r="D60" t="n">
        <v>7512</v>
      </c>
      <c r="E60" s="59" t="n">
        <v>0.0412421767769217</v>
      </c>
      <c r="F60" t="n">
        <v>7512</v>
      </c>
      <c r="G60" s="59" t="n">
        <v>0.00731219947388976</v>
      </c>
      <c r="H60" t="n">
        <v>7512</v>
      </c>
      <c r="I60" s="59" t="n">
        <v>0.0258405112816502</v>
      </c>
      <c r="J60" t="n">
        <v>7512</v>
      </c>
      <c r="K60" s="59" t="n">
        <v>0.0908669281865742</v>
      </c>
      <c r="L60" t="n">
        <v>7512</v>
      </c>
      <c r="M60" s="59" t="n">
        <v>0.999034285104323</v>
      </c>
      <c r="N60" t="n">
        <v>7512</v>
      </c>
      <c r="O60" s="59" t="n">
        <v>0.0298926144697374</v>
      </c>
      <c r="P60" t="n">
        <v>3670</v>
      </c>
      <c r="Q60" s="59" t="n">
        <v>0.0391062203090181</v>
      </c>
      <c r="R60" t="n">
        <v>3670</v>
      </c>
      <c r="S60" s="59" t="n">
        <v>0.00609862082923371</v>
      </c>
      <c r="T60" t="n">
        <v>3670</v>
      </c>
      <c r="U60" s="59" t="n">
        <v>0.0271934760570757</v>
      </c>
      <c r="V60" t="n">
        <v>3670</v>
      </c>
      <c r="W60" s="59" t="n">
        <v>0.0862676925770188</v>
      </c>
      <c r="X60" t="n">
        <v>3670</v>
      </c>
      <c r="Y60" s="59" t="n">
        <v>0.999364123327405</v>
      </c>
      <c r="Z60" t="n">
        <v>3670</v>
      </c>
      <c r="AA60" s="59" t="n">
        <v>0.0293007231462448</v>
      </c>
      <c r="AB60" t="n">
        <v>3842</v>
      </c>
      <c r="AC60" s="59" t="n">
        <v>0.0432247908399788</v>
      </c>
      <c r="AD60" t="n">
        <v>3842</v>
      </c>
      <c r="AE60" s="59" t="n">
        <v>0.00843865412016934</v>
      </c>
      <c r="AF60" t="n">
        <v>3842</v>
      </c>
      <c r="AG60" s="59" t="n">
        <v>0.0245846771713173</v>
      </c>
      <c r="AH60" t="n">
        <v>3842</v>
      </c>
      <c r="AI60" s="59" t="n">
        <v>0.0951359801714058</v>
      </c>
      <c r="AJ60" t="n">
        <v>3842</v>
      </c>
      <c r="AK60" s="59" t="n">
        <v>0.998728126290019</v>
      </c>
      <c r="AL60" s="12" t="n">
        <v>3842</v>
      </c>
    </row>
    <row r="61" outlineLevel="1" hidden="0">
      <c r="A61" s="8" t="s">
        <v>14</v>
      </c>
      <c r="B61" s="10" t="s">
        <v>58</v>
      </c>
      <c r="C61" s="58" t="n">
        <v>0.0256018240913971</v>
      </c>
      <c r="D61" s="10" t="n">
        <v>3050</v>
      </c>
      <c r="E61" s="58" t="n">
        <v>0.0370758429217833</v>
      </c>
      <c r="F61" s="10" t="n">
        <v>3050</v>
      </c>
      <c r="G61" s="58" t="n">
        <v>0.0102808223863773</v>
      </c>
      <c r="H61" s="10" t="n">
        <v>3050</v>
      </c>
      <c r="I61" s="58" t="n">
        <v>0.0182025869610174</v>
      </c>
      <c r="J61" s="10" t="n">
        <v>3050</v>
      </c>
      <c r="K61" s="58" t="n">
        <v>0.079403796215087</v>
      </c>
      <c r="L61" s="10" t="n">
        <v>3050</v>
      </c>
      <c r="M61" s="58" t="n">
        <v>0.998688887507822</v>
      </c>
      <c r="N61" s="10" t="n">
        <v>3050</v>
      </c>
      <c r="O61" s="58" t="n">
        <v>0.026766817461113</v>
      </c>
      <c r="P61" s="10" t="n">
        <v>1472</v>
      </c>
      <c r="Q61" s="58" t="n">
        <v>0.0379139053747648</v>
      </c>
      <c r="R61" s="10" t="n">
        <v>1472</v>
      </c>
      <c r="S61" s="58" t="n">
        <v>0.0115813560580139</v>
      </c>
      <c r="T61" s="10" t="n">
        <v>1472</v>
      </c>
      <c r="U61" s="58" t="n">
        <v>0.0186560457217231</v>
      </c>
      <c r="V61" s="10" t="n">
        <v>1472</v>
      </c>
      <c r="W61" s="58" t="n">
        <v>0.0767321608433903</v>
      </c>
      <c r="X61" s="10" t="n">
        <v>1472</v>
      </c>
      <c r="Y61" s="58" t="n">
        <v>0.997416828430157</v>
      </c>
      <c r="Z61" s="10" t="n">
        <v>1472</v>
      </c>
      <c r="AA61" s="58" t="n">
        <v>0.0245825998806233</v>
      </c>
      <c r="AB61" s="10" t="n">
        <v>1578</v>
      </c>
      <c r="AC61" s="58" t="n">
        <v>0.0363426425753921</v>
      </c>
      <c r="AD61" s="10" t="n">
        <v>1578</v>
      </c>
      <c r="AE61" s="58" t="n">
        <v>0.009143017279914</v>
      </c>
      <c r="AF61" s="10" t="n">
        <v>1578</v>
      </c>
      <c r="AG61" s="58" t="n">
        <v>0.0178058669800175</v>
      </c>
      <c r="AH61" s="10" t="n">
        <v>1578</v>
      </c>
      <c r="AI61" s="58" t="n">
        <v>0.0817411446704323</v>
      </c>
      <c r="AJ61" s="10" t="n">
        <v>1578</v>
      </c>
      <c r="AK61" s="58" t="n">
        <v>0.999801780888327</v>
      </c>
      <c r="AL61" s="13" t="n">
        <v>1578</v>
      </c>
    </row>
    <row r="62">
      <c r="C62" s="59"/>
      <c r="E62" s="59"/>
      <c r="G62" s="59"/>
      <c r="I62" s="59"/>
      <c r="K62" s="59"/>
      <c r="M62" s="59"/>
      <c r="O62" s="59"/>
      <c r="Q62" s="59"/>
      <c r="S62" s="59"/>
      <c r="U62" s="59"/>
      <c r="W62" s="59"/>
      <c r="Y62" s="59"/>
      <c r="AA62" s="59"/>
      <c r="AC62" s="59"/>
      <c r="AE62" s="59"/>
      <c r="AG62" s="59"/>
      <c r="AI62" s="59"/>
      <c r="AK62" s="59"/>
    </row>
    <row r="63">
      <c r="A63" s="2" t="s">
        <v>59</v>
      </c>
      <c r="B63" s="2"/>
      <c r="C63" s="55"/>
      <c r="D63" s="2"/>
      <c r="E63" s="55"/>
      <c r="F63" s="2"/>
      <c r="G63" s="55"/>
      <c r="H63" s="2"/>
      <c r="I63" s="55"/>
      <c r="J63" s="2"/>
      <c r="K63" s="55"/>
      <c r="L63" s="2"/>
      <c r="M63" s="55"/>
      <c r="N63" s="2"/>
      <c r="O63" s="55"/>
      <c r="P63" s="2"/>
      <c r="Q63" s="55"/>
      <c r="R63" s="2"/>
      <c r="S63" s="55"/>
      <c r="T63" s="2"/>
      <c r="U63" s="55"/>
      <c r="V63" s="2"/>
      <c r="W63" s="55"/>
      <c r="X63" s="2"/>
      <c r="Y63" s="55"/>
      <c r="Z63" s="2"/>
      <c r="AA63" s="55"/>
      <c r="AB63" s="2"/>
      <c r="AC63" s="55"/>
      <c r="AD63" s="2"/>
      <c r="AE63" s="55"/>
      <c r="AF63" s="2"/>
      <c r="AG63" s="55"/>
      <c r="AH63" s="2"/>
      <c r="AI63" s="55"/>
      <c r="AJ63" s="2"/>
      <c r="AK63" s="55"/>
      <c r="AL63" s="2"/>
    </row>
    <row r="64" outlineLevel="1" hidden="0">
      <c r="A64" s="6" t="s">
        <v>14</v>
      </c>
      <c r="B64" s="9" t="s">
        <v>60</v>
      </c>
      <c r="C64" s="57" t="n">
        <v>0.0310638289119668</v>
      </c>
      <c r="D64" s="9" t="n">
        <v>4707</v>
      </c>
      <c r="E64" s="57" t="n">
        <v>0.0410326658005176</v>
      </c>
      <c r="F64" s="9" t="n">
        <v>4707</v>
      </c>
      <c r="G64" s="57" t="n">
        <v>0.00902759440533048</v>
      </c>
      <c r="H64" s="9" t="n">
        <v>4707</v>
      </c>
      <c r="I64" s="57" t="n">
        <v>0.0257303905806238</v>
      </c>
      <c r="J64" s="9" t="n">
        <v>4707</v>
      </c>
      <c r="K64" s="57" t="n">
        <v>0.0877558599383354</v>
      </c>
      <c r="L64" s="9" t="n">
        <v>4707</v>
      </c>
      <c r="M64" s="57" t="n">
        <v>0.999296034234851</v>
      </c>
      <c r="N64" s="9" t="n">
        <v>4707</v>
      </c>
      <c r="O64" s="57" t="n">
        <v>0.0389041254845396</v>
      </c>
      <c r="P64" s="9" t="n">
        <v>2275</v>
      </c>
      <c r="Q64" s="57" t="n">
        <v>0.0458729462291412</v>
      </c>
      <c r="R64" s="9" t="n">
        <v>2275</v>
      </c>
      <c r="S64" s="57" t="n">
        <v>0.0141751993416519</v>
      </c>
      <c r="T64" s="9" t="n">
        <v>2275</v>
      </c>
      <c r="U64" s="57" t="n">
        <v>0.0308019665209729</v>
      </c>
      <c r="V64" s="9" t="n">
        <v>2275</v>
      </c>
      <c r="W64" s="57" t="n">
        <v>0.0733847394656354</v>
      </c>
      <c r="X64" s="9" t="n">
        <v>2275</v>
      </c>
      <c r="Y64" s="57" t="n">
        <v>0.998947581666163</v>
      </c>
      <c r="Z64" s="9" t="n">
        <v>2275</v>
      </c>
      <c r="AA64" s="57" t="n">
        <v>0.0236431357455112</v>
      </c>
      <c r="AB64" s="9" t="n">
        <v>2432</v>
      </c>
      <c r="AC64" s="57" t="n">
        <v>0.0364514314597064</v>
      </c>
      <c r="AD64" s="9" t="n">
        <v>2432</v>
      </c>
      <c r="AE64" s="57" t="n">
        <v>0.00415548320124648</v>
      </c>
      <c r="AF64" s="9" t="n">
        <v>2432</v>
      </c>
      <c r="AG64" s="57" t="n">
        <v>0.0209302393905064</v>
      </c>
      <c r="AH64" s="9" t="n">
        <v>2432</v>
      </c>
      <c r="AI64" s="57" t="n">
        <v>0.101357855028564</v>
      </c>
      <c r="AJ64" s="9" t="n">
        <v>2432</v>
      </c>
      <c r="AK64" s="57" t="n">
        <v>0.999625838033899</v>
      </c>
      <c r="AL64" s="11" t="n">
        <v>2432</v>
      </c>
    </row>
    <row r="65" outlineLevel="1" hidden="0">
      <c r="A65" s="7" t="s">
        <v>14</v>
      </c>
      <c r="B65" t="s">
        <v>61</v>
      </c>
      <c r="C65" s="59" t="n">
        <v>0.0262428524322158</v>
      </c>
      <c r="D65" t="n">
        <v>31</v>
      </c>
      <c r="E65" s="59" t="n">
        <v>0.0829342315353316</v>
      </c>
      <c r="F65" t="n">
        <v>31</v>
      </c>
      <c r="G65" s="59"/>
      <c r="H65"/>
      <c r="I65" s="59" t="n">
        <v>0.0262428524322158</v>
      </c>
      <c r="J65" t="n">
        <v>31</v>
      </c>
      <c r="K65" s="59" t="n">
        <v>0.318544453082877</v>
      </c>
      <c r="L65" t="n">
        <v>31</v>
      </c>
      <c r="M65" s="59" t="n">
        <v>1</v>
      </c>
      <c r="N65" t="n">
        <v>31</v>
      </c>
      <c r="O65" s="59" t="n">
        <v>0.0649007880097565</v>
      </c>
      <c r="P65" t="n">
        <v>15</v>
      </c>
      <c r="Q65" s="59" t="n">
        <v>0.0649007880097565</v>
      </c>
      <c r="R65" t="n">
        <v>15</v>
      </c>
      <c r="S65" s="59"/>
      <c r="T65"/>
      <c r="U65" s="59" t="n">
        <v>0.0649007880097565</v>
      </c>
      <c r="V65" t="n">
        <v>15</v>
      </c>
      <c r="W65" s="59" t="n">
        <v>0.294432279513858</v>
      </c>
      <c r="X65" t="n">
        <v>15</v>
      </c>
      <c r="Y65" s="59" t="n">
        <v>1</v>
      </c>
      <c r="Z65" t="n">
        <v>15</v>
      </c>
      <c r="AA65" s="59"/>
      <c r="AB65"/>
      <c r="AC65" s="59" t="n">
        <v>0.095176194025468</v>
      </c>
      <c r="AD65" t="n">
        <v>16</v>
      </c>
      <c r="AE65" s="59"/>
      <c r="AF65"/>
      <c r="AG65" s="59"/>
      <c r="AH65"/>
      <c r="AI65" s="59" t="n">
        <v>0.334912947761609</v>
      </c>
      <c r="AJ65" t="n">
        <v>16</v>
      </c>
      <c r="AK65" s="59" t="n">
        <v>1</v>
      </c>
      <c r="AL65" s="12" t="n">
        <v>16</v>
      </c>
    </row>
    <row r="66" outlineLevel="1" hidden="0">
      <c r="A66" s="7" t="s">
        <v>14</v>
      </c>
      <c r="B66" t="s">
        <v>62</v>
      </c>
      <c r="C66" s="59" t="n">
        <v>0.0171255426453322</v>
      </c>
      <c r="D66" t="n">
        <v>42</v>
      </c>
      <c r="E66" s="59" t="n">
        <v>0.0171255426453322</v>
      </c>
      <c r="F66" t="n">
        <v>42</v>
      </c>
      <c r="G66" s="59"/>
      <c r="H66"/>
      <c r="I66" s="59" t="n">
        <v>0.0171255426453322</v>
      </c>
      <c r="J66" t="n">
        <v>42</v>
      </c>
      <c r="K66" s="59" t="n">
        <v>0.105102188654194</v>
      </c>
      <c r="L66" t="n">
        <v>42</v>
      </c>
      <c r="M66" s="59" t="n">
        <v>1</v>
      </c>
      <c r="N66" t="n">
        <v>42</v>
      </c>
      <c r="O66" s="59" t="n">
        <v>0.0691866169856294</v>
      </c>
      <c r="P66" t="n">
        <v>15</v>
      </c>
      <c r="Q66" s="59" t="n">
        <v>0.0691866169856294</v>
      </c>
      <c r="R66" t="n">
        <v>15</v>
      </c>
      <c r="S66" s="59"/>
      <c r="T66"/>
      <c r="U66" s="59" t="n">
        <v>0.0691866169856294</v>
      </c>
      <c r="V66" t="n">
        <v>15</v>
      </c>
      <c r="W66" s="59" t="n">
        <v>0.128338607130981</v>
      </c>
      <c r="X66" t="n">
        <v>15</v>
      </c>
      <c r="Y66" s="59" t="n">
        <v>1</v>
      </c>
      <c r="Z66" t="n">
        <v>15</v>
      </c>
      <c r="AA66" s="59"/>
      <c r="AB66"/>
      <c r="AC66" s="59"/>
      <c r="AD66"/>
      <c r="AE66" s="59"/>
      <c r="AF66"/>
      <c r="AG66" s="59"/>
      <c r="AH66"/>
      <c r="AI66" s="59" t="n">
        <v>0.0974585454794888</v>
      </c>
      <c r="AJ66" t="n">
        <v>27</v>
      </c>
      <c r="AK66" s="59" t="n">
        <v>1</v>
      </c>
      <c r="AL66" s="12" t="n">
        <v>27</v>
      </c>
    </row>
    <row r="67" outlineLevel="1" hidden="0">
      <c r="A67" s="7" t="s">
        <v>14</v>
      </c>
      <c r="B67" t="s">
        <v>64</v>
      </c>
      <c r="C67" s="59" t="n">
        <v>0.0275403445149589</v>
      </c>
      <c r="D67" t="n">
        <v>7753</v>
      </c>
      <c r="E67" s="59" t="n">
        <v>0.0394894412596601</v>
      </c>
      <c r="F67" t="n">
        <v>7753</v>
      </c>
      <c r="G67" s="59" t="n">
        <v>0.00784684448990749</v>
      </c>
      <c r="H67" t="n">
        <v>7753</v>
      </c>
      <c r="I67" s="59" t="n">
        <v>0.0237151358286797</v>
      </c>
      <c r="J67" t="n">
        <v>7753</v>
      </c>
      <c r="K67" s="59" t="n">
        <v>0.081350713909129</v>
      </c>
      <c r="L67" t="n">
        <v>7753</v>
      </c>
      <c r="M67" s="59" t="n">
        <v>0.998534860667824</v>
      </c>
      <c r="N67" t="n">
        <v>7753</v>
      </c>
      <c r="O67" s="59" t="n">
        <v>0.0248595659529325</v>
      </c>
      <c r="P67" t="n">
        <v>3818</v>
      </c>
      <c r="Q67" s="59" t="n">
        <v>0.0340958423863339</v>
      </c>
      <c r="R67" t="n">
        <v>3818</v>
      </c>
      <c r="S67" s="59" t="n">
        <v>0.00453742437860234</v>
      </c>
      <c r="T67" t="n">
        <v>3818</v>
      </c>
      <c r="U67" s="59" t="n">
        <v>0.0240311884633511</v>
      </c>
      <c r="V67" t="n">
        <v>3818</v>
      </c>
      <c r="W67" s="59" t="n">
        <v>0.0769563782198344</v>
      </c>
      <c r="X67" t="n">
        <v>3818</v>
      </c>
      <c r="Y67" s="59" t="n">
        <v>0.997904505290622</v>
      </c>
      <c r="Z67" t="n">
        <v>3818</v>
      </c>
      <c r="AA67" s="59" t="n">
        <v>0.029966268722264</v>
      </c>
      <c r="AB67" t="n">
        <v>3935</v>
      </c>
      <c r="AC67" s="59" t="n">
        <v>0.0443702853012525</v>
      </c>
      <c r="AD67" t="n">
        <v>3935</v>
      </c>
      <c r="AE67" s="59" t="n">
        <v>0.010841646997612</v>
      </c>
      <c r="AF67" t="n">
        <v>3935</v>
      </c>
      <c r="AG67" s="59" t="n">
        <v>0.0234291294616889</v>
      </c>
      <c r="AH67" t="n">
        <v>3935</v>
      </c>
      <c r="AI67" s="59" t="n">
        <v>0.0853272920102408</v>
      </c>
      <c r="AJ67" t="n">
        <v>3935</v>
      </c>
      <c r="AK67" s="59" t="n">
        <v>0.999105289867168</v>
      </c>
      <c r="AL67" s="12" t="n">
        <v>3935</v>
      </c>
    </row>
    <row r="68" outlineLevel="1" hidden="0">
      <c r="A68" s="8" t="s">
        <v>14</v>
      </c>
      <c r="B68" s="10" t="s">
        <v>63</v>
      </c>
      <c r="C68" s="58"/>
      <c r="D68" s="10"/>
      <c r="E68" s="58"/>
      <c r="F68" s="10"/>
      <c r="G68" s="58"/>
      <c r="H68" s="10"/>
      <c r="I68" s="58"/>
      <c r="J68" s="10"/>
      <c r="K68" s="58"/>
      <c r="L68" s="10"/>
      <c r="M68" s="58" t="n">
        <v>1</v>
      </c>
      <c r="N68" s="10" t="n">
        <v>29</v>
      </c>
      <c r="O68" s="58"/>
      <c r="P68" s="10"/>
      <c r="Q68" s="58"/>
      <c r="R68" s="10"/>
      <c r="S68" s="58"/>
      <c r="T68" s="10"/>
      <c r="U68" s="58"/>
      <c r="V68" s="10"/>
      <c r="W68" s="58"/>
      <c r="X68" s="10"/>
      <c r="Y68" s="58" t="n">
        <v>1</v>
      </c>
      <c r="Z68" s="10" t="n">
        <v>13</v>
      </c>
      <c r="AA68" s="58"/>
      <c r="AB68" s="10"/>
      <c r="AC68" s="58"/>
      <c r="AD68" s="10"/>
      <c r="AE68" s="58"/>
      <c r="AF68" s="10"/>
      <c r="AG68" s="58"/>
      <c r="AH68" s="10"/>
      <c r="AI68" s="58"/>
      <c r="AJ68" s="10"/>
      <c r="AK68" s="58" t="n">
        <v>1</v>
      </c>
      <c r="AL68" s="13" t="n">
        <v>16</v>
      </c>
    </row>
    <row r="69">
      <c r="C69" s="59"/>
      <c r="E69" s="59"/>
      <c r="G69" s="59"/>
      <c r="I69" s="59"/>
      <c r="K69" s="59"/>
      <c r="M69" s="59"/>
      <c r="O69" s="59"/>
      <c r="Q69" s="59"/>
      <c r="S69" s="59"/>
      <c r="U69" s="59"/>
      <c r="W69" s="59"/>
      <c r="Y69" s="59"/>
      <c r="AA69" s="59"/>
      <c r="AC69" s="59"/>
      <c r="AE69" s="59"/>
      <c r="AG69" s="59"/>
      <c r="AI69" s="59"/>
      <c r="AK69" s="59"/>
    </row>
    <row r="70">
      <c r="C70" s="59"/>
      <c r="E70" s="59"/>
      <c r="G70" s="59"/>
      <c r="I70" s="59"/>
      <c r="K70" s="59"/>
      <c r="M70" s="59"/>
      <c r="O70" s="59"/>
      <c r="Q70" s="59"/>
      <c r="S70" s="59"/>
      <c r="U70" s="59"/>
      <c r="W70" s="59"/>
      <c r="Y70" s="59"/>
      <c r="AA70" s="59"/>
      <c r="AC70" s="59"/>
      <c r="AE70" s="59"/>
      <c r="AG70" s="59"/>
      <c r="AI70" s="59"/>
      <c r="AK70" s="59"/>
    </row>
  </sheetData>
  <mergeCells count="34">
    <mergeCell ref="A1:AL1"/>
    <mergeCell ref="C2:N2"/>
    <mergeCell ref="O2:Z2"/>
    <mergeCell ref="AA2:AL2"/>
    <mergeCell ref="E3:N3"/>
    <mergeCell ref="Q3:Z3"/>
    <mergeCell ref="AC3:AL3"/>
    <mergeCell ref="E4:F4"/>
    <mergeCell ref="G4:H4"/>
    <mergeCell ref="I4:J4"/>
    <mergeCell ref="K4:L4"/>
    <mergeCell ref="M4:N4"/>
    <mergeCell ref="C4:D4"/>
    <mergeCell ref="Q4:R4"/>
    <mergeCell ref="S4:T4"/>
    <mergeCell ref="U4:V4"/>
    <mergeCell ref="W4:X4"/>
    <mergeCell ref="Y4:Z4"/>
    <mergeCell ref="O4:P4"/>
    <mergeCell ref="AC4:AD4"/>
    <mergeCell ref="AE4:AF4"/>
    <mergeCell ref="AG4:AH4"/>
    <mergeCell ref="AI4:AJ4"/>
    <mergeCell ref="AK4:AL4"/>
    <mergeCell ref="AA4:AB4"/>
    <mergeCell ref="A6:AL6"/>
    <mergeCell ref="A9:AL9"/>
    <mergeCell ref="A15:AL15"/>
    <mergeCell ref="A19:AL19"/>
    <mergeCell ref="A26:AL26"/>
    <mergeCell ref="A49:AL49"/>
    <mergeCell ref="A54:AL54"/>
    <mergeCell ref="A58:AL58"/>
    <mergeCell ref="A63:AL6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education_results</dc:creator>
  <cp:lastModifiedBy>education_results</cp:lastModifiedBy>
  <dcterms:created xsi:type="dcterms:W3CDTF">2024-11-11T11:20:11Z</dcterms:created>
</coreProperties>
</file>