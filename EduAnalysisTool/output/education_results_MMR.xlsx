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acted-my.sharepoint.com/personal/martina_vit_impact-initiatives_org/Documents/MSNAEdu/MSNA_2024_analysis/EduAnalysisTool/output/"/>
    </mc:Choice>
  </mc:AlternateContent>
  <xr:revisionPtr revIDLastSave="22" documentId="11_8CBA072A343F8625C06445988D14696D78BE468D" xr6:coauthVersionLast="47" xr6:coauthVersionMax="47" xr10:uidLastSave="{A1DCBB67-FA44-4D17-BC30-3A2C2B1F61AE}"/>
  <bookViews>
    <workbookView xWindow="9525" yWindow="0" windowWidth="9750" windowHeight="11355" firstSheet="7" activeTab="8" xr2:uid="{00000000-000D-0000-FFFF-FFFF00000000}"/>
  </bookViews>
  <sheets>
    <sheet name="Table_of_content" sheetId="1" r:id="rId1"/>
    <sheet name="access" sheetId="2" r:id="rId2"/>
    <sheet name="overaged" sheetId="3" r:id="rId3"/>
    <sheet name="out_of_school" sheetId="4" r:id="rId4"/>
    <sheet name="ece" sheetId="5" r:id="rId5"/>
    <sheet name="level1" sheetId="6" r:id="rId6"/>
    <sheet name="level2" sheetId="7" r:id="rId7"/>
    <sheet name="level3" sheetId="8" r:id="rId8"/>
    <sheet name="non_formal" sheetId="9" r:id="rId9"/>
    <sheet name="wgq"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A8" i="1"/>
  <c r="A7" i="1"/>
  <c r="A6" i="1"/>
  <c r="A5" i="1"/>
  <c r="A4" i="1"/>
  <c r="A3" i="1"/>
  <c r="A2" i="1"/>
</calcChain>
</file>

<file path=xl/sharedStrings.xml><?xml version="1.0" encoding="utf-8"?>
<sst xmlns="http://schemas.openxmlformats.org/spreadsheetml/2006/main" count="3135" uniqueCount="222">
  <si>
    <t>Table of Content</t>
  </si>
  <si>
    <t>Analysis of Children Accessing Education</t>
  </si>
  <si>
    <t>Overall</t>
  </si>
  <si>
    <t>Girls</t>
  </si>
  <si>
    <t>Boys</t>
  </si>
  <si>
    <t>Disruptions</t>
  </si>
  <si>
    <t>% of school-aged children whose education was disrupted due to teacher's absence</t>
  </si>
  <si>
    <t>% of school-aged children whose education was disrupted due to natural hazards</t>
  </si>
  <si>
    <t>% of school-aged children whose education was disrupted due to the school being occupied by displaced persons</t>
  </si>
  <si>
    <t>% of school-aged children whose education was disrupted due to the school being occupied by armed groups</t>
  </si>
  <si>
    <t>Access</t>
  </si>
  <si>
    <t>label_group_var</t>
  </si>
  <si>
    <t>label_group_var_value</t>
  </si>
  <si>
    <t>stat</t>
  </si>
  <si>
    <t>n_total</t>
  </si>
  <si>
    <t/>
  </si>
  <si>
    <t>Age-Assigned School Cycle</t>
  </si>
  <si>
    <t>ECE – 5 years old</t>
  </si>
  <si>
    <t>primary education primary school – 6 to 10 years old</t>
  </si>
  <si>
    <t>lower secondary education – 11 to 14 years old</t>
  </si>
  <si>
    <t>upper secondary education – 15 to 17 years old</t>
  </si>
  <si>
    <t>disagg_admin1</t>
  </si>
  <si>
    <t>Ayeyarwady</t>
  </si>
  <si>
    <t>Bago (East)</t>
  </si>
  <si>
    <t>Bago (West)</t>
  </si>
  <si>
    <t>Chin</t>
  </si>
  <si>
    <t>Kachin</t>
  </si>
  <si>
    <t>Kayah</t>
  </si>
  <si>
    <t>Kayin</t>
  </si>
  <si>
    <t>Magway</t>
  </si>
  <si>
    <t>Mandalay</t>
  </si>
  <si>
    <t>Mon</t>
  </si>
  <si>
    <t>Nay Pyi Taw</t>
  </si>
  <si>
    <t>Rakhine</t>
  </si>
  <si>
    <t>Sagaing</t>
  </si>
  <si>
    <t>Shan (East)</t>
  </si>
  <si>
    <t>Shan (North)</t>
  </si>
  <si>
    <t>Shan (South)</t>
  </si>
  <si>
    <t>Tanintharyi</t>
  </si>
  <si>
    <t>Yangon</t>
  </si>
  <si>
    <t>disagg_admin1_pop</t>
  </si>
  <si>
    <t>Ayeyarwady#ocap</t>
  </si>
  <si>
    <t>Bago (East)#idp</t>
  </si>
  <si>
    <t>Bago (East)#ocap</t>
  </si>
  <si>
    <t>Bago (East)#ret</t>
  </si>
  <si>
    <t>Bago (West)#ocap</t>
  </si>
  <si>
    <t>Chin#idp</t>
  </si>
  <si>
    <t>Chin#ocap</t>
  </si>
  <si>
    <t>Chin#ret</t>
  </si>
  <si>
    <t>Kachin#idp</t>
  </si>
  <si>
    <t>Kachin#ocap</t>
  </si>
  <si>
    <t>Kachin#ret</t>
  </si>
  <si>
    <t>Kayah#idp</t>
  </si>
  <si>
    <t>Kayah#ocap</t>
  </si>
  <si>
    <t>Kayah#ret</t>
  </si>
  <si>
    <t>Kayin#idp</t>
  </si>
  <si>
    <t>Kayin#ocap</t>
  </si>
  <si>
    <t>Kayin#ret</t>
  </si>
  <si>
    <t>Magway#idp</t>
  </si>
  <si>
    <t>Magway#ocap</t>
  </si>
  <si>
    <t>Magway#ret</t>
  </si>
  <si>
    <t>Mandalay#ocap</t>
  </si>
  <si>
    <t>Mon#idp</t>
  </si>
  <si>
    <t>Mon#ocap</t>
  </si>
  <si>
    <t>Mon#ret</t>
  </si>
  <si>
    <t>Nay Pyi Taw#ocap</t>
  </si>
  <si>
    <t>Rakhine#idp</t>
  </si>
  <si>
    <t>Rakhine#ndsp</t>
  </si>
  <si>
    <t>Rakhine#ocap</t>
  </si>
  <si>
    <t>Rakhine#ret</t>
  </si>
  <si>
    <t>Sagaing#idp</t>
  </si>
  <si>
    <t>Sagaing#ocap</t>
  </si>
  <si>
    <t>Sagaing#ret</t>
  </si>
  <si>
    <t>Shan (East)#ocap</t>
  </si>
  <si>
    <t>Shan (North)#idp</t>
  </si>
  <si>
    <t>Shan (North)#ocap</t>
  </si>
  <si>
    <t>Shan (North)#ret</t>
  </si>
  <si>
    <t>Shan (South)#idp</t>
  </si>
  <si>
    <t>Shan (South)#ocap</t>
  </si>
  <si>
    <t>Shan (South)#ret</t>
  </si>
  <si>
    <t>Tanintharyi#idp</t>
  </si>
  <si>
    <t>Tanintharyi#ocap</t>
  </si>
  <si>
    <t>Tanintharyi#ret</t>
  </si>
  <si>
    <t>Yangon#ocap</t>
  </si>
  <si>
    <t>Population group</t>
  </si>
  <si>
    <t>idp</t>
  </si>
  <si>
    <t>ndsp</t>
  </si>
  <si>
    <t>ocap</t>
  </si>
  <si>
    <t>ret</t>
  </si>
  <si>
    <t>disagg_pop_urbanruralcat</t>
  </si>
  <si>
    <t>idp#rural</t>
  </si>
  <si>
    <t>idp#urban</t>
  </si>
  <si>
    <t>ndsp#rural</t>
  </si>
  <si>
    <t>ndsp#urban</t>
  </si>
  <si>
    <t>ocap#rural</t>
  </si>
  <si>
    <t>ocap#urban</t>
  </si>
  <si>
    <t>ret#rural</t>
  </si>
  <si>
    <t>ret#urban</t>
  </si>
  <si>
    <t>hh_displaced_date_idp_cat</t>
  </si>
  <si>
    <t>6_months_or_less</t>
  </si>
  <si>
    <t>more_than_6_months</t>
  </si>
  <si>
    <t>NA</t>
  </si>
  <si>
    <t>If you had to choose a single factor that you consider to have been the final push that made your household to move involuntarily, which of the ones you just named as reasons for leaving, would you choose?</t>
  </si>
  <si>
    <t>Active conflict or violence in or close to your previous community</t>
  </si>
  <si>
    <t>Anticipated conflict or violence in your previous community</t>
  </si>
  <si>
    <t>Damage/losses due to pest/locust invasion</t>
  </si>
  <si>
    <t>Debt</t>
  </si>
  <si>
    <t>Precipitation deficit or dry spell (lack of rain)</t>
  </si>
  <si>
    <t>Evictions/forced to move out</t>
  </si>
  <si>
    <t>Awareness or fear of explosive hazards in or around your previous community</t>
  </si>
  <si>
    <t>Flooding or heavy rains</t>
  </si>
  <si>
    <t>Forced to leave previous community by host</t>
  </si>
  <si>
    <t>Lack of access to basic services (health, education, shelter, markets)</t>
  </si>
  <si>
    <t>Lack of  food</t>
  </si>
  <si>
    <t>Lack of sufficient income or unemployment/poverty</t>
  </si>
  <si>
    <t>Lack of sufficient water</t>
  </si>
  <si>
    <t>Other (${other_hh_displaced_causes})</t>
  </si>
  <si>
    <t>Calculated FCS category</t>
  </si>
  <si>
    <t>Acceptable</t>
  </si>
  <si>
    <t>Borderline</t>
  </si>
  <si>
    <t>Poor</t>
  </si>
  <si>
    <t>Calculated rCSI category</t>
  </si>
  <si>
    <t>High</t>
  </si>
  <si>
    <t>Medium</t>
  </si>
  <si>
    <t>No to Low</t>
  </si>
  <si>
    <t>Calculated LCSI category</t>
  </si>
  <si>
    <t>Crisis</t>
  </si>
  <si>
    <t>Emergency</t>
  </si>
  <si>
    <t>None</t>
  </si>
  <si>
    <t>Stress</t>
  </si>
  <si>
    <t>% of school-aged children with disability 3 -  the level of inclusion is any 1 domain/question is coded A LOT OF DIFFICULTY or CANNOT DO AT ALL</t>
  </si>
  <si>
    <t>0</t>
  </si>
  <si>
    <t>1</t>
  </si>
  <si>
    <t>% of school-aged children with disability 2 -  the level of inclusion is at least 2 domains/questions are coded SOME DIFFICULTY or any 1 domain/question is coded</t>
  </si>
  <si>
    <t>disagg_pop_conflictaffected</t>
  </si>
  <si>
    <t>idp#affected_conflict</t>
  </si>
  <si>
    <t>idp#notaffected_conflict</t>
  </si>
  <si>
    <t>ndsp#affected_conflict</t>
  </si>
  <si>
    <t>ndsp#notaffected_conflict</t>
  </si>
  <si>
    <t>ocap#affected_conflict</t>
  </si>
  <si>
    <t>ocap#notaffected_conflict</t>
  </si>
  <si>
    <t>ret#affected_conflict</t>
  </si>
  <si>
    <t>ret#notaffected_conflict</t>
  </si>
  <si>
    <t>disagg_pop_naturalhazards</t>
  </si>
  <si>
    <t>idp#affected_naturalhazard</t>
  </si>
  <si>
    <t>idp#notaffected_naturalhazard</t>
  </si>
  <si>
    <t>ndsp#affected_naturalhazard</t>
  </si>
  <si>
    <t>ndsp#notaffected_naturalhazard</t>
  </si>
  <si>
    <t>ocap#affected_naturalhazard</t>
  </si>
  <si>
    <t>ocap#notaffected_naturalhazard</t>
  </si>
  <si>
    <t>ret#affected_naturalhazard</t>
  </si>
  <si>
    <t>ret#notaffected_naturalhazard</t>
  </si>
  <si>
    <t>school_cycle_pop</t>
  </si>
  <si>
    <t>idp # ECE – 5 years old</t>
  </si>
  <si>
    <t>idp # lower secondary education – 11 to 14 years old</t>
  </si>
  <si>
    <t>idp # primary education primary school – 6 to 10 years old</t>
  </si>
  <si>
    <t>idp # upper secondary education – 15 to 17 years old</t>
  </si>
  <si>
    <t>ndsp # ECE – 5 years old</t>
  </si>
  <si>
    <t>ndsp # lower secondary education – 11 to 14 years old</t>
  </si>
  <si>
    <t>ndsp # primary education primary school – 6 to 10 years old</t>
  </si>
  <si>
    <t>ndsp # upper secondary education – 15 to 17 years old</t>
  </si>
  <si>
    <t>ocap # ECE – 5 years old</t>
  </si>
  <si>
    <t>ocap # lower secondary education – 11 to 14 years old</t>
  </si>
  <si>
    <t>ocap # primary education primary school – 6 to 10 years old</t>
  </si>
  <si>
    <t>ocap # upper secondary education – 15 to 17 years old</t>
  </si>
  <si>
    <t>ret # ECE – 5 years old</t>
  </si>
  <si>
    <t>ret # lower secondary education – 11 to 14 years old</t>
  </si>
  <si>
    <t>ret # primary education primary school – 6 to 10 years old</t>
  </si>
  <si>
    <t>ret # upper secondary education – 15 to 17 years old</t>
  </si>
  <si>
    <t>Analysis of overaged learners</t>
  </si>
  <si>
    <t>Overaged learners</t>
  </si>
  <si>
    <t>% of school-aged children attending primary school who are at least 2 years above the intended age for their grade</t>
  </si>
  <si>
    <t>% of school-aged children attending secondary school who are at least 2 years above the intended age for their grade</t>
  </si>
  <si>
    <t>Analysis of Children Not Accessing Education, OoS</t>
  </si>
  <si>
    <t>Barriers</t>
  </si>
  <si>
    <t>The child has already graduated from secondary education.</t>
  </si>
  <si>
    <t>Child participating in income generating activities outside of the home</t>
  </si>
  <si>
    <t>Cannot afford education-related costs</t>
  </si>
  <si>
    <t>There is a lack of interest/Education is not a priority either for the child or the household</t>
  </si>
  <si>
    <t>School has been closed due to conflict</t>
  </si>
  <si>
    <t>other</t>
  </si>
  <si>
    <t>% of OoS children</t>
  </si>
  <si>
    <t>Early childhood education and early enrolment</t>
  </si>
  <si>
    <t>School Attendance Profile</t>
  </si>
  <si>
    <t>% of children one year before primary school entry age attending early childhood education or primary school.</t>
  </si>
  <si>
    <t>% of children one year before primary school entry age attending primary school.</t>
  </si>
  <si>
    <t xml:space="preserve">idp # </t>
  </si>
  <si>
    <t xml:space="preserve">ndsp # </t>
  </si>
  <si>
    <t xml:space="preserve">ocap # </t>
  </si>
  <si>
    <t xml:space="preserve">ret # </t>
  </si>
  <si>
    <t>idp # Boys</t>
  </si>
  <si>
    <t>idp # Girls</t>
  </si>
  <si>
    <t>ndsp # Boys</t>
  </si>
  <si>
    <t>ndsp # Girls</t>
  </si>
  <si>
    <t>ocap # Boys</t>
  </si>
  <si>
    <t>ocap # Girls</t>
  </si>
  <si>
    <t>ret # Boys</t>
  </si>
  <si>
    <t>ret # Girls</t>
  </si>
  <si>
    <t>School Attendance Profile: primary</t>
  </si>
  <si>
    <t>% of school-aged children of primary school age currently attending primary or higher</t>
  </si>
  <si>
    <t>idp # pnta</t>
  </si>
  <si>
    <t>School Attendance Profile: intermediate -- secondary</t>
  </si>
  <si>
    <t>% of school-aged children of intermediate school level age currently attending intermediate school level or higher</t>
  </si>
  <si>
    <t>idp # other</t>
  </si>
  <si>
    <t>ocap # pnta</t>
  </si>
  <si>
    <t>School Attendance Profile: secondary</t>
  </si>
  <si>
    <t>% of school-aged children of  secondary school age currently attending secondary school or higher</t>
  </si>
  <si>
    <t>Analysis of Children Not Accessing Education and following non-formal programs</t>
  </si>
  <si>
    <t>Additional</t>
  </si>
  <si>
    <t>% children 5 to 18 y.o. who attended formal school only</t>
  </si>
  <si>
    <t>% children 5 to 18 y.o. who attended non-formal school only</t>
  </si>
  <si>
    <t>% children 5 to 18 y.o. who attended either formal school or structured non-formal school</t>
  </si>
  <si>
    <t>% children 5 to 18 y.o. who attended formal school AND non-formal school</t>
  </si>
  <si>
    <t>% children 5 to 18 y.o. who attended either formal school or non-formal school</t>
  </si>
  <si>
    <t>non-formal</t>
  </si>
  <si>
    <t>WGQ</t>
  </si>
  <si>
    <t>other WGQ parameters</t>
  </si>
  <si>
    <t>cannot do at all -- % of school-aged children with at least one of WG-SS component is at level 'cannot do at all'</t>
  </si>
  <si>
    <t>a lot of difficulty -- % of school-aged children with at least one of WG-SS component is at level 'a lot of difficulty'</t>
  </si>
  <si>
    <t>some difficulty -- % of school-aged children with at least one of WG-SS component is at level 'some difficulty'</t>
  </si>
  <si>
    <t>no difficulty -- % of school-aged children with at least one of WG-SS component is at level 'no difficulty'</t>
  </si>
  <si>
    <t>% of school-aged children who attended school or any early childhood education program at any time during the 2023-2024 school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</si>
</sst>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ont>
    <font>
      <u/>
      <sz val="11"/>
      <color theme="10"/>
      <name val="Calibri"/>
    </font>
    <font>
      <sz val="11"/>
      <color rgb="FF006100"/>
      <name val="Calibri"/>
      <family val="2"/>
      <scheme val="minor"/>
    </font>
    <font>
      <sz val="11"/>
      <color rgb="FF9C5700"/>
      <name val="Calibri"/>
      <family val="2"/>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FF00"/>
        <bgColor indexed="64"/>
      </patternFill>
    </fill>
  </fills>
  <borders count="13">
    <border>
      <left/>
      <right/>
      <top/>
      <bottom/>
      <diagonal/>
    </border>
    <border>
      <left style="thin">
        <color rgb="FFD3D3D3"/>
      </left>
      <right style="thin">
        <color rgb="FFD3D3D3"/>
      </right>
      <top style="thin">
        <color rgb="FFD3D3D3"/>
      </top>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diagonal/>
    </border>
    <border>
      <left style="thin">
        <color rgb="FFD3D3D3"/>
      </left>
      <right/>
      <top/>
      <bottom/>
      <diagonal/>
    </border>
    <border>
      <left style="thin">
        <color rgb="FFD3D3D3"/>
      </left>
      <right/>
      <top/>
      <bottom style="thin">
        <color rgb="FFD3D3D3"/>
      </bottom>
      <diagonal/>
    </border>
    <border>
      <left/>
      <right/>
      <top style="thin">
        <color rgb="FFD3D3D3"/>
      </top>
      <bottom/>
      <diagonal/>
    </border>
    <border>
      <left/>
      <right/>
      <top/>
      <bottom style="thin">
        <color rgb="FFD3D3D3"/>
      </bottom>
      <diagonal/>
    </border>
    <border>
      <left/>
      <right style="thin">
        <color rgb="FFD3D3D3"/>
      </right>
      <top style="thin">
        <color rgb="FFD3D3D3"/>
      </top>
      <bottom/>
      <diagonal/>
    </border>
    <border>
      <left/>
      <right style="thin">
        <color rgb="FFD3D3D3"/>
      </right>
      <top/>
      <bottom/>
      <diagonal/>
    </border>
    <border>
      <left/>
      <right style="thin">
        <color rgb="FFD3D3D3"/>
      </right>
      <top/>
      <bottom style="thin">
        <color rgb="FFD3D3D3"/>
      </bottom>
      <diagonal/>
    </border>
  </borders>
  <cellStyleXfs count="3">
    <xf numFmtId="0" fontId="0" fillId="0" borderId="0"/>
    <xf numFmtId="0" fontId="3" fillId="2" borderId="0" applyNumberFormat="0" applyBorder="0" applyAlignment="0" applyProtection="0"/>
    <xf numFmtId="0" fontId="4" fillId="3" borderId="0" applyNumberFormat="0" applyBorder="0" applyAlignment="0" applyProtection="0"/>
  </cellStyleXfs>
  <cellXfs count="40">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9" fontId="1" fillId="0" borderId="3" xfId="0" applyNumberFormat="1" applyFont="1" applyBorder="1"/>
    <xf numFmtId="9" fontId="1" fillId="0" borderId="8" xfId="0" applyNumberFormat="1" applyFont="1" applyBorder="1"/>
    <xf numFmtId="9" fontId="1" fillId="0" borderId="9" xfId="0" applyNumberFormat="1" applyFont="1" applyBorder="1"/>
    <xf numFmtId="9" fontId="1" fillId="0" borderId="0" xfId="0" applyNumberFormat="1" applyFont="1"/>
    <xf numFmtId="0" fontId="2" fillId="0" borderId="0" xfId="0" applyFont="1"/>
    <xf numFmtId="0" fontId="1" fillId="0" borderId="1" xfId="0" applyFont="1" applyBorder="1" applyAlignment="1">
      <alignment horizontal="center"/>
    </xf>
    <xf numFmtId="0" fontId="1" fillId="0" borderId="1" xfId="0" applyFont="1" applyBorder="1"/>
    <xf numFmtId="9" fontId="1" fillId="0" borderId="1" xfId="0" applyNumberFormat="1" applyFont="1" applyBorder="1"/>
    <xf numFmtId="0" fontId="4" fillId="3" borderId="1" xfId="2" applyBorder="1"/>
    <xf numFmtId="9" fontId="4" fillId="3" borderId="3" xfId="2" applyNumberFormat="1" applyBorder="1"/>
    <xf numFmtId="9" fontId="4" fillId="3" borderId="0" xfId="2" applyNumberFormat="1"/>
    <xf numFmtId="9" fontId="4" fillId="3" borderId="8" xfId="2" applyNumberFormat="1" applyBorder="1"/>
    <xf numFmtId="9" fontId="4" fillId="3" borderId="9" xfId="2" applyNumberFormat="1" applyBorder="1"/>
    <xf numFmtId="0" fontId="4" fillId="3" borderId="0" xfId="2"/>
    <xf numFmtId="0" fontId="3" fillId="2" borderId="1" xfId="1" applyBorder="1"/>
    <xf numFmtId="0" fontId="3" fillId="2" borderId="1" xfId="1" applyBorder="1"/>
    <xf numFmtId="9" fontId="3" fillId="2" borderId="3" xfId="1" applyNumberFormat="1" applyBorder="1"/>
    <xf numFmtId="9" fontId="3" fillId="2" borderId="0" xfId="1" applyNumberFormat="1"/>
    <xf numFmtId="9" fontId="3" fillId="2" borderId="8" xfId="1" applyNumberFormat="1" applyBorder="1"/>
    <xf numFmtId="9" fontId="3" fillId="2" borderId="9" xfId="1" applyNumberFormat="1" applyBorder="1"/>
    <xf numFmtId="0" fontId="3" fillId="2" borderId="0" xfId="1"/>
    <xf numFmtId="0" fontId="1" fillId="4" borderId="6" xfId="0" applyFont="1" applyFill="1" applyBorder="1"/>
    <xf numFmtId="0" fontId="0" fillId="4" borderId="0" xfId="0" applyFill="1"/>
    <xf numFmtId="9" fontId="1" fillId="4" borderId="0" xfId="0" applyNumberFormat="1" applyFont="1" applyFill="1"/>
    <xf numFmtId="9" fontId="4" fillId="4" borderId="0" xfId="2" applyNumberFormat="1" applyFill="1"/>
    <xf numFmtId="9" fontId="3" fillId="4" borderId="0" xfId="1" applyNumberFormat="1" applyFill="1"/>
    <xf numFmtId="0" fontId="1" fillId="4" borderId="11" xfId="0" applyFont="1" applyFill="1" applyBorder="1"/>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election activeCell="R29" sqref="R29"/>
    </sheetView>
  </sheetViews>
  <sheetFormatPr defaultColWidth="11.42578125" defaultRowHeight="15" x14ac:dyDescent="0.25"/>
  <sheetData>
    <row r="1" spans="1:1" x14ac:dyDescent="0.25">
      <c r="A1" t="s">
        <v>0</v>
      </c>
    </row>
    <row r="2" spans="1:1" x14ac:dyDescent="0.25">
      <c r="A2" s="17" t="str">
        <f>HYPERLINK("#'access'!A1", "Analysis of Children Accessing Education")</f>
        <v>Analysis of Children Accessing Education</v>
      </c>
    </row>
    <row r="3" spans="1:1" x14ac:dyDescent="0.25">
      <c r="A3" s="17" t="str">
        <f>HYPERLINK("#'overaged'!A1", "Analysis of overaged learners")</f>
        <v>Analysis of overaged learners</v>
      </c>
    </row>
    <row r="4" spans="1:1" x14ac:dyDescent="0.25">
      <c r="A4" s="17" t="str">
        <f>HYPERLINK("#'out_of_school'!A1", "Analysis of Children Not Accessing Education, OoS")</f>
        <v>Analysis of Children Not Accessing Education, OoS</v>
      </c>
    </row>
    <row r="5" spans="1:1" x14ac:dyDescent="0.25">
      <c r="A5" s="17" t="str">
        <f>HYPERLINK("#'ece'!A1", "Early childhood education and early enrolment")</f>
        <v>Early childhood education and early enrolment</v>
      </c>
    </row>
    <row r="6" spans="1:1" x14ac:dyDescent="0.25">
      <c r="A6" s="17" t="str">
        <f>HYPERLINK("#'level1'!A1", "School Attendance Profile: primary")</f>
        <v>School Attendance Profile: primary</v>
      </c>
    </row>
    <row r="7" spans="1:1" x14ac:dyDescent="0.25">
      <c r="A7" s="17" t="str">
        <f>HYPERLINK("#'level2'!A1", "School Attendance Profile: intermediate -- secondary")</f>
        <v>School Attendance Profile: intermediate -- secondary</v>
      </c>
    </row>
    <row r="8" spans="1:1" x14ac:dyDescent="0.25">
      <c r="A8" s="17" t="str">
        <f>HYPERLINK("#'level3'!A1", "School Attendance Profile: secondary")</f>
        <v>School Attendance Profile: secondary</v>
      </c>
    </row>
    <row r="10" spans="1:1" x14ac:dyDescent="0.25">
      <c r="A10" s="17" t="str">
        <f>HYPERLINK("#'non_formal'!A1", "Analysis of Children Not Accessing Education and following non-formal programs")</f>
        <v>Analysis of Children Not Accessing Education and following non-formal programs</v>
      </c>
    </row>
    <row r="11" spans="1:1" x14ac:dyDescent="0.25">
      <c r="A11" s="17" t="str">
        <f>HYPERLINK("#'wgq'!A1", "WGQ")</f>
        <v>WGQ</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85"/>
  <sheetViews>
    <sheetView showGridLines="0" topLeftCell="A73" workbookViewId="0">
      <selection activeCell="B186" sqref="B186"/>
    </sheetView>
  </sheetViews>
  <sheetFormatPr defaultColWidth="11.42578125" defaultRowHeight="15" outlineLevelRow="1" x14ac:dyDescent="0.25"/>
  <cols>
    <col min="2" max="2" width="52" customWidth="1"/>
  </cols>
  <sheetData>
    <row r="1" spans="1:32" x14ac:dyDescent="0.25">
      <c r="A1" s="18" t="s">
        <v>1</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row>
    <row r="2" spans="1:32" x14ac:dyDescent="0.25">
      <c r="C2" s="19" t="s">
        <v>2</v>
      </c>
      <c r="D2" s="19"/>
      <c r="E2" s="19"/>
      <c r="F2" s="19"/>
      <c r="G2" s="19"/>
      <c r="H2" s="19"/>
      <c r="I2" s="19"/>
      <c r="J2" s="19"/>
      <c r="K2" s="19"/>
      <c r="L2" s="19"/>
      <c r="M2" s="19" t="s">
        <v>3</v>
      </c>
      <c r="N2" s="19"/>
      <c r="O2" s="19"/>
      <c r="P2" s="19"/>
      <c r="Q2" s="19"/>
      <c r="R2" s="19"/>
      <c r="S2" s="19"/>
      <c r="T2" s="19"/>
      <c r="U2" s="19"/>
      <c r="V2" s="19"/>
      <c r="W2" s="19" t="s">
        <v>4</v>
      </c>
      <c r="X2" s="19"/>
      <c r="Y2" s="19"/>
      <c r="Z2" s="19"/>
      <c r="AA2" s="19"/>
      <c r="AB2" s="19"/>
      <c r="AC2" s="19"/>
      <c r="AD2" s="19"/>
      <c r="AE2" s="19"/>
      <c r="AF2" s="19"/>
    </row>
    <row r="3" spans="1:32" x14ac:dyDescent="0.25">
      <c r="E3" s="19" t="s">
        <v>5</v>
      </c>
      <c r="F3" s="19"/>
      <c r="G3" s="19"/>
      <c r="H3" s="19"/>
      <c r="I3" s="19"/>
      <c r="J3" s="19"/>
      <c r="K3" s="19"/>
      <c r="L3" s="19"/>
      <c r="O3" s="19" t="s">
        <v>5</v>
      </c>
      <c r="P3" s="19"/>
      <c r="Q3" s="19"/>
      <c r="R3" s="19"/>
      <c r="S3" s="19"/>
      <c r="T3" s="19"/>
      <c r="U3" s="19"/>
      <c r="V3" s="19"/>
      <c r="Y3" s="19" t="s">
        <v>5</v>
      </c>
      <c r="Z3" s="19"/>
      <c r="AA3" s="19"/>
      <c r="AB3" s="19"/>
      <c r="AC3" s="19"/>
      <c r="AD3" s="19"/>
      <c r="AE3" s="19"/>
      <c r="AF3" s="19"/>
    </row>
    <row r="4" spans="1:32" x14ac:dyDescent="0.25">
      <c r="C4" s="19" t="s">
        <v>10</v>
      </c>
      <c r="D4" s="19"/>
      <c r="E4" s="19" t="s">
        <v>6</v>
      </c>
      <c r="F4" s="19"/>
      <c r="G4" s="19" t="s">
        <v>7</v>
      </c>
      <c r="H4" s="19"/>
      <c r="I4" s="19" t="s">
        <v>8</v>
      </c>
      <c r="J4" s="19"/>
      <c r="K4" s="19" t="s">
        <v>9</v>
      </c>
      <c r="L4" s="19"/>
      <c r="M4" s="19" t="s">
        <v>10</v>
      </c>
      <c r="N4" s="19"/>
      <c r="O4" s="19" t="s">
        <v>6</v>
      </c>
      <c r="P4" s="19"/>
      <c r="Q4" s="19" t="s">
        <v>7</v>
      </c>
      <c r="R4" s="19"/>
      <c r="S4" s="19" t="s">
        <v>8</v>
      </c>
      <c r="T4" s="19"/>
      <c r="U4" s="19" t="s">
        <v>9</v>
      </c>
      <c r="V4" s="19"/>
      <c r="W4" s="19" t="s">
        <v>10</v>
      </c>
      <c r="X4" s="19"/>
      <c r="Y4" s="19" t="s">
        <v>6</v>
      </c>
      <c r="Z4" s="19"/>
      <c r="AA4" s="19" t="s">
        <v>7</v>
      </c>
      <c r="AB4" s="19"/>
      <c r="AC4" s="19" t="s">
        <v>8</v>
      </c>
      <c r="AD4" s="19"/>
      <c r="AE4" s="19" t="s">
        <v>9</v>
      </c>
      <c r="AF4" s="19"/>
    </row>
    <row r="5" spans="1:32" x14ac:dyDescent="0.25">
      <c r="A5" s="1" t="s">
        <v>11</v>
      </c>
      <c r="B5" s="1" t="s">
        <v>12</v>
      </c>
      <c r="C5" s="1" t="s">
        <v>13</v>
      </c>
      <c r="D5" s="1" t="s">
        <v>14</v>
      </c>
      <c r="E5" s="1" t="s">
        <v>13</v>
      </c>
      <c r="F5" s="1" t="s">
        <v>14</v>
      </c>
      <c r="G5" s="1" t="s">
        <v>13</v>
      </c>
      <c r="H5" s="1" t="s">
        <v>14</v>
      </c>
      <c r="I5" s="1" t="s">
        <v>13</v>
      </c>
      <c r="J5" s="1" t="s">
        <v>14</v>
      </c>
      <c r="K5" s="1" t="s">
        <v>13</v>
      </c>
      <c r="L5" s="1" t="s">
        <v>14</v>
      </c>
      <c r="M5" s="1" t="s">
        <v>13</v>
      </c>
      <c r="N5" s="1" t="s">
        <v>14</v>
      </c>
      <c r="O5" s="1" t="s">
        <v>13</v>
      </c>
      <c r="P5" s="1" t="s">
        <v>14</v>
      </c>
      <c r="Q5" s="1" t="s">
        <v>13</v>
      </c>
      <c r="R5" s="1" t="s">
        <v>14</v>
      </c>
      <c r="S5" s="1" t="s">
        <v>13</v>
      </c>
      <c r="T5" s="1" t="s">
        <v>14</v>
      </c>
      <c r="U5" s="1" t="s">
        <v>13</v>
      </c>
      <c r="V5" s="1" t="s">
        <v>14</v>
      </c>
      <c r="W5" s="1" t="s">
        <v>13</v>
      </c>
      <c r="X5" s="1" t="s">
        <v>14</v>
      </c>
      <c r="Y5" s="1" t="s">
        <v>13</v>
      </c>
      <c r="Z5" s="1" t="s">
        <v>14</v>
      </c>
      <c r="AA5" s="1" t="s">
        <v>13</v>
      </c>
      <c r="AB5" s="1" t="s">
        <v>14</v>
      </c>
      <c r="AC5" s="1" t="s">
        <v>13</v>
      </c>
      <c r="AD5" s="1" t="s">
        <v>14</v>
      </c>
      <c r="AE5" s="1" t="s">
        <v>13</v>
      </c>
      <c r="AF5" s="1" t="s">
        <v>14</v>
      </c>
    </row>
    <row r="6" spans="1:32" x14ac:dyDescent="0.25">
      <c r="A6" s="19" t="s">
        <v>2</v>
      </c>
      <c r="B6" s="19"/>
      <c r="C6" s="20"/>
      <c r="D6" s="19"/>
      <c r="E6" s="20"/>
      <c r="F6" s="19"/>
      <c r="G6" s="20"/>
      <c r="H6" s="19"/>
      <c r="I6" s="20"/>
      <c r="J6" s="19"/>
      <c r="K6" s="20"/>
      <c r="L6" s="19"/>
      <c r="M6" s="20"/>
      <c r="N6" s="19"/>
      <c r="O6" s="20"/>
      <c r="P6" s="19"/>
      <c r="Q6" s="20"/>
      <c r="R6" s="19"/>
      <c r="S6" s="20"/>
      <c r="T6" s="19"/>
      <c r="U6" s="20"/>
      <c r="V6" s="19"/>
      <c r="W6" s="20"/>
      <c r="X6" s="19"/>
      <c r="Y6" s="20"/>
      <c r="Z6" s="19"/>
      <c r="AA6" s="20"/>
      <c r="AB6" s="19"/>
      <c r="AC6" s="20"/>
      <c r="AD6" s="19"/>
      <c r="AE6" s="20"/>
      <c r="AF6" s="19"/>
    </row>
    <row r="7" spans="1:32" outlineLevel="1" x14ac:dyDescent="0.25">
      <c r="A7" s="2" t="s">
        <v>15</v>
      </c>
      <c r="B7" s="3" t="s">
        <v>2</v>
      </c>
      <c r="C7" s="13">
        <v>0.71189039790054898</v>
      </c>
      <c r="D7" s="3">
        <v>8682</v>
      </c>
      <c r="E7" s="13">
        <v>5.3773084901859003E-2</v>
      </c>
      <c r="F7" s="3">
        <v>4781</v>
      </c>
      <c r="G7" s="13">
        <v>4.0425298272763401E-2</v>
      </c>
      <c r="H7" s="3">
        <v>4793</v>
      </c>
      <c r="I7" s="13">
        <v>1.5347894684965099E-2</v>
      </c>
      <c r="J7" s="3">
        <v>4790</v>
      </c>
      <c r="K7" s="13">
        <v>1.1511680051389099E-2</v>
      </c>
      <c r="L7" s="3">
        <v>4746</v>
      </c>
      <c r="M7" s="13">
        <v>0.71523655190317403</v>
      </c>
      <c r="N7" s="3">
        <v>4385</v>
      </c>
      <c r="O7" s="13">
        <v>5.2919757418196697E-2</v>
      </c>
      <c r="P7" s="3">
        <v>2452</v>
      </c>
      <c r="Q7" s="13">
        <v>3.5356347656659598E-2</v>
      </c>
      <c r="R7" s="3">
        <v>2455</v>
      </c>
      <c r="S7" s="13">
        <v>1.31600029044102E-2</v>
      </c>
      <c r="T7" s="3">
        <v>2455</v>
      </c>
      <c r="U7" s="13">
        <v>1.1987313351589301E-2</v>
      </c>
      <c r="V7" s="3">
        <v>2435</v>
      </c>
      <c r="W7" s="13">
        <v>0.70834485062167396</v>
      </c>
      <c r="X7" s="3">
        <v>4290</v>
      </c>
      <c r="Y7" s="13">
        <v>5.4681414314942403E-2</v>
      </c>
      <c r="Z7" s="3">
        <v>2326</v>
      </c>
      <c r="AA7" s="13">
        <v>4.5850085215336803E-2</v>
      </c>
      <c r="AB7" s="3">
        <v>2335</v>
      </c>
      <c r="AC7" s="13">
        <v>1.76911008657617E-2</v>
      </c>
      <c r="AD7" s="3">
        <v>2332</v>
      </c>
      <c r="AE7" s="13">
        <v>1.10118257347433E-2</v>
      </c>
      <c r="AF7" s="4">
        <v>2308</v>
      </c>
    </row>
    <row r="8" spans="1:32" x14ac:dyDescent="0.25">
      <c r="C8" s="16"/>
      <c r="E8" s="16"/>
      <c r="G8" s="16"/>
      <c r="I8" s="16"/>
      <c r="K8" s="16"/>
      <c r="M8" s="16"/>
      <c r="O8" s="16"/>
      <c r="Q8" s="16"/>
      <c r="S8" s="16"/>
      <c r="U8" s="16"/>
      <c r="W8" s="16"/>
      <c r="Y8" s="16"/>
      <c r="AA8" s="16"/>
      <c r="AC8" s="16"/>
      <c r="AE8" s="16"/>
    </row>
    <row r="9" spans="1:32" x14ac:dyDescent="0.25">
      <c r="A9" s="19" t="s">
        <v>16</v>
      </c>
      <c r="B9" s="19"/>
      <c r="C9" s="20"/>
      <c r="D9" s="19"/>
      <c r="E9" s="20"/>
      <c r="F9" s="19"/>
      <c r="G9" s="20"/>
      <c r="H9" s="19"/>
      <c r="I9" s="20"/>
      <c r="J9" s="19"/>
      <c r="K9" s="20"/>
      <c r="L9" s="19"/>
      <c r="M9" s="20"/>
      <c r="N9" s="19"/>
      <c r="O9" s="20"/>
      <c r="P9" s="19"/>
      <c r="Q9" s="20"/>
      <c r="R9" s="19"/>
      <c r="S9" s="20"/>
      <c r="T9" s="19"/>
      <c r="U9" s="20"/>
      <c r="V9" s="19"/>
      <c r="W9" s="20"/>
      <c r="X9" s="19"/>
      <c r="Y9" s="20"/>
      <c r="Z9" s="19"/>
      <c r="AA9" s="20"/>
      <c r="AB9" s="19"/>
      <c r="AC9" s="20"/>
      <c r="AD9" s="19"/>
      <c r="AE9" s="20"/>
      <c r="AF9" s="19"/>
    </row>
    <row r="10" spans="1:32" outlineLevel="1" x14ac:dyDescent="0.25">
      <c r="A10" s="5" t="s">
        <v>15</v>
      </c>
      <c r="B10" s="8" t="s">
        <v>17</v>
      </c>
      <c r="C10" s="14">
        <v>0.73765210182271801</v>
      </c>
      <c r="D10" s="8">
        <v>625</v>
      </c>
      <c r="E10" s="14">
        <v>4.07428396533423E-2</v>
      </c>
      <c r="F10" s="8">
        <v>359</v>
      </c>
      <c r="G10" s="14">
        <v>2.9673078397819401E-2</v>
      </c>
      <c r="H10" s="8">
        <v>360</v>
      </c>
      <c r="I10" s="14">
        <v>1.03279366197925E-2</v>
      </c>
      <c r="J10" s="8">
        <v>360</v>
      </c>
      <c r="K10" s="14">
        <v>1.7665013179531001E-2</v>
      </c>
      <c r="L10" s="8">
        <v>356</v>
      </c>
      <c r="M10" s="14">
        <v>0.70752550025543304</v>
      </c>
      <c r="N10" s="8">
        <v>290</v>
      </c>
      <c r="O10" s="14">
        <v>1.43953313317918E-2</v>
      </c>
      <c r="P10" s="8">
        <v>164</v>
      </c>
      <c r="Q10" s="14">
        <v>1.7707602444158602E-2</v>
      </c>
      <c r="R10" s="8">
        <v>165</v>
      </c>
      <c r="S10" s="14">
        <v>1.08616711444952E-2</v>
      </c>
      <c r="T10" s="8">
        <v>165</v>
      </c>
      <c r="U10" s="14">
        <v>2.18104735686535E-2</v>
      </c>
      <c r="V10" s="8">
        <v>164</v>
      </c>
      <c r="W10" s="14">
        <v>0.76341405892609804</v>
      </c>
      <c r="X10" s="8">
        <v>334</v>
      </c>
      <c r="Y10" s="14">
        <v>6.0775503098372E-2</v>
      </c>
      <c r="Z10" s="8">
        <v>195</v>
      </c>
      <c r="AA10" s="14">
        <v>3.8846481914186798E-2</v>
      </c>
      <c r="AB10" s="8">
        <v>195</v>
      </c>
      <c r="AC10" s="14">
        <v>9.9187458625943498E-3</v>
      </c>
      <c r="AD10" s="8">
        <v>195</v>
      </c>
      <c r="AE10" s="14">
        <v>1.4483538223984099E-2</v>
      </c>
      <c r="AF10" s="10">
        <v>192</v>
      </c>
    </row>
    <row r="11" spans="1:32" outlineLevel="1" x14ac:dyDescent="0.25">
      <c r="A11" s="6" t="s">
        <v>15</v>
      </c>
      <c r="B11" t="s">
        <v>18</v>
      </c>
      <c r="C11" s="16">
        <v>0.80332488846433003</v>
      </c>
      <c r="D11">
        <v>3410</v>
      </c>
      <c r="E11" s="16">
        <v>6.1531805895245303E-2</v>
      </c>
      <c r="F11">
        <v>2187</v>
      </c>
      <c r="G11" s="16">
        <v>3.8271349826692801E-2</v>
      </c>
      <c r="H11">
        <v>2192</v>
      </c>
      <c r="I11" s="16">
        <v>1.7280898210905199E-2</v>
      </c>
      <c r="J11">
        <v>2194</v>
      </c>
      <c r="K11" s="16">
        <v>1.3911204322162999E-2</v>
      </c>
      <c r="L11">
        <v>2182</v>
      </c>
      <c r="M11" s="16">
        <v>0.80816615371244305</v>
      </c>
      <c r="N11">
        <v>1677</v>
      </c>
      <c r="O11" s="16">
        <v>5.9731538361255901E-2</v>
      </c>
      <c r="P11">
        <v>1096</v>
      </c>
      <c r="Q11" s="16">
        <v>3.4808426766159001E-2</v>
      </c>
      <c r="R11">
        <v>1097</v>
      </c>
      <c r="S11" s="16">
        <v>1.5736966247545999E-2</v>
      </c>
      <c r="T11">
        <v>1098</v>
      </c>
      <c r="U11" s="16">
        <v>1.5867430087926199E-2</v>
      </c>
      <c r="V11">
        <v>1091</v>
      </c>
      <c r="W11" s="16">
        <v>0.79829832661087297</v>
      </c>
      <c r="X11">
        <v>1731</v>
      </c>
      <c r="Y11" s="16">
        <v>6.3367594665875299E-2</v>
      </c>
      <c r="Z11">
        <v>1090</v>
      </c>
      <c r="AA11" s="16">
        <v>4.1942577216051297E-2</v>
      </c>
      <c r="AB11">
        <v>1094</v>
      </c>
      <c r="AC11" s="16">
        <v>1.89177326086045E-2</v>
      </c>
      <c r="AD11">
        <v>1095</v>
      </c>
      <c r="AE11" s="16">
        <v>1.18530417378543E-2</v>
      </c>
      <c r="AF11" s="11">
        <v>1090</v>
      </c>
    </row>
    <row r="12" spans="1:32" outlineLevel="1" x14ac:dyDescent="0.25">
      <c r="A12" s="6" t="s">
        <v>15</v>
      </c>
      <c r="B12" t="s">
        <v>19</v>
      </c>
      <c r="C12" s="16">
        <v>0.73077644380235696</v>
      </c>
      <c r="D12">
        <v>2775</v>
      </c>
      <c r="E12" s="16">
        <v>4.6675420752782797E-2</v>
      </c>
      <c r="F12">
        <v>1519</v>
      </c>
      <c r="G12" s="16">
        <v>4.0936787961889799E-2</v>
      </c>
      <c r="H12">
        <v>1522</v>
      </c>
      <c r="I12" s="16">
        <v>1.5558912390314599E-2</v>
      </c>
      <c r="J12">
        <v>1518</v>
      </c>
      <c r="K12" s="16">
        <v>1.0525405925801E-2</v>
      </c>
      <c r="L12">
        <v>1498</v>
      </c>
      <c r="M12" s="16">
        <v>0.73155181376921896</v>
      </c>
      <c r="N12">
        <v>1434</v>
      </c>
      <c r="O12" s="16">
        <v>4.3451293865457298E-2</v>
      </c>
      <c r="P12">
        <v>788</v>
      </c>
      <c r="Q12" s="16">
        <v>3.0797577956452299E-2</v>
      </c>
      <c r="R12">
        <v>787</v>
      </c>
      <c r="S12" s="16">
        <v>1.02106528509841E-2</v>
      </c>
      <c r="T12">
        <v>787</v>
      </c>
      <c r="U12" s="16">
        <v>1.0989154875282899E-2</v>
      </c>
      <c r="V12">
        <v>780</v>
      </c>
      <c r="W12" s="16">
        <v>0.72967607127842304</v>
      </c>
      <c r="X12">
        <v>1338</v>
      </c>
      <c r="Y12" s="16">
        <v>5.0350527291523603E-2</v>
      </c>
      <c r="Z12">
        <v>729</v>
      </c>
      <c r="AA12" s="16">
        <v>5.2212559868813603E-2</v>
      </c>
      <c r="AB12">
        <v>733</v>
      </c>
      <c r="AC12" s="16">
        <v>2.1529051697410002E-2</v>
      </c>
      <c r="AD12">
        <v>729</v>
      </c>
      <c r="AE12" s="16">
        <v>1.0026923363697E-2</v>
      </c>
      <c r="AF12" s="11">
        <v>716</v>
      </c>
    </row>
    <row r="13" spans="1:32" outlineLevel="1" x14ac:dyDescent="0.25">
      <c r="A13" s="7" t="s">
        <v>15</v>
      </c>
      <c r="B13" s="9" t="s">
        <v>20</v>
      </c>
      <c r="C13" s="15">
        <v>0.51574120968256099</v>
      </c>
      <c r="D13" s="9">
        <v>1872</v>
      </c>
      <c r="E13" s="15">
        <v>5.2271638017838101E-2</v>
      </c>
      <c r="F13" s="9">
        <v>716</v>
      </c>
      <c r="G13" s="15">
        <v>4.9991071763486501E-2</v>
      </c>
      <c r="H13" s="9">
        <v>719</v>
      </c>
      <c r="I13" s="15">
        <v>1.18116507194729E-2</v>
      </c>
      <c r="J13" s="9">
        <v>718</v>
      </c>
      <c r="K13" s="15">
        <v>4.2222690784376399E-3</v>
      </c>
      <c r="L13" s="9">
        <v>710</v>
      </c>
      <c r="M13" s="15">
        <v>0.53201425373586697</v>
      </c>
      <c r="N13" s="9">
        <v>984</v>
      </c>
      <c r="O13" s="15">
        <v>6.6861194798468193E-2</v>
      </c>
      <c r="P13" s="9">
        <v>404</v>
      </c>
      <c r="Q13" s="15">
        <v>5.1858973598541198E-2</v>
      </c>
      <c r="R13" s="9">
        <v>406</v>
      </c>
      <c r="S13" s="15">
        <v>1.29124962380482E-2</v>
      </c>
      <c r="T13" s="9">
        <v>405</v>
      </c>
      <c r="U13" s="15">
        <v>3.21918871792994E-4</v>
      </c>
      <c r="V13" s="9">
        <v>400</v>
      </c>
      <c r="W13" s="15">
        <v>0.49810077781642598</v>
      </c>
      <c r="X13" s="9">
        <v>887</v>
      </c>
      <c r="Y13" s="15">
        <v>3.52812778983135E-2</v>
      </c>
      <c r="Z13" s="9">
        <v>312</v>
      </c>
      <c r="AA13" s="15">
        <v>4.7821480525619499E-2</v>
      </c>
      <c r="AB13" s="9">
        <v>313</v>
      </c>
      <c r="AC13" s="15">
        <v>1.05364389572968E-2</v>
      </c>
      <c r="AD13" s="9">
        <v>313</v>
      </c>
      <c r="AE13" s="15">
        <v>8.7390693216089794E-3</v>
      </c>
      <c r="AF13" s="12">
        <v>310</v>
      </c>
    </row>
    <row r="14" spans="1:32" x14ac:dyDescent="0.25">
      <c r="C14" s="16"/>
      <c r="E14" s="16"/>
      <c r="G14" s="16"/>
      <c r="I14" s="16"/>
      <c r="K14" s="16"/>
      <c r="M14" s="16"/>
      <c r="O14" s="16"/>
      <c r="Q14" s="16"/>
      <c r="S14" s="16"/>
      <c r="U14" s="16"/>
      <c r="W14" s="16"/>
      <c r="Y14" s="16"/>
      <c r="AA14" s="16"/>
      <c r="AC14" s="16"/>
      <c r="AE14" s="16"/>
    </row>
    <row r="15" spans="1:32" x14ac:dyDescent="0.25">
      <c r="A15" s="19" t="s">
        <v>21</v>
      </c>
      <c r="B15" s="19"/>
      <c r="C15" s="20"/>
      <c r="D15" s="19"/>
      <c r="E15" s="20"/>
      <c r="F15" s="19"/>
      <c r="G15" s="20"/>
      <c r="H15" s="19"/>
      <c r="I15" s="20"/>
      <c r="J15" s="19"/>
      <c r="K15" s="20"/>
      <c r="L15" s="19"/>
      <c r="M15" s="20"/>
      <c r="N15" s="19"/>
      <c r="O15" s="20"/>
      <c r="P15" s="19"/>
      <c r="Q15" s="20"/>
      <c r="R15" s="19"/>
      <c r="S15" s="20"/>
      <c r="T15" s="19"/>
      <c r="U15" s="20"/>
      <c r="V15" s="19"/>
      <c r="W15" s="20"/>
      <c r="X15" s="19"/>
      <c r="Y15" s="20"/>
      <c r="Z15" s="19"/>
      <c r="AA15" s="20"/>
      <c r="AB15" s="19"/>
      <c r="AC15" s="20"/>
      <c r="AD15" s="19"/>
      <c r="AE15" s="20"/>
      <c r="AF15" s="19"/>
    </row>
    <row r="16" spans="1:32" outlineLevel="1" x14ac:dyDescent="0.25">
      <c r="A16" s="5" t="s">
        <v>15</v>
      </c>
      <c r="B16" s="8" t="s">
        <v>22</v>
      </c>
      <c r="C16" s="14">
        <v>0.92411556089526703</v>
      </c>
      <c r="D16" s="8">
        <v>131</v>
      </c>
      <c r="E16" s="14"/>
      <c r="F16" s="8"/>
      <c r="G16" s="14"/>
      <c r="H16" s="8"/>
      <c r="I16" s="14"/>
      <c r="J16" s="8"/>
      <c r="K16" s="14">
        <v>8.5657369385858505E-3</v>
      </c>
      <c r="L16" s="8">
        <v>117</v>
      </c>
      <c r="M16" s="14">
        <v>0.94215215122384299</v>
      </c>
      <c r="N16" s="8">
        <v>66</v>
      </c>
      <c r="O16" s="14"/>
      <c r="P16" s="8"/>
      <c r="Q16" s="14"/>
      <c r="R16" s="8"/>
      <c r="S16" s="14"/>
      <c r="T16" s="8"/>
      <c r="U16" s="14">
        <v>1.7254741634670698E-2</v>
      </c>
      <c r="V16" s="8">
        <v>58</v>
      </c>
      <c r="W16" s="14">
        <v>0.90579317577088303</v>
      </c>
      <c r="X16" s="8">
        <v>65</v>
      </c>
      <c r="Y16" s="14"/>
      <c r="Z16" s="8"/>
      <c r="AA16" s="14"/>
      <c r="AB16" s="8"/>
      <c r="AC16" s="14"/>
      <c r="AD16" s="8"/>
      <c r="AE16" s="14"/>
      <c r="AF16" s="10"/>
    </row>
    <row r="17" spans="1:32" outlineLevel="1" x14ac:dyDescent="0.25">
      <c r="A17" s="6" t="s">
        <v>15</v>
      </c>
      <c r="B17" t="s">
        <v>23</v>
      </c>
      <c r="C17" s="16">
        <v>0.78311577247181396</v>
      </c>
      <c r="D17">
        <v>546</v>
      </c>
      <c r="E17" s="16">
        <v>1.32279492266073E-2</v>
      </c>
      <c r="F17">
        <v>385</v>
      </c>
      <c r="G17" s="16">
        <v>4.2908867439676701E-2</v>
      </c>
      <c r="H17">
        <v>386</v>
      </c>
      <c r="I17" s="16">
        <v>6.2332992734467803E-3</v>
      </c>
      <c r="J17">
        <v>387</v>
      </c>
      <c r="K17" s="16"/>
      <c r="M17" s="16">
        <v>0.80754625998336205</v>
      </c>
      <c r="N17">
        <v>290</v>
      </c>
      <c r="O17" s="16">
        <v>1.12569722584679E-2</v>
      </c>
      <c r="P17">
        <v>212</v>
      </c>
      <c r="Q17" s="16">
        <v>2.87866778091052E-2</v>
      </c>
      <c r="R17">
        <v>211</v>
      </c>
      <c r="S17" s="16"/>
      <c r="U17" s="16"/>
      <c r="W17" s="16">
        <v>0.75418341645107401</v>
      </c>
      <c r="X17">
        <v>256</v>
      </c>
      <c r="Y17" s="16">
        <v>1.5759737451208702E-2</v>
      </c>
      <c r="Z17">
        <v>173</v>
      </c>
      <c r="AA17" s="16">
        <v>6.0807443822155798E-2</v>
      </c>
      <c r="AB17">
        <v>175</v>
      </c>
      <c r="AC17" s="16">
        <v>1.4137538526783599E-2</v>
      </c>
      <c r="AD17">
        <v>175</v>
      </c>
      <c r="AE17" s="16"/>
      <c r="AF17" s="11"/>
    </row>
    <row r="18" spans="1:32" outlineLevel="1" x14ac:dyDescent="0.25">
      <c r="A18" s="6" t="s">
        <v>15</v>
      </c>
      <c r="B18" t="s">
        <v>24</v>
      </c>
      <c r="C18" s="16">
        <v>0.81655749309167303</v>
      </c>
      <c r="D18">
        <v>126</v>
      </c>
      <c r="E18" s="16">
        <v>7.8583835156016399E-2</v>
      </c>
      <c r="F18">
        <v>102</v>
      </c>
      <c r="G18" s="16"/>
      <c r="I18" s="16"/>
      <c r="K18" s="16"/>
      <c r="M18" s="16">
        <v>0.83569795462640395</v>
      </c>
      <c r="N18">
        <v>61</v>
      </c>
      <c r="O18" s="16">
        <v>0.117170396009759</v>
      </c>
      <c r="P18">
        <v>51</v>
      </c>
      <c r="Q18" s="16"/>
      <c r="S18" s="16"/>
      <c r="U18" s="16"/>
      <c r="W18" s="16">
        <v>0.79846685633341596</v>
      </c>
      <c r="X18">
        <v>65</v>
      </c>
      <c r="Y18" s="16">
        <v>3.9652335235849497E-2</v>
      </c>
      <c r="Z18">
        <v>51</v>
      </c>
      <c r="AA18" s="16"/>
      <c r="AC18" s="16"/>
      <c r="AE18" s="16"/>
      <c r="AF18" s="11"/>
    </row>
    <row r="19" spans="1:32" outlineLevel="1" x14ac:dyDescent="0.25">
      <c r="A19" s="6" t="s">
        <v>15</v>
      </c>
      <c r="B19" t="s">
        <v>25</v>
      </c>
      <c r="C19" s="16">
        <v>0.337914665721185</v>
      </c>
      <c r="D19">
        <v>776</v>
      </c>
      <c r="E19" s="16">
        <v>8.4975470584278498E-2</v>
      </c>
      <c r="F19">
        <v>274</v>
      </c>
      <c r="G19" s="16">
        <v>1.0973902470460799E-2</v>
      </c>
      <c r="H19">
        <v>270</v>
      </c>
      <c r="I19" s="16">
        <v>4.9773452182056102E-2</v>
      </c>
      <c r="J19">
        <v>274</v>
      </c>
      <c r="K19" s="16">
        <v>3.2276354383757699E-2</v>
      </c>
      <c r="L19">
        <v>272</v>
      </c>
      <c r="M19" s="16">
        <v>0.34310561241660997</v>
      </c>
      <c r="N19">
        <v>400</v>
      </c>
      <c r="O19" s="16">
        <v>5.9627853077870899E-2</v>
      </c>
      <c r="P19">
        <v>145</v>
      </c>
      <c r="Q19" s="16">
        <v>1.9050014838497501E-2</v>
      </c>
      <c r="R19">
        <v>143</v>
      </c>
      <c r="S19" s="16">
        <v>2.0892907295551901E-2</v>
      </c>
      <c r="T19">
        <v>145</v>
      </c>
      <c r="U19" s="16">
        <v>1.8734249567980799E-2</v>
      </c>
      <c r="V19">
        <v>145</v>
      </c>
      <c r="W19" s="16">
        <v>0.332464462147741</v>
      </c>
      <c r="X19">
        <v>376</v>
      </c>
      <c r="Y19" s="16">
        <v>0.112440868326715</v>
      </c>
      <c r="Z19">
        <v>129</v>
      </c>
      <c r="AA19" s="16">
        <v>2.3452257290980699E-3</v>
      </c>
      <c r="AB19">
        <v>127</v>
      </c>
      <c r="AC19" s="16">
        <v>8.1066951546468702E-2</v>
      </c>
      <c r="AD19">
        <v>129</v>
      </c>
      <c r="AE19" s="16">
        <v>4.6988873295145499E-2</v>
      </c>
      <c r="AF19" s="11">
        <v>127</v>
      </c>
    </row>
    <row r="20" spans="1:32" outlineLevel="1" x14ac:dyDescent="0.25">
      <c r="A20" s="6" t="s">
        <v>15</v>
      </c>
      <c r="B20" t="s">
        <v>26</v>
      </c>
      <c r="C20" s="16">
        <v>0.74679272762134097</v>
      </c>
      <c r="D20">
        <v>604</v>
      </c>
      <c r="E20" s="16">
        <v>2.26115660968771E-2</v>
      </c>
      <c r="F20">
        <v>421</v>
      </c>
      <c r="G20" s="16">
        <v>2.9275048644413201E-2</v>
      </c>
      <c r="H20">
        <v>420</v>
      </c>
      <c r="I20" s="16">
        <v>7.2413855641072396E-3</v>
      </c>
      <c r="J20">
        <v>417</v>
      </c>
      <c r="K20" s="16">
        <v>7.2413855641072396E-3</v>
      </c>
      <c r="L20">
        <v>417</v>
      </c>
      <c r="M20" s="16">
        <v>0.74647156849049801</v>
      </c>
      <c r="N20">
        <v>318</v>
      </c>
      <c r="O20" s="16">
        <v>2.8870450550295301E-2</v>
      </c>
      <c r="P20">
        <v>229</v>
      </c>
      <c r="Q20" s="16">
        <v>2.845727437208E-2</v>
      </c>
      <c r="R20">
        <v>228</v>
      </c>
      <c r="S20" s="16">
        <v>1.40585146781567E-2</v>
      </c>
      <c r="T20">
        <v>226</v>
      </c>
      <c r="U20" s="16">
        <v>1.40585146781567E-2</v>
      </c>
      <c r="V20">
        <v>226</v>
      </c>
      <c r="W20" s="16">
        <v>0.74713464005241403</v>
      </c>
      <c r="X20">
        <v>286</v>
      </c>
      <c r="Y20" s="16">
        <v>1.59541462002144E-2</v>
      </c>
      <c r="Z20">
        <v>192</v>
      </c>
      <c r="AA20" s="16">
        <v>3.0132691728734898E-2</v>
      </c>
      <c r="AB20">
        <v>192</v>
      </c>
      <c r="AC20" s="16"/>
      <c r="AE20" s="16"/>
      <c r="AF20" s="11"/>
    </row>
    <row r="21" spans="1:32" outlineLevel="1" x14ac:dyDescent="0.25">
      <c r="A21" s="6" t="s">
        <v>15</v>
      </c>
      <c r="B21" t="s">
        <v>27</v>
      </c>
      <c r="C21" s="16">
        <v>0.405775547730723</v>
      </c>
      <c r="D21">
        <v>830</v>
      </c>
      <c r="E21" s="16">
        <v>0.22759753185563</v>
      </c>
      <c r="F21">
        <v>362</v>
      </c>
      <c r="G21" s="16">
        <v>2.9663135769624399E-2</v>
      </c>
      <c r="H21">
        <v>361</v>
      </c>
      <c r="I21" s="16">
        <v>7.2670473695467294E-2</v>
      </c>
      <c r="J21">
        <v>361</v>
      </c>
      <c r="K21" s="16">
        <v>2.8457248112946799E-2</v>
      </c>
      <c r="L21">
        <v>347</v>
      </c>
      <c r="M21" s="16">
        <v>0.41029945145572699</v>
      </c>
      <c r="N21">
        <v>402</v>
      </c>
      <c r="O21" s="16">
        <v>0.25025677786987399</v>
      </c>
      <c r="P21">
        <v>178</v>
      </c>
      <c r="Q21" s="16">
        <v>3.1064141199589002E-2</v>
      </c>
      <c r="R21">
        <v>177</v>
      </c>
      <c r="S21" s="16">
        <v>5.23142357558831E-2</v>
      </c>
      <c r="T21">
        <v>177</v>
      </c>
      <c r="U21" s="16">
        <v>1.4706933650089E-2</v>
      </c>
      <c r="V21">
        <v>173</v>
      </c>
      <c r="W21" s="16">
        <v>0.39975271609271501</v>
      </c>
      <c r="X21">
        <v>426</v>
      </c>
      <c r="Y21" s="16">
        <v>0.19885014135794701</v>
      </c>
      <c r="Z21">
        <v>183</v>
      </c>
      <c r="AA21" s="16">
        <v>2.8305720972566201E-2</v>
      </c>
      <c r="AB21">
        <v>183</v>
      </c>
      <c r="AC21" s="16">
        <v>9.5076523165942103E-2</v>
      </c>
      <c r="AD21">
        <v>183</v>
      </c>
      <c r="AE21" s="16">
        <v>4.3635796669111597E-2</v>
      </c>
      <c r="AF21" s="11">
        <v>173</v>
      </c>
    </row>
    <row r="22" spans="1:32" outlineLevel="1" x14ac:dyDescent="0.25">
      <c r="A22" s="6" t="s">
        <v>15</v>
      </c>
      <c r="B22" t="s">
        <v>28</v>
      </c>
      <c r="C22" s="16">
        <v>0.57837921752426802</v>
      </c>
      <c r="D22">
        <v>634</v>
      </c>
      <c r="E22" s="16">
        <v>8.2823805318732402E-2</v>
      </c>
      <c r="F22">
        <v>370</v>
      </c>
      <c r="G22" s="16">
        <v>9.1649093290057798E-2</v>
      </c>
      <c r="H22">
        <v>373</v>
      </c>
      <c r="I22" s="16">
        <v>2.6870057321132901E-2</v>
      </c>
      <c r="J22">
        <v>371</v>
      </c>
      <c r="K22" s="16">
        <v>1.47386738518222E-2</v>
      </c>
      <c r="L22">
        <v>347</v>
      </c>
      <c r="M22" s="16">
        <v>0.54602413421701801</v>
      </c>
      <c r="N22">
        <v>320</v>
      </c>
      <c r="O22" s="16">
        <v>5.7186321188142999E-2</v>
      </c>
      <c r="P22">
        <v>190</v>
      </c>
      <c r="Q22" s="16">
        <v>0.10510641703384301</v>
      </c>
      <c r="R22">
        <v>192</v>
      </c>
      <c r="S22" s="16">
        <v>2.6387264305967402E-3</v>
      </c>
      <c r="T22">
        <v>191</v>
      </c>
      <c r="U22" s="16">
        <v>4.54023078192369E-3</v>
      </c>
      <c r="V22">
        <v>178</v>
      </c>
      <c r="W22" s="16">
        <v>0.61412983939022503</v>
      </c>
      <c r="X22">
        <v>311</v>
      </c>
      <c r="Y22" s="16">
        <v>0.110543311633562</v>
      </c>
      <c r="Z22">
        <v>179</v>
      </c>
      <c r="AA22" s="16">
        <v>7.8807769991892596E-2</v>
      </c>
      <c r="AB22">
        <v>180</v>
      </c>
      <c r="AC22" s="16">
        <v>5.2664352964044599E-2</v>
      </c>
      <c r="AD22">
        <v>179</v>
      </c>
      <c r="AE22" s="16">
        <v>2.56232318598082E-2</v>
      </c>
      <c r="AF22" s="11">
        <v>168</v>
      </c>
    </row>
    <row r="23" spans="1:32" outlineLevel="1" x14ac:dyDescent="0.25">
      <c r="A23" s="6" t="s">
        <v>15</v>
      </c>
      <c r="B23" t="s">
        <v>29</v>
      </c>
      <c r="C23" s="16">
        <v>0.73684347224532298</v>
      </c>
      <c r="D23">
        <v>470</v>
      </c>
      <c r="E23" s="16">
        <v>1.8980442308095099E-3</v>
      </c>
      <c r="F23">
        <v>238</v>
      </c>
      <c r="G23" s="16">
        <v>4.2258580275630002E-2</v>
      </c>
      <c r="H23">
        <v>250</v>
      </c>
      <c r="I23" s="16">
        <v>1.22636711036561E-3</v>
      </c>
      <c r="J23">
        <v>246</v>
      </c>
      <c r="K23" s="16">
        <v>5.1006469265808298E-3</v>
      </c>
      <c r="L23">
        <v>247</v>
      </c>
      <c r="M23" s="16">
        <v>0.73913387726147195</v>
      </c>
      <c r="N23">
        <v>236</v>
      </c>
      <c r="O23" s="16">
        <v>2.1093114490358601E-3</v>
      </c>
      <c r="P23">
        <v>119</v>
      </c>
      <c r="Q23" s="16">
        <v>1.6689666829846E-2</v>
      </c>
      <c r="R23">
        <v>123</v>
      </c>
      <c r="S23" s="16">
        <v>1.4114754882567099E-3</v>
      </c>
      <c r="T23">
        <v>124</v>
      </c>
      <c r="U23" s="16">
        <v>2.3016429726359202E-3</v>
      </c>
      <c r="V23">
        <v>124</v>
      </c>
      <c r="W23" s="16">
        <v>0.73431380402580404</v>
      </c>
      <c r="X23">
        <v>234</v>
      </c>
      <c r="Y23" s="16">
        <v>1.6501303145675401E-3</v>
      </c>
      <c r="Z23">
        <v>119</v>
      </c>
      <c r="AA23" s="16">
        <v>7.0679443452480895E-2</v>
      </c>
      <c r="AB23">
        <v>127</v>
      </c>
      <c r="AC23" s="16">
        <v>1.0127127211497599E-3</v>
      </c>
      <c r="AD23">
        <v>122</v>
      </c>
      <c r="AE23" s="16">
        <v>8.2818178030693197E-3</v>
      </c>
      <c r="AF23" s="11">
        <v>123</v>
      </c>
    </row>
    <row r="24" spans="1:32" outlineLevel="1" x14ac:dyDescent="0.25">
      <c r="A24" s="6" t="s">
        <v>15</v>
      </c>
      <c r="B24" t="s">
        <v>30</v>
      </c>
      <c r="C24" s="16">
        <v>0.86</v>
      </c>
      <c r="D24">
        <v>150</v>
      </c>
      <c r="E24" s="16">
        <v>9.3023255813953501E-2</v>
      </c>
      <c r="F24">
        <v>129</v>
      </c>
      <c r="G24" s="16"/>
      <c r="I24" s="16"/>
      <c r="K24" s="16">
        <v>7.7519379844961196E-3</v>
      </c>
      <c r="L24">
        <v>129</v>
      </c>
      <c r="M24" s="16">
        <v>0.85185185185185197</v>
      </c>
      <c r="N24">
        <v>81</v>
      </c>
      <c r="O24" s="16">
        <v>8.6956521739130405E-2</v>
      </c>
      <c r="P24">
        <v>69</v>
      </c>
      <c r="Q24" s="16"/>
      <c r="S24" s="16"/>
      <c r="U24" s="16">
        <v>1.4492753623188401E-2</v>
      </c>
      <c r="V24">
        <v>69</v>
      </c>
      <c r="W24" s="16">
        <v>0.86956521739130399</v>
      </c>
      <c r="X24">
        <v>69</v>
      </c>
      <c r="Y24" s="16">
        <v>0.1</v>
      </c>
      <c r="Z24">
        <v>60</v>
      </c>
      <c r="AA24" s="16"/>
      <c r="AC24" s="16"/>
      <c r="AE24" s="16"/>
      <c r="AF24" s="11"/>
    </row>
    <row r="25" spans="1:32" outlineLevel="1" x14ac:dyDescent="0.25">
      <c r="A25" s="6" t="s">
        <v>15</v>
      </c>
      <c r="B25" t="s">
        <v>31</v>
      </c>
      <c r="C25" s="16">
        <v>0.81468231290812299</v>
      </c>
      <c r="D25">
        <v>593</v>
      </c>
      <c r="E25" s="16">
        <v>0.16869306830058201</v>
      </c>
      <c r="F25">
        <v>419</v>
      </c>
      <c r="G25" s="16">
        <v>0.13400038591452901</v>
      </c>
      <c r="H25">
        <v>418</v>
      </c>
      <c r="I25" s="16">
        <v>0.109807477964539</v>
      </c>
      <c r="J25">
        <v>418</v>
      </c>
      <c r="K25" s="16">
        <v>9.9061096448900293E-2</v>
      </c>
      <c r="L25">
        <v>416</v>
      </c>
      <c r="M25" s="16">
        <v>0.82538089347125199</v>
      </c>
      <c r="N25">
        <v>313</v>
      </c>
      <c r="O25" s="16">
        <v>0.143623767329046</v>
      </c>
      <c r="P25">
        <v>223</v>
      </c>
      <c r="Q25" s="16">
        <v>0.101890683560596</v>
      </c>
      <c r="R25">
        <v>223</v>
      </c>
      <c r="S25" s="16">
        <v>0.10107402069506199</v>
      </c>
      <c r="T25">
        <v>223</v>
      </c>
      <c r="U25" s="16">
        <v>8.2361996059651596E-2</v>
      </c>
      <c r="V25">
        <v>222</v>
      </c>
      <c r="W25" s="16">
        <v>0.80096076925960003</v>
      </c>
      <c r="X25">
        <v>280</v>
      </c>
      <c r="Y25" s="16">
        <v>0.201826178172824</v>
      </c>
      <c r="Z25">
        <v>196</v>
      </c>
      <c r="AA25" s="16">
        <v>0.176441510617626</v>
      </c>
      <c r="AB25">
        <v>195</v>
      </c>
      <c r="AC25" s="16">
        <v>0.121355188159997</v>
      </c>
      <c r="AD25">
        <v>195</v>
      </c>
      <c r="AE25" s="16">
        <v>0.12114975221777199</v>
      </c>
      <c r="AF25" s="11">
        <v>194</v>
      </c>
    </row>
    <row r="26" spans="1:32" outlineLevel="1" x14ac:dyDescent="0.25">
      <c r="A26" s="6" t="s">
        <v>15</v>
      </c>
      <c r="B26" t="s">
        <v>32</v>
      </c>
      <c r="C26" s="16">
        <v>0.88157894736842102</v>
      </c>
      <c r="D26">
        <v>152</v>
      </c>
      <c r="E26" s="16">
        <v>7.4626865671641798E-3</v>
      </c>
      <c r="F26">
        <v>134</v>
      </c>
      <c r="G26" s="16">
        <v>2.2556390977443601E-2</v>
      </c>
      <c r="H26">
        <v>133</v>
      </c>
      <c r="I26" s="16"/>
      <c r="K26" s="16"/>
      <c r="M26" s="16">
        <v>0.88</v>
      </c>
      <c r="N26">
        <v>75</v>
      </c>
      <c r="O26" s="16"/>
      <c r="Q26" s="16">
        <v>1.5384615384615399E-2</v>
      </c>
      <c r="R26">
        <v>65</v>
      </c>
      <c r="S26" s="16"/>
      <c r="U26" s="16"/>
      <c r="W26" s="16">
        <v>0.88311688311688297</v>
      </c>
      <c r="X26">
        <v>77</v>
      </c>
      <c r="Y26" s="16">
        <v>1.4705882352941201E-2</v>
      </c>
      <c r="Z26">
        <v>68</v>
      </c>
      <c r="AA26" s="16">
        <v>2.9411764705882401E-2</v>
      </c>
      <c r="AB26">
        <v>68</v>
      </c>
      <c r="AC26" s="16"/>
      <c r="AE26" s="16"/>
      <c r="AF26" s="11"/>
    </row>
    <row r="27" spans="1:32" outlineLevel="1" x14ac:dyDescent="0.25">
      <c r="A27" s="6" t="s">
        <v>15</v>
      </c>
      <c r="B27" t="s">
        <v>33</v>
      </c>
      <c r="C27" s="16">
        <v>0.52964064080803697</v>
      </c>
      <c r="D27">
        <v>1269</v>
      </c>
      <c r="E27" s="16">
        <v>0.123840999528242</v>
      </c>
      <c r="F27">
        <v>588</v>
      </c>
      <c r="G27" s="16">
        <v>0.34874808878163999</v>
      </c>
      <c r="H27">
        <v>587</v>
      </c>
      <c r="I27" s="16">
        <v>8.9883936092065506E-2</v>
      </c>
      <c r="J27">
        <v>588</v>
      </c>
      <c r="K27" s="16">
        <v>9.5719397460597207E-3</v>
      </c>
      <c r="L27">
        <v>588</v>
      </c>
      <c r="M27" s="16">
        <v>0.54071625195833095</v>
      </c>
      <c r="N27">
        <v>641</v>
      </c>
      <c r="O27" s="16">
        <v>0.106838379283736</v>
      </c>
      <c r="P27">
        <v>307</v>
      </c>
      <c r="Q27" s="16">
        <v>0.32167627145496702</v>
      </c>
      <c r="R27">
        <v>307</v>
      </c>
      <c r="S27" s="16">
        <v>7.3395634975398402E-2</v>
      </c>
      <c r="T27">
        <v>307</v>
      </c>
      <c r="U27" s="16">
        <v>4.5478047826735396E-3</v>
      </c>
      <c r="V27">
        <v>307</v>
      </c>
      <c r="W27" s="16">
        <v>0.51796168999640402</v>
      </c>
      <c r="X27">
        <v>627</v>
      </c>
      <c r="Y27" s="16">
        <v>0.14360873673189101</v>
      </c>
      <c r="Z27">
        <v>281</v>
      </c>
      <c r="AA27" s="16">
        <v>0.380532049705818</v>
      </c>
      <c r="AB27">
        <v>280</v>
      </c>
      <c r="AC27" s="16">
        <v>0.109053711028033</v>
      </c>
      <c r="AD27">
        <v>281</v>
      </c>
      <c r="AE27" s="16">
        <v>1.5413144113602799E-2</v>
      </c>
      <c r="AF27" s="11">
        <v>281</v>
      </c>
    </row>
    <row r="28" spans="1:32" outlineLevel="1" x14ac:dyDescent="0.25">
      <c r="A28" s="6" t="s">
        <v>15</v>
      </c>
      <c r="B28" t="s">
        <v>34</v>
      </c>
      <c r="C28" s="16">
        <v>0.23488937703267601</v>
      </c>
      <c r="D28">
        <v>536</v>
      </c>
      <c r="E28" s="16">
        <v>0.11940898948364601</v>
      </c>
      <c r="F28">
        <v>85</v>
      </c>
      <c r="G28" s="16"/>
      <c r="I28" s="16">
        <v>3.1855446436653501E-2</v>
      </c>
      <c r="J28">
        <v>85</v>
      </c>
      <c r="K28" s="16">
        <v>5.9383019157419899E-2</v>
      </c>
      <c r="L28">
        <v>85</v>
      </c>
      <c r="M28" s="16">
        <v>0.26095201610090302</v>
      </c>
      <c r="N28">
        <v>262</v>
      </c>
      <c r="O28" s="16">
        <v>9.0053518814121894E-2</v>
      </c>
      <c r="P28">
        <v>45</v>
      </c>
      <c r="Q28" s="16"/>
      <c r="S28" s="16">
        <v>6.9651863006801101E-3</v>
      </c>
      <c r="T28">
        <v>45</v>
      </c>
      <c r="U28" s="16">
        <v>4.8756304104760798E-2</v>
      </c>
      <c r="V28">
        <v>45</v>
      </c>
      <c r="W28" s="16">
        <v>0.20883786374595301</v>
      </c>
      <c r="X28">
        <v>274</v>
      </c>
      <c r="Y28" s="16">
        <v>0.159508083129137</v>
      </c>
      <c r="Z28">
        <v>40</v>
      </c>
      <c r="AA28" s="16"/>
      <c r="AC28" s="16">
        <v>6.5855135397158093E-2</v>
      </c>
      <c r="AD28">
        <v>40</v>
      </c>
      <c r="AE28" s="16">
        <v>7.3376800446177906E-2</v>
      </c>
      <c r="AF28" s="11">
        <v>40</v>
      </c>
    </row>
    <row r="29" spans="1:32" outlineLevel="1" x14ac:dyDescent="0.25">
      <c r="A29" s="6" t="s">
        <v>15</v>
      </c>
      <c r="B29" t="s">
        <v>35</v>
      </c>
      <c r="C29" s="16">
        <v>0.85161290322580596</v>
      </c>
      <c r="D29">
        <v>155</v>
      </c>
      <c r="E29" s="16"/>
      <c r="G29" s="16">
        <v>7.5757575757575803E-3</v>
      </c>
      <c r="H29">
        <v>132</v>
      </c>
      <c r="I29" s="16"/>
      <c r="K29" s="16"/>
      <c r="M29" s="16">
        <v>0.86301369863013699</v>
      </c>
      <c r="N29">
        <v>73</v>
      </c>
      <c r="O29" s="16"/>
      <c r="Q29" s="16"/>
      <c r="S29" s="16"/>
      <c r="U29" s="16"/>
      <c r="W29" s="16">
        <v>0.84146341463414598</v>
      </c>
      <c r="X29">
        <v>82</v>
      </c>
      <c r="Y29" s="16"/>
      <c r="AA29" s="16">
        <v>1.4492753623188401E-2</v>
      </c>
      <c r="AB29">
        <v>69</v>
      </c>
      <c r="AC29" s="16"/>
      <c r="AE29" s="16"/>
      <c r="AF29" s="11"/>
    </row>
    <row r="30" spans="1:32" outlineLevel="1" x14ac:dyDescent="0.25">
      <c r="A30" s="6" t="s">
        <v>15</v>
      </c>
      <c r="B30" t="s">
        <v>36</v>
      </c>
      <c r="C30" s="16">
        <v>0.58664000221297596</v>
      </c>
      <c r="D30">
        <v>454</v>
      </c>
      <c r="E30" s="16">
        <v>0.11293362815578301</v>
      </c>
      <c r="F30">
        <v>191</v>
      </c>
      <c r="G30" s="16">
        <v>4.1165651917179601E-2</v>
      </c>
      <c r="H30">
        <v>189</v>
      </c>
      <c r="I30" s="16">
        <v>2.0624634989033701E-2</v>
      </c>
      <c r="J30">
        <v>191</v>
      </c>
      <c r="K30" s="16">
        <v>8.2897475297587404E-4</v>
      </c>
      <c r="L30">
        <v>190</v>
      </c>
      <c r="M30" s="16">
        <v>0.57668981997127899</v>
      </c>
      <c r="N30">
        <v>256</v>
      </c>
      <c r="O30" s="16">
        <v>0.17489725118164301</v>
      </c>
      <c r="P30">
        <v>99</v>
      </c>
      <c r="Q30" s="16">
        <v>5.8187018100594602E-2</v>
      </c>
      <c r="R30">
        <v>99</v>
      </c>
      <c r="S30" s="16">
        <v>3.85257022237524E-2</v>
      </c>
      <c r="T30">
        <v>99</v>
      </c>
      <c r="U30" s="16">
        <v>5.9781625180502305E-4</v>
      </c>
      <c r="V30">
        <v>98</v>
      </c>
      <c r="W30" s="16">
        <v>0.59781883995012697</v>
      </c>
      <c r="X30">
        <v>198</v>
      </c>
      <c r="Y30" s="16">
        <v>4.57925066890962E-2</v>
      </c>
      <c r="Z30">
        <v>92</v>
      </c>
      <c r="AA30" s="16">
        <v>2.27033478303942E-2</v>
      </c>
      <c r="AB30">
        <v>90</v>
      </c>
      <c r="AC30" s="16">
        <v>1.22780712620905E-3</v>
      </c>
      <c r="AD30">
        <v>92</v>
      </c>
      <c r="AE30" s="16">
        <v>1.0793982775025299E-3</v>
      </c>
      <c r="AF30" s="11">
        <v>92</v>
      </c>
    </row>
    <row r="31" spans="1:32" outlineLevel="1" x14ac:dyDescent="0.25">
      <c r="A31" s="6" t="s">
        <v>15</v>
      </c>
      <c r="B31" t="s">
        <v>37</v>
      </c>
      <c r="C31" s="16">
        <v>0.86171771263100505</v>
      </c>
      <c r="D31">
        <v>458</v>
      </c>
      <c r="E31" s="16">
        <v>7.3082698345563205E-2</v>
      </c>
      <c r="F31">
        <v>309</v>
      </c>
      <c r="G31" s="16">
        <v>7.1493664235558804E-3</v>
      </c>
      <c r="H31">
        <v>310</v>
      </c>
      <c r="I31" s="16"/>
      <c r="K31" s="16"/>
      <c r="M31" s="16">
        <v>0.87867290293635902</v>
      </c>
      <c r="N31">
        <v>216</v>
      </c>
      <c r="O31" s="16">
        <v>5.3911823176486601E-2</v>
      </c>
      <c r="P31">
        <v>146</v>
      </c>
      <c r="Q31" s="16">
        <v>1.18042141945492E-5</v>
      </c>
      <c r="R31">
        <v>146</v>
      </c>
      <c r="S31" s="16"/>
      <c r="U31" s="16"/>
      <c r="W31" s="16">
        <v>0.84336718322655602</v>
      </c>
      <c r="X31">
        <v>242</v>
      </c>
      <c r="Y31" s="16">
        <v>9.5033186603214401E-2</v>
      </c>
      <c r="Z31">
        <v>163</v>
      </c>
      <c r="AA31" s="16">
        <v>1.51976124706628E-2</v>
      </c>
      <c r="AB31">
        <v>164</v>
      </c>
      <c r="AC31" s="16"/>
      <c r="AE31" s="16"/>
      <c r="AF31" s="11"/>
    </row>
    <row r="32" spans="1:32" outlineLevel="1" x14ac:dyDescent="0.25">
      <c r="A32" s="6" t="s">
        <v>15</v>
      </c>
      <c r="B32" t="s">
        <v>38</v>
      </c>
      <c r="C32" s="16">
        <v>0.74170132811690703</v>
      </c>
      <c r="D32">
        <v>333</v>
      </c>
      <c r="E32" s="16">
        <v>5.3343370682975101E-2</v>
      </c>
      <c r="F32">
        <v>217</v>
      </c>
      <c r="G32" s="16">
        <v>3.4928573238289301E-3</v>
      </c>
      <c r="H32">
        <v>217</v>
      </c>
      <c r="I32" s="16">
        <v>3.4928573238289301E-3</v>
      </c>
      <c r="J32">
        <v>217</v>
      </c>
      <c r="K32" s="16">
        <v>1.74642866191447E-3</v>
      </c>
      <c r="L32">
        <v>217</v>
      </c>
      <c r="M32" s="16">
        <v>0.69216117644221997</v>
      </c>
      <c r="N32">
        <v>160</v>
      </c>
      <c r="O32" s="16">
        <v>8.1696013961838204E-2</v>
      </c>
      <c r="P32">
        <v>103</v>
      </c>
      <c r="Q32" s="16">
        <v>5.6580902520738897E-3</v>
      </c>
      <c r="R32">
        <v>103</v>
      </c>
      <c r="S32" s="16">
        <v>1.88603008402463E-3</v>
      </c>
      <c r="T32">
        <v>103</v>
      </c>
      <c r="U32" s="16">
        <v>1.88603008402463E-3</v>
      </c>
      <c r="V32">
        <v>103</v>
      </c>
      <c r="W32" s="16">
        <v>0.79021051146291299</v>
      </c>
      <c r="X32">
        <v>172</v>
      </c>
      <c r="Y32" s="16">
        <v>2.8945780791211798E-2</v>
      </c>
      <c r="Z32">
        <v>113</v>
      </c>
      <c r="AA32" s="16">
        <v>1.6287176042178099E-3</v>
      </c>
      <c r="AB32">
        <v>113</v>
      </c>
      <c r="AC32" s="16">
        <v>4.8861528126534397E-3</v>
      </c>
      <c r="AD32">
        <v>113</v>
      </c>
      <c r="AE32" s="16">
        <v>1.6287176042178099E-3</v>
      </c>
      <c r="AF32" s="11">
        <v>113</v>
      </c>
    </row>
    <row r="33" spans="1:32" outlineLevel="1" x14ac:dyDescent="0.25">
      <c r="A33" s="7" t="s">
        <v>15</v>
      </c>
      <c r="B33" s="9" t="s">
        <v>39</v>
      </c>
      <c r="C33" s="15">
        <v>0.87136934555369205</v>
      </c>
      <c r="D33" s="9">
        <v>465</v>
      </c>
      <c r="E33" s="15">
        <v>7.10285747289851E-3</v>
      </c>
      <c r="F33" s="9">
        <v>310</v>
      </c>
      <c r="G33" s="15">
        <v>7.2918952871331598E-3</v>
      </c>
      <c r="H33" s="9">
        <v>309</v>
      </c>
      <c r="I33" s="15"/>
      <c r="J33" s="9"/>
      <c r="K33" s="15">
        <v>3.7512621644070698E-4</v>
      </c>
      <c r="L33" s="9">
        <v>310</v>
      </c>
      <c r="M33" s="15">
        <v>0.86301599581399902</v>
      </c>
      <c r="N33" s="9">
        <v>215</v>
      </c>
      <c r="O33" s="15"/>
      <c r="P33" s="9"/>
      <c r="Q33" s="15"/>
      <c r="R33" s="9"/>
      <c r="S33" s="15"/>
      <c r="T33" s="9"/>
      <c r="U33" s="15"/>
      <c r="V33" s="9"/>
      <c r="W33" s="15">
        <v>0.87895854285384001</v>
      </c>
      <c r="X33" s="9">
        <v>250</v>
      </c>
      <c r="Y33" s="15">
        <v>1.34389094689004E-2</v>
      </c>
      <c r="Z33" s="9">
        <v>160</v>
      </c>
      <c r="AA33" s="15">
        <v>1.3799067017269601E-2</v>
      </c>
      <c r="AB33" s="9">
        <v>159</v>
      </c>
      <c r="AC33" s="15"/>
      <c r="AD33" s="9"/>
      <c r="AE33" s="15">
        <v>7.0975481084805596E-4</v>
      </c>
      <c r="AF33" s="12">
        <v>160</v>
      </c>
    </row>
    <row r="34" spans="1:32" x14ac:dyDescent="0.25">
      <c r="C34" s="16"/>
      <c r="E34" s="16"/>
      <c r="G34" s="16"/>
      <c r="I34" s="16"/>
      <c r="K34" s="16"/>
      <c r="M34" s="16"/>
      <c r="O34" s="16"/>
      <c r="Q34" s="16"/>
      <c r="S34" s="16"/>
      <c r="U34" s="16"/>
      <c r="W34" s="16"/>
      <c r="Y34" s="16"/>
      <c r="AA34" s="16"/>
      <c r="AC34" s="16"/>
      <c r="AE34" s="16"/>
    </row>
    <row r="35" spans="1:32" x14ac:dyDescent="0.25">
      <c r="A35" s="19" t="s">
        <v>40</v>
      </c>
      <c r="B35" s="19"/>
      <c r="C35" s="20"/>
      <c r="D35" s="19"/>
      <c r="E35" s="20"/>
      <c r="F35" s="19"/>
      <c r="G35" s="20"/>
      <c r="H35" s="19"/>
      <c r="I35" s="20"/>
      <c r="J35" s="19"/>
      <c r="K35" s="20"/>
      <c r="L35" s="19"/>
      <c r="M35" s="20"/>
      <c r="N35" s="19"/>
      <c r="O35" s="20"/>
      <c r="P35" s="19"/>
      <c r="Q35" s="20"/>
      <c r="R35" s="19"/>
      <c r="S35" s="20"/>
      <c r="T35" s="19"/>
      <c r="U35" s="20"/>
      <c r="V35" s="19"/>
      <c r="W35" s="20"/>
      <c r="X35" s="19"/>
      <c r="Y35" s="20"/>
      <c r="Z35" s="19"/>
      <c r="AA35" s="20"/>
      <c r="AB35" s="19"/>
      <c r="AC35" s="20"/>
      <c r="AD35" s="19"/>
      <c r="AE35" s="20"/>
      <c r="AF35" s="19"/>
    </row>
    <row r="36" spans="1:32" outlineLevel="1" x14ac:dyDescent="0.25">
      <c r="A36" s="5" t="s">
        <v>15</v>
      </c>
      <c r="B36" s="8" t="s">
        <v>41</v>
      </c>
      <c r="C36" s="14">
        <v>0.92411556089526703</v>
      </c>
      <c r="D36" s="8">
        <v>131</v>
      </c>
      <c r="E36" s="14"/>
      <c r="F36" s="8"/>
      <c r="G36" s="14"/>
      <c r="H36" s="8"/>
      <c r="I36" s="14"/>
      <c r="J36" s="8"/>
      <c r="K36" s="14">
        <v>8.5657369385858505E-3</v>
      </c>
      <c r="L36" s="8">
        <v>117</v>
      </c>
      <c r="M36" s="14">
        <v>0.94215215122384299</v>
      </c>
      <c r="N36" s="8">
        <v>66</v>
      </c>
      <c r="O36" s="14"/>
      <c r="P36" s="8"/>
      <c r="Q36" s="14"/>
      <c r="R36" s="8"/>
      <c r="S36" s="14"/>
      <c r="T36" s="8"/>
      <c r="U36" s="14">
        <v>1.7254741634670698E-2</v>
      </c>
      <c r="V36" s="8">
        <v>58</v>
      </c>
      <c r="W36" s="14">
        <v>0.90579317577088303</v>
      </c>
      <c r="X36" s="8">
        <v>65</v>
      </c>
      <c r="Y36" s="14"/>
      <c r="Z36" s="8"/>
      <c r="AA36" s="14"/>
      <c r="AB36" s="8"/>
      <c r="AC36" s="14"/>
      <c r="AD36" s="8"/>
      <c r="AE36" s="14"/>
      <c r="AF36" s="10"/>
    </row>
    <row r="37" spans="1:32" outlineLevel="1" x14ac:dyDescent="0.25">
      <c r="A37" s="6" t="s">
        <v>15</v>
      </c>
      <c r="B37" t="s">
        <v>42</v>
      </c>
      <c r="C37" s="16">
        <v>0.70319634703196299</v>
      </c>
      <c r="D37">
        <v>219</v>
      </c>
      <c r="E37" s="16">
        <v>5.22875816993464E-2</v>
      </c>
      <c r="F37">
        <v>153</v>
      </c>
      <c r="G37" s="16"/>
      <c r="I37" s="16">
        <v>1.9480519480519501E-2</v>
      </c>
      <c r="J37">
        <v>154</v>
      </c>
      <c r="K37" s="16"/>
      <c r="M37" s="16">
        <v>0.7</v>
      </c>
      <c r="N37">
        <v>110</v>
      </c>
      <c r="O37" s="16">
        <v>3.8961038961039002E-2</v>
      </c>
      <c r="P37">
        <v>77</v>
      </c>
      <c r="Q37" s="16"/>
      <c r="S37" s="16"/>
      <c r="U37" s="16"/>
      <c r="W37" s="16">
        <v>0.70642201834862395</v>
      </c>
      <c r="X37">
        <v>109</v>
      </c>
      <c r="Y37" s="16">
        <v>6.5789473684210495E-2</v>
      </c>
      <c r="Z37">
        <v>76</v>
      </c>
      <c r="AA37" s="16"/>
      <c r="AC37" s="16">
        <v>3.8961038961039002E-2</v>
      </c>
      <c r="AD37">
        <v>77</v>
      </c>
      <c r="AE37" s="16"/>
      <c r="AF37" s="11"/>
    </row>
    <row r="38" spans="1:32" outlineLevel="1" x14ac:dyDescent="0.25">
      <c r="A38" s="6" t="s">
        <v>15</v>
      </c>
      <c r="B38" t="s">
        <v>43</v>
      </c>
      <c r="C38" s="16">
        <v>0.787610619469027</v>
      </c>
      <c r="D38">
        <v>226</v>
      </c>
      <c r="E38" s="16">
        <v>1.12994350282486E-2</v>
      </c>
      <c r="F38">
        <v>177</v>
      </c>
      <c r="G38" s="16">
        <v>4.49438202247191E-2</v>
      </c>
      <c r="H38">
        <v>178</v>
      </c>
      <c r="I38" s="16">
        <v>5.6179775280898901E-3</v>
      </c>
      <c r="J38">
        <v>178</v>
      </c>
      <c r="K38" s="16"/>
      <c r="M38" s="16">
        <v>0.81300813008130102</v>
      </c>
      <c r="N38">
        <v>123</v>
      </c>
      <c r="O38" s="16">
        <v>0.01</v>
      </c>
      <c r="P38">
        <v>100</v>
      </c>
      <c r="Q38" s="16">
        <v>0.03</v>
      </c>
      <c r="R38">
        <v>100</v>
      </c>
      <c r="S38" s="16"/>
      <c r="U38" s="16"/>
      <c r="W38" s="16">
        <v>0.75728155339805803</v>
      </c>
      <c r="X38">
        <v>103</v>
      </c>
      <c r="Y38" s="16">
        <v>1.2987012987013E-2</v>
      </c>
      <c r="Z38">
        <v>77</v>
      </c>
      <c r="AA38" s="16">
        <v>6.4102564102564097E-2</v>
      </c>
      <c r="AB38">
        <v>78</v>
      </c>
      <c r="AC38" s="16">
        <v>1.2820512820512799E-2</v>
      </c>
      <c r="AD38">
        <v>78</v>
      </c>
      <c r="AE38" s="16"/>
      <c r="AF38" s="11"/>
    </row>
    <row r="39" spans="1:32" outlineLevel="1" x14ac:dyDescent="0.25">
      <c r="A39" s="6" t="s">
        <v>15</v>
      </c>
      <c r="B39" t="s">
        <v>44</v>
      </c>
      <c r="C39" s="16">
        <v>0.54455445544554504</v>
      </c>
      <c r="D39">
        <v>101</v>
      </c>
      <c r="E39" s="16">
        <v>0.12727272727272701</v>
      </c>
      <c r="F39">
        <v>55</v>
      </c>
      <c r="G39" s="16"/>
      <c r="I39" s="16"/>
      <c r="K39" s="16"/>
      <c r="M39" s="16">
        <v>0.61403508771929804</v>
      </c>
      <c r="N39">
        <v>57</v>
      </c>
      <c r="O39" s="16">
        <v>0.114285714285714</v>
      </c>
      <c r="P39">
        <v>35</v>
      </c>
      <c r="Q39" s="16"/>
      <c r="S39" s="16"/>
      <c r="U39" s="16"/>
      <c r="W39" s="16">
        <v>0.45454545454545497</v>
      </c>
      <c r="X39">
        <v>44</v>
      </c>
      <c r="Y39" s="16">
        <v>0.15</v>
      </c>
      <c r="Z39">
        <v>20</v>
      </c>
      <c r="AA39" s="16"/>
      <c r="AC39" s="16"/>
      <c r="AE39" s="16"/>
      <c r="AF39" s="11"/>
    </row>
    <row r="40" spans="1:32" outlineLevel="1" x14ac:dyDescent="0.25">
      <c r="A40" s="6" t="s">
        <v>15</v>
      </c>
      <c r="B40" t="s">
        <v>45</v>
      </c>
      <c r="C40" s="16">
        <v>0.81655749309167303</v>
      </c>
      <c r="D40">
        <v>126</v>
      </c>
      <c r="E40" s="16">
        <v>7.8583835156016399E-2</v>
      </c>
      <c r="F40">
        <v>102</v>
      </c>
      <c r="G40" s="16"/>
      <c r="I40" s="16"/>
      <c r="K40" s="16"/>
      <c r="M40" s="16">
        <v>0.83569795462640395</v>
      </c>
      <c r="N40">
        <v>61</v>
      </c>
      <c r="O40" s="16">
        <v>0.117170396009759</v>
      </c>
      <c r="P40">
        <v>51</v>
      </c>
      <c r="Q40" s="16"/>
      <c r="S40" s="16"/>
      <c r="U40" s="16"/>
      <c r="W40" s="16">
        <v>0.79846685633341596</v>
      </c>
      <c r="X40">
        <v>65</v>
      </c>
      <c r="Y40" s="16">
        <v>3.9652335235849497E-2</v>
      </c>
      <c r="Z40">
        <v>51</v>
      </c>
      <c r="AA40" s="16"/>
      <c r="AC40" s="16"/>
      <c r="AE40" s="16"/>
      <c r="AF40" s="11"/>
    </row>
    <row r="41" spans="1:32" outlineLevel="1" x14ac:dyDescent="0.25">
      <c r="A41" s="6" t="s">
        <v>15</v>
      </c>
      <c r="B41" t="s">
        <v>46</v>
      </c>
      <c r="C41" s="16">
        <v>0.32954545454545497</v>
      </c>
      <c r="D41">
        <v>264</v>
      </c>
      <c r="E41" s="16">
        <v>0.252873563218391</v>
      </c>
      <c r="F41">
        <v>87</v>
      </c>
      <c r="G41" s="16">
        <v>3.5294117647058802E-2</v>
      </c>
      <c r="H41">
        <v>85</v>
      </c>
      <c r="I41" s="16">
        <v>4.5977011494252901E-2</v>
      </c>
      <c r="J41">
        <v>87</v>
      </c>
      <c r="K41" s="16">
        <v>2.32558139534884E-2</v>
      </c>
      <c r="L41">
        <v>86</v>
      </c>
      <c r="M41" s="16">
        <v>0.321167883211679</v>
      </c>
      <c r="N41">
        <v>137</v>
      </c>
      <c r="O41" s="16">
        <v>0.31818181818181801</v>
      </c>
      <c r="P41">
        <v>44</v>
      </c>
      <c r="Q41" s="16">
        <v>4.6511627906976702E-2</v>
      </c>
      <c r="R41">
        <v>43</v>
      </c>
      <c r="S41" s="16">
        <v>6.8181818181818205E-2</v>
      </c>
      <c r="T41">
        <v>44</v>
      </c>
      <c r="U41" s="16">
        <v>4.5454545454545497E-2</v>
      </c>
      <c r="V41">
        <v>44</v>
      </c>
      <c r="W41" s="16">
        <v>0.33858267716535401</v>
      </c>
      <c r="X41">
        <v>127</v>
      </c>
      <c r="Y41" s="16">
        <v>0.186046511627907</v>
      </c>
      <c r="Z41">
        <v>43</v>
      </c>
      <c r="AA41" s="16">
        <v>2.3809523809523801E-2</v>
      </c>
      <c r="AB41">
        <v>42</v>
      </c>
      <c r="AC41" s="16">
        <v>2.32558139534884E-2</v>
      </c>
      <c r="AD41">
        <v>43</v>
      </c>
      <c r="AE41" s="16"/>
      <c r="AF41" s="11"/>
    </row>
    <row r="42" spans="1:32" outlineLevel="1" x14ac:dyDescent="0.25">
      <c r="A42" s="6" t="s">
        <v>15</v>
      </c>
      <c r="B42" t="s">
        <v>47</v>
      </c>
      <c r="C42" s="16">
        <v>0.33806818181818199</v>
      </c>
      <c r="D42">
        <v>352</v>
      </c>
      <c r="E42" s="16">
        <v>6.7226890756302504E-2</v>
      </c>
      <c r="F42">
        <v>119</v>
      </c>
      <c r="G42" s="16">
        <v>8.4745762711864406E-3</v>
      </c>
      <c r="H42">
        <v>118</v>
      </c>
      <c r="I42" s="16">
        <v>5.0420168067226899E-2</v>
      </c>
      <c r="J42">
        <v>119</v>
      </c>
      <c r="K42" s="16">
        <v>3.3613445378151301E-2</v>
      </c>
      <c r="L42">
        <v>119</v>
      </c>
      <c r="M42" s="16">
        <v>0.344444444444444</v>
      </c>
      <c r="N42">
        <v>180</v>
      </c>
      <c r="O42" s="16">
        <v>3.2258064516128997E-2</v>
      </c>
      <c r="P42">
        <v>62</v>
      </c>
      <c r="Q42" s="16">
        <v>1.63934426229508E-2</v>
      </c>
      <c r="R42">
        <v>61</v>
      </c>
      <c r="S42" s="16">
        <v>1.6129032258064498E-2</v>
      </c>
      <c r="T42">
        <v>62</v>
      </c>
      <c r="U42" s="16">
        <v>1.6129032258064498E-2</v>
      </c>
      <c r="V42">
        <v>62</v>
      </c>
      <c r="W42" s="16">
        <v>0.331395348837209</v>
      </c>
      <c r="X42">
        <v>172</v>
      </c>
      <c r="Y42" s="16">
        <v>0.105263157894737</v>
      </c>
      <c r="Z42">
        <v>57</v>
      </c>
      <c r="AA42" s="16"/>
      <c r="AC42" s="16">
        <v>8.7719298245614002E-2</v>
      </c>
      <c r="AD42">
        <v>57</v>
      </c>
      <c r="AE42" s="16">
        <v>5.2631578947368397E-2</v>
      </c>
      <c r="AF42" s="11">
        <v>57</v>
      </c>
    </row>
    <row r="43" spans="1:32" outlineLevel="1" x14ac:dyDescent="0.25">
      <c r="A43" s="6" t="s">
        <v>15</v>
      </c>
      <c r="B43" t="s">
        <v>48</v>
      </c>
      <c r="C43" s="16">
        <v>0.42499999999999999</v>
      </c>
      <c r="D43">
        <v>160</v>
      </c>
      <c r="E43" s="16">
        <v>2.9411764705882401E-2</v>
      </c>
      <c r="F43">
        <v>68</v>
      </c>
      <c r="G43" s="16"/>
      <c r="I43" s="16">
        <v>2.9411764705882401E-2</v>
      </c>
      <c r="J43">
        <v>68</v>
      </c>
      <c r="K43" s="16"/>
      <c r="M43" s="16">
        <v>0.469879518072289</v>
      </c>
      <c r="N43">
        <v>83</v>
      </c>
      <c r="O43" s="16">
        <v>5.1282051282051301E-2</v>
      </c>
      <c r="P43">
        <v>39</v>
      </c>
      <c r="Q43" s="16"/>
      <c r="S43" s="16"/>
      <c r="U43" s="16"/>
      <c r="W43" s="16">
        <v>0.37662337662337703</v>
      </c>
      <c r="X43">
        <v>77</v>
      </c>
      <c r="Y43" s="16"/>
      <c r="AA43" s="16"/>
      <c r="AC43" s="16">
        <v>6.8965517241379296E-2</v>
      </c>
      <c r="AD43">
        <v>29</v>
      </c>
      <c r="AE43" s="16"/>
      <c r="AF43" s="11"/>
    </row>
    <row r="44" spans="1:32" outlineLevel="1" x14ac:dyDescent="0.25">
      <c r="A44" s="6" t="s">
        <v>15</v>
      </c>
      <c r="B44" t="s">
        <v>49</v>
      </c>
      <c r="C44" s="16">
        <v>0.72156862745098005</v>
      </c>
      <c r="D44">
        <v>255</v>
      </c>
      <c r="E44" s="16">
        <v>5.4347826086956503E-3</v>
      </c>
      <c r="F44">
        <v>184</v>
      </c>
      <c r="G44" s="16"/>
      <c r="I44" s="16"/>
      <c r="K44" s="16"/>
      <c r="M44" s="16">
        <v>0.77272727272727304</v>
      </c>
      <c r="N44">
        <v>132</v>
      </c>
      <c r="O44" s="16"/>
      <c r="Q44" s="16"/>
      <c r="S44" s="16"/>
      <c r="U44" s="16"/>
      <c r="W44" s="16">
        <v>0.66666666666666696</v>
      </c>
      <c r="X44">
        <v>123</v>
      </c>
      <c r="Y44" s="16">
        <v>1.21951219512195E-2</v>
      </c>
      <c r="Z44">
        <v>82</v>
      </c>
      <c r="AA44" s="16"/>
      <c r="AC44" s="16"/>
      <c r="AE44" s="16"/>
      <c r="AF44" s="11"/>
    </row>
    <row r="45" spans="1:32" outlineLevel="1" x14ac:dyDescent="0.25">
      <c r="A45" s="6" t="s">
        <v>15</v>
      </c>
      <c r="B45" t="s">
        <v>50</v>
      </c>
      <c r="C45" s="16">
        <v>0.75147928994082802</v>
      </c>
      <c r="D45">
        <v>169</v>
      </c>
      <c r="E45" s="16">
        <v>2.3622047244094498E-2</v>
      </c>
      <c r="F45">
        <v>127</v>
      </c>
      <c r="G45" s="16">
        <v>3.1746031746031703E-2</v>
      </c>
      <c r="H45">
        <v>126</v>
      </c>
      <c r="I45" s="16">
        <v>7.8740157480314994E-3</v>
      </c>
      <c r="J45">
        <v>127</v>
      </c>
      <c r="K45" s="16">
        <v>7.8740157480314994E-3</v>
      </c>
      <c r="L45">
        <v>127</v>
      </c>
      <c r="M45" s="16">
        <v>0.74712643678160895</v>
      </c>
      <c r="N45">
        <v>87</v>
      </c>
      <c r="O45" s="16">
        <v>3.0769230769230799E-2</v>
      </c>
      <c r="P45">
        <v>65</v>
      </c>
      <c r="Q45" s="16">
        <v>3.125E-2</v>
      </c>
      <c r="R45">
        <v>64</v>
      </c>
      <c r="S45" s="16">
        <v>1.5384615384615399E-2</v>
      </c>
      <c r="T45">
        <v>65</v>
      </c>
      <c r="U45" s="16">
        <v>1.5384615384615399E-2</v>
      </c>
      <c r="V45">
        <v>65</v>
      </c>
      <c r="W45" s="16">
        <v>0.75609756097560998</v>
      </c>
      <c r="X45">
        <v>82</v>
      </c>
      <c r="Y45" s="16">
        <v>1.6129032258064498E-2</v>
      </c>
      <c r="Z45">
        <v>62</v>
      </c>
      <c r="AA45" s="16">
        <v>3.2258064516128997E-2</v>
      </c>
      <c r="AB45">
        <v>62</v>
      </c>
      <c r="AC45" s="16"/>
      <c r="AE45" s="16"/>
      <c r="AF45" s="11"/>
    </row>
    <row r="46" spans="1:32" outlineLevel="1" x14ac:dyDescent="0.25">
      <c r="A46" s="6" t="s">
        <v>15</v>
      </c>
      <c r="B46" t="s">
        <v>51</v>
      </c>
      <c r="C46" s="16">
        <v>0.61111111111111105</v>
      </c>
      <c r="D46">
        <v>180</v>
      </c>
      <c r="E46" s="16">
        <v>3.6363636363636397E-2</v>
      </c>
      <c r="F46">
        <v>110</v>
      </c>
      <c r="G46" s="16">
        <v>9.0909090909090905E-3</v>
      </c>
      <c r="H46">
        <v>110</v>
      </c>
      <c r="I46" s="16"/>
      <c r="K46" s="16"/>
      <c r="M46" s="16">
        <v>0.62626262626262597</v>
      </c>
      <c r="N46">
        <v>99</v>
      </c>
      <c r="O46" s="16">
        <v>4.8387096774193498E-2</v>
      </c>
      <c r="P46">
        <v>62</v>
      </c>
      <c r="Q46" s="16"/>
      <c r="S46" s="16"/>
      <c r="U46" s="16"/>
      <c r="W46" s="16">
        <v>0.592592592592593</v>
      </c>
      <c r="X46">
        <v>81</v>
      </c>
      <c r="Y46" s="16">
        <v>2.0833333333333301E-2</v>
      </c>
      <c r="Z46">
        <v>48</v>
      </c>
      <c r="AA46" s="16">
        <v>2.0833333333333301E-2</v>
      </c>
      <c r="AB46">
        <v>48</v>
      </c>
      <c r="AC46" s="16"/>
      <c r="AE46" s="16"/>
      <c r="AF46" s="11"/>
    </row>
    <row r="47" spans="1:32" outlineLevel="1" x14ac:dyDescent="0.25">
      <c r="A47" s="6" t="s">
        <v>15</v>
      </c>
      <c r="B47" t="s">
        <v>52</v>
      </c>
      <c r="C47" s="16">
        <v>0.51101297194406003</v>
      </c>
      <c r="D47">
        <v>265</v>
      </c>
      <c r="E47" s="16">
        <v>0.28378367211772199</v>
      </c>
      <c r="F47">
        <v>132</v>
      </c>
      <c r="G47" s="16">
        <v>7.9601188078009203E-3</v>
      </c>
      <c r="H47">
        <v>131</v>
      </c>
      <c r="I47" s="16">
        <v>1.53905558652776E-2</v>
      </c>
      <c r="J47">
        <v>131</v>
      </c>
      <c r="K47" s="16">
        <v>8.83073299359214E-2</v>
      </c>
      <c r="L47">
        <v>129</v>
      </c>
      <c r="M47" s="16">
        <v>0.52739645998576501</v>
      </c>
      <c r="N47">
        <v>121</v>
      </c>
      <c r="O47" s="16">
        <v>0.31468068448868902</v>
      </c>
      <c r="P47">
        <v>63</v>
      </c>
      <c r="Q47" s="16">
        <v>1.6822499219241199E-2</v>
      </c>
      <c r="R47">
        <v>62</v>
      </c>
      <c r="S47" s="16"/>
      <c r="U47" s="16">
        <v>4.9365063001494E-2</v>
      </c>
      <c r="V47">
        <v>62</v>
      </c>
      <c r="W47" s="16">
        <v>0.493384668954582</v>
      </c>
      <c r="X47">
        <v>143</v>
      </c>
      <c r="Y47" s="16">
        <v>0.24421537007938501</v>
      </c>
      <c r="Z47">
        <v>68</v>
      </c>
      <c r="AA47" s="16"/>
      <c r="AC47" s="16">
        <v>2.96480892736261E-2</v>
      </c>
      <c r="AD47">
        <v>68</v>
      </c>
      <c r="AE47" s="16">
        <v>0.12622543961553701</v>
      </c>
      <c r="AF47" s="11">
        <v>66</v>
      </c>
    </row>
    <row r="48" spans="1:32" outlineLevel="1" x14ac:dyDescent="0.25">
      <c r="A48" s="6" t="s">
        <v>15</v>
      </c>
      <c r="B48" t="s">
        <v>53</v>
      </c>
      <c r="C48" s="16">
        <v>0.36900369003689998</v>
      </c>
      <c r="D48">
        <v>271</v>
      </c>
      <c r="E48" s="16">
        <v>0.2</v>
      </c>
      <c r="F48">
        <v>100</v>
      </c>
      <c r="G48" s="16">
        <v>0.04</v>
      </c>
      <c r="H48">
        <v>100</v>
      </c>
      <c r="I48" s="16">
        <v>0.1</v>
      </c>
      <c r="J48">
        <v>100</v>
      </c>
      <c r="K48" s="16"/>
      <c r="M48" s="16">
        <v>0.375</v>
      </c>
      <c r="N48">
        <v>144</v>
      </c>
      <c r="O48" s="16">
        <v>0.22222222222222199</v>
      </c>
      <c r="P48">
        <v>54</v>
      </c>
      <c r="Q48" s="16">
        <v>3.7037037037037E-2</v>
      </c>
      <c r="R48">
        <v>54</v>
      </c>
      <c r="S48" s="16">
        <v>7.4074074074074098E-2</v>
      </c>
      <c r="T48">
        <v>54</v>
      </c>
      <c r="U48" s="16"/>
      <c r="W48" s="16">
        <v>0.36220472440944901</v>
      </c>
      <c r="X48">
        <v>127</v>
      </c>
      <c r="Y48" s="16">
        <v>0.173913043478261</v>
      </c>
      <c r="Z48">
        <v>46</v>
      </c>
      <c r="AA48" s="16">
        <v>4.3478260869565202E-2</v>
      </c>
      <c r="AB48">
        <v>46</v>
      </c>
      <c r="AC48" s="16">
        <v>0.13043478260869601</v>
      </c>
      <c r="AD48">
        <v>46</v>
      </c>
      <c r="AE48" s="16"/>
      <c r="AF48" s="11"/>
    </row>
    <row r="49" spans="1:32" outlineLevel="1" x14ac:dyDescent="0.25">
      <c r="A49" s="6" t="s">
        <v>15</v>
      </c>
      <c r="B49" t="s">
        <v>54</v>
      </c>
      <c r="C49" s="16">
        <v>0.44004415700009802</v>
      </c>
      <c r="D49">
        <v>294</v>
      </c>
      <c r="E49" s="16">
        <v>0.44762004833455898</v>
      </c>
      <c r="F49">
        <v>130</v>
      </c>
      <c r="G49" s="16">
        <v>2.34580224860775E-2</v>
      </c>
      <c r="H49">
        <v>130</v>
      </c>
      <c r="I49" s="16">
        <v>4.5300514868130699E-2</v>
      </c>
      <c r="J49">
        <v>130</v>
      </c>
      <c r="K49" s="16">
        <v>0.17747137792758799</v>
      </c>
      <c r="L49">
        <v>118</v>
      </c>
      <c r="M49" s="16">
        <v>0.440880993967322</v>
      </c>
      <c r="N49">
        <v>137</v>
      </c>
      <c r="O49" s="16">
        <v>0.54260908656682905</v>
      </c>
      <c r="P49">
        <v>61</v>
      </c>
      <c r="Q49" s="16">
        <v>1.5959090781377298E-2</v>
      </c>
      <c r="R49">
        <v>61</v>
      </c>
      <c r="S49" s="16">
        <v>6.4988339748812907E-2</v>
      </c>
      <c r="T49">
        <v>61</v>
      </c>
      <c r="U49" s="16">
        <v>0.123631428140552</v>
      </c>
      <c r="V49">
        <v>57</v>
      </c>
      <c r="W49" s="16">
        <v>0.442032619597924</v>
      </c>
      <c r="X49">
        <v>156</v>
      </c>
      <c r="Y49" s="16">
        <v>0.36423726723393801</v>
      </c>
      <c r="Z49">
        <v>69</v>
      </c>
      <c r="AA49" s="16">
        <v>3.0040695523492401E-2</v>
      </c>
      <c r="AB49">
        <v>69</v>
      </c>
      <c r="AC49" s="16">
        <v>2.8018251325687499E-2</v>
      </c>
      <c r="AD49">
        <v>69</v>
      </c>
      <c r="AE49" s="16">
        <v>0.22751100271914301</v>
      </c>
      <c r="AF49" s="11">
        <v>61</v>
      </c>
    </row>
    <row r="50" spans="1:32" outlineLevel="1" x14ac:dyDescent="0.25">
      <c r="A50" s="6" t="s">
        <v>15</v>
      </c>
      <c r="B50" t="s">
        <v>55</v>
      </c>
      <c r="C50" s="16">
        <v>0.67634433718270004</v>
      </c>
      <c r="D50">
        <v>235</v>
      </c>
      <c r="E50" s="16">
        <v>0.28507010046015602</v>
      </c>
      <c r="F50">
        <v>157</v>
      </c>
      <c r="G50" s="16">
        <v>3.6901593573979097E-2</v>
      </c>
      <c r="H50">
        <v>158</v>
      </c>
      <c r="I50" s="16">
        <v>3.9053140348256903E-2</v>
      </c>
      <c r="J50">
        <v>156</v>
      </c>
      <c r="K50" s="16">
        <v>6.1258273656368802E-2</v>
      </c>
      <c r="L50">
        <v>132</v>
      </c>
      <c r="M50" s="16">
        <v>0.719815242332289</v>
      </c>
      <c r="N50">
        <v>112</v>
      </c>
      <c r="O50" s="16">
        <v>0.30522590874780497</v>
      </c>
      <c r="P50">
        <v>81</v>
      </c>
      <c r="Q50" s="16">
        <v>4.0761885187579797E-2</v>
      </c>
      <c r="R50">
        <v>81</v>
      </c>
      <c r="S50" s="16">
        <v>1.9357952625694501E-2</v>
      </c>
      <c r="T50">
        <v>80</v>
      </c>
      <c r="U50" s="16">
        <v>3.7909128825357102E-2</v>
      </c>
      <c r="V50">
        <v>67</v>
      </c>
      <c r="W50" s="16">
        <v>0.64684835549635999</v>
      </c>
      <c r="X50">
        <v>121</v>
      </c>
      <c r="Y50" s="16">
        <v>0.26415629073281699</v>
      </c>
      <c r="Z50">
        <v>76</v>
      </c>
      <c r="AA50" s="16">
        <v>3.2974185311440703E-2</v>
      </c>
      <c r="AB50">
        <v>77</v>
      </c>
      <c r="AC50" s="16">
        <v>5.90944530674756E-2</v>
      </c>
      <c r="AD50">
        <v>76</v>
      </c>
      <c r="AE50" s="16">
        <v>8.4501065694630104E-2</v>
      </c>
      <c r="AF50" s="11">
        <v>65</v>
      </c>
    </row>
    <row r="51" spans="1:32" outlineLevel="1" x14ac:dyDescent="0.25">
      <c r="A51" s="6" t="s">
        <v>15</v>
      </c>
      <c r="B51" t="s">
        <v>56</v>
      </c>
      <c r="C51" s="16">
        <v>0.56581912497188502</v>
      </c>
      <c r="D51">
        <v>208</v>
      </c>
      <c r="E51" s="16">
        <v>5.0451659882572199E-2</v>
      </c>
      <c r="F51">
        <v>117</v>
      </c>
      <c r="G51" s="16">
        <v>0.100243030334215</v>
      </c>
      <c r="H51">
        <v>118</v>
      </c>
      <c r="I51" s="16">
        <v>2.5062844074063E-2</v>
      </c>
      <c r="J51">
        <v>118</v>
      </c>
      <c r="K51" s="16">
        <v>8.3542813580210103E-3</v>
      </c>
      <c r="L51">
        <v>118</v>
      </c>
      <c r="M51" s="16">
        <v>0.52565828929310598</v>
      </c>
      <c r="N51">
        <v>114</v>
      </c>
      <c r="O51" s="16">
        <v>1.67015507615197E-2</v>
      </c>
      <c r="P51">
        <v>59</v>
      </c>
      <c r="Q51" s="16">
        <v>0.11533626860936599</v>
      </c>
      <c r="R51">
        <v>60</v>
      </c>
      <c r="S51" s="16"/>
      <c r="U51" s="16"/>
      <c r="W51" s="16">
        <v>0.61064362990792898</v>
      </c>
      <c r="X51">
        <v>93</v>
      </c>
      <c r="Y51" s="16">
        <v>8.6224926081149095E-2</v>
      </c>
      <c r="Z51">
        <v>57</v>
      </c>
      <c r="AA51" s="16">
        <v>8.5978298456045599E-2</v>
      </c>
      <c r="AB51">
        <v>57</v>
      </c>
      <c r="AC51" s="16">
        <v>5.18829322237516E-2</v>
      </c>
      <c r="AD51">
        <v>57</v>
      </c>
      <c r="AE51" s="16">
        <v>1.7294310741250499E-2</v>
      </c>
      <c r="AF51" s="11">
        <v>57</v>
      </c>
    </row>
    <row r="52" spans="1:32" outlineLevel="1" x14ac:dyDescent="0.25">
      <c r="A52" s="6" t="s">
        <v>15</v>
      </c>
      <c r="B52" t="s">
        <v>57</v>
      </c>
      <c r="C52" s="16">
        <v>0.504643904674002</v>
      </c>
      <c r="D52">
        <v>191</v>
      </c>
      <c r="E52" s="16">
        <v>3.1713736006808602E-2</v>
      </c>
      <c r="F52">
        <v>96</v>
      </c>
      <c r="G52" s="16">
        <v>0.12469703048240501</v>
      </c>
      <c r="H52">
        <v>97</v>
      </c>
      <c r="I52" s="16">
        <v>1.0340811645794701E-2</v>
      </c>
      <c r="J52">
        <v>97</v>
      </c>
      <c r="K52" s="16"/>
      <c r="M52" s="16">
        <v>0.53860559123078899</v>
      </c>
      <c r="N52">
        <v>94</v>
      </c>
      <c r="O52" s="16">
        <v>4.0627608949448502E-2</v>
      </c>
      <c r="P52">
        <v>50</v>
      </c>
      <c r="Q52" s="16">
        <v>0.118867826504299</v>
      </c>
      <c r="R52">
        <v>51</v>
      </c>
      <c r="S52" s="16"/>
      <c r="U52" s="16"/>
      <c r="W52" s="16">
        <v>0.47182468115023801</v>
      </c>
      <c r="X52">
        <v>97</v>
      </c>
      <c r="Y52" s="16">
        <v>2.2075326289545501E-2</v>
      </c>
      <c r="Z52">
        <v>46</v>
      </c>
      <c r="AA52" s="16">
        <v>0.13112743815989999</v>
      </c>
      <c r="AB52">
        <v>46</v>
      </c>
      <c r="AC52" s="16">
        <v>2.1748138417754099E-2</v>
      </c>
      <c r="AD52">
        <v>46</v>
      </c>
      <c r="AE52" s="16"/>
      <c r="AF52" s="11"/>
    </row>
    <row r="53" spans="1:32" outlineLevel="1" x14ac:dyDescent="0.25">
      <c r="A53" s="6" t="s">
        <v>15</v>
      </c>
      <c r="B53" t="s">
        <v>58</v>
      </c>
      <c r="C53" s="16">
        <v>0.46198227884010001</v>
      </c>
      <c r="D53">
        <v>152</v>
      </c>
      <c r="E53" s="16"/>
      <c r="G53" s="16">
        <v>3.4854436426664102E-2</v>
      </c>
      <c r="H53">
        <v>70</v>
      </c>
      <c r="I53" s="16">
        <v>1.5888582140380799E-2</v>
      </c>
      <c r="J53">
        <v>68</v>
      </c>
      <c r="K53" s="16">
        <v>0.12570954101631701</v>
      </c>
      <c r="L53">
        <v>68</v>
      </c>
      <c r="M53" s="16">
        <v>0.454075771883864</v>
      </c>
      <c r="N53">
        <v>73</v>
      </c>
      <c r="O53" s="16"/>
      <c r="Q53" s="16">
        <v>2.7355563942800701E-2</v>
      </c>
      <c r="R53">
        <v>33</v>
      </c>
      <c r="S53" s="16">
        <v>3.3338027307225002E-2</v>
      </c>
      <c r="T53">
        <v>33</v>
      </c>
      <c r="U53" s="16">
        <v>5.4711127885601299E-2</v>
      </c>
      <c r="V53">
        <v>33</v>
      </c>
      <c r="W53" s="16">
        <v>0.46894916784023599</v>
      </c>
      <c r="X53">
        <v>79</v>
      </c>
      <c r="Y53" s="16"/>
      <c r="AA53" s="16">
        <v>4.1252562047672699E-2</v>
      </c>
      <c r="AB53">
        <v>37</v>
      </c>
      <c r="AC53" s="16"/>
      <c r="AE53" s="16">
        <v>0.190357104768516</v>
      </c>
      <c r="AF53" s="11">
        <v>35</v>
      </c>
    </row>
    <row r="54" spans="1:32" outlineLevel="1" x14ac:dyDescent="0.25">
      <c r="A54" s="6" t="s">
        <v>15</v>
      </c>
      <c r="B54" t="s">
        <v>59</v>
      </c>
      <c r="C54" s="16">
        <v>0.75796178343948994</v>
      </c>
      <c r="D54">
        <v>157</v>
      </c>
      <c r="E54" s="16"/>
      <c r="G54" s="16">
        <v>4.20168067226891E-2</v>
      </c>
      <c r="H54">
        <v>119</v>
      </c>
      <c r="I54" s="16"/>
      <c r="K54" s="16"/>
      <c r="M54" s="16">
        <v>0.75903614457831303</v>
      </c>
      <c r="N54">
        <v>83</v>
      </c>
      <c r="O54" s="16"/>
      <c r="Q54" s="16">
        <v>1.58730158730159E-2</v>
      </c>
      <c r="R54">
        <v>63</v>
      </c>
      <c r="S54" s="16"/>
      <c r="U54" s="16"/>
      <c r="W54" s="16">
        <v>0.75675675675675702</v>
      </c>
      <c r="X54">
        <v>74</v>
      </c>
      <c r="Y54" s="16"/>
      <c r="AA54" s="16">
        <v>7.1428571428571397E-2</v>
      </c>
      <c r="AB54">
        <v>56</v>
      </c>
      <c r="AC54" s="16"/>
      <c r="AE54" s="16"/>
      <c r="AF54" s="11"/>
    </row>
    <row r="55" spans="1:32" outlineLevel="1" x14ac:dyDescent="0.25">
      <c r="A55" s="6" t="s">
        <v>15</v>
      </c>
      <c r="B55" t="s">
        <v>60</v>
      </c>
      <c r="C55" s="16">
        <v>0.39751552795031098</v>
      </c>
      <c r="D55">
        <v>161</v>
      </c>
      <c r="E55" s="16">
        <v>0.36363636363636398</v>
      </c>
      <c r="F55">
        <v>55</v>
      </c>
      <c r="G55" s="16">
        <v>0.13114754098360701</v>
      </c>
      <c r="H55">
        <v>61</v>
      </c>
      <c r="I55" s="16">
        <v>0.114754098360656</v>
      </c>
      <c r="J55">
        <v>61</v>
      </c>
      <c r="K55" s="16">
        <v>9.5238095238095205E-2</v>
      </c>
      <c r="L55">
        <v>63</v>
      </c>
      <c r="M55" s="16">
        <v>0.36249999999999999</v>
      </c>
      <c r="N55">
        <v>80</v>
      </c>
      <c r="O55" s="16">
        <v>0.5</v>
      </c>
      <c r="P55">
        <v>24</v>
      </c>
      <c r="Q55" s="16">
        <v>0.11111111111111099</v>
      </c>
      <c r="R55">
        <v>27</v>
      </c>
      <c r="S55" s="16">
        <v>7.1428571428571397E-2</v>
      </c>
      <c r="T55">
        <v>28</v>
      </c>
      <c r="U55" s="16">
        <v>0.10344827586206901</v>
      </c>
      <c r="V55">
        <v>29</v>
      </c>
      <c r="W55" s="16">
        <v>0.43209876543209902</v>
      </c>
      <c r="X55">
        <v>81</v>
      </c>
      <c r="Y55" s="16">
        <v>0.25806451612903197</v>
      </c>
      <c r="Z55">
        <v>31</v>
      </c>
      <c r="AA55" s="16">
        <v>0.14705882352941199</v>
      </c>
      <c r="AB55">
        <v>34</v>
      </c>
      <c r="AC55" s="16">
        <v>0.15151515151515199</v>
      </c>
      <c r="AD55">
        <v>33</v>
      </c>
      <c r="AE55" s="16">
        <v>8.8235294117647106E-2</v>
      </c>
      <c r="AF55" s="11">
        <v>34</v>
      </c>
    </row>
    <row r="56" spans="1:32" outlineLevel="1" x14ac:dyDescent="0.25">
      <c r="A56" s="6" t="s">
        <v>15</v>
      </c>
      <c r="B56" t="s">
        <v>61</v>
      </c>
      <c r="C56" s="16">
        <v>0.86</v>
      </c>
      <c r="D56">
        <v>150</v>
      </c>
      <c r="E56" s="16">
        <v>9.3023255813953501E-2</v>
      </c>
      <c r="F56">
        <v>129</v>
      </c>
      <c r="G56" s="16"/>
      <c r="I56" s="16"/>
      <c r="K56" s="16">
        <v>7.7519379844961196E-3</v>
      </c>
      <c r="L56">
        <v>129</v>
      </c>
      <c r="M56" s="16">
        <v>0.85185185185185197</v>
      </c>
      <c r="N56">
        <v>81</v>
      </c>
      <c r="O56" s="16">
        <v>8.6956521739130405E-2</v>
      </c>
      <c r="P56">
        <v>69</v>
      </c>
      <c r="Q56" s="16"/>
      <c r="S56" s="16"/>
      <c r="U56" s="16">
        <v>1.4492753623188401E-2</v>
      </c>
      <c r="V56">
        <v>69</v>
      </c>
      <c r="W56" s="16">
        <v>0.86956521739130399</v>
      </c>
      <c r="X56">
        <v>69</v>
      </c>
      <c r="Y56" s="16">
        <v>0.1</v>
      </c>
      <c r="Z56">
        <v>60</v>
      </c>
      <c r="AA56" s="16"/>
      <c r="AC56" s="16"/>
      <c r="AE56" s="16"/>
      <c r="AF56" s="11"/>
    </row>
    <row r="57" spans="1:32" outlineLevel="1" x14ac:dyDescent="0.25">
      <c r="A57" s="6" t="s">
        <v>15</v>
      </c>
      <c r="B57" t="s">
        <v>62</v>
      </c>
      <c r="C57" s="16">
        <v>0.66399466944936802</v>
      </c>
      <c r="D57">
        <v>195</v>
      </c>
      <c r="E57" s="16">
        <v>0.21093253224764</v>
      </c>
      <c r="F57">
        <v>130</v>
      </c>
      <c r="G57" s="16">
        <v>0.13854826756295299</v>
      </c>
      <c r="H57">
        <v>130</v>
      </c>
      <c r="I57" s="16">
        <v>0.11967785686367199</v>
      </c>
      <c r="J57">
        <v>129</v>
      </c>
      <c r="K57" s="16">
        <v>0.136808496598084</v>
      </c>
      <c r="L57">
        <v>128</v>
      </c>
      <c r="M57" s="16">
        <v>0.62258194123102495</v>
      </c>
      <c r="N57">
        <v>91</v>
      </c>
      <c r="O57" s="16">
        <v>0.25858178477701899</v>
      </c>
      <c r="P57">
        <v>57</v>
      </c>
      <c r="Q57" s="16">
        <v>0.108805030229584</v>
      </c>
      <c r="R57">
        <v>57</v>
      </c>
      <c r="S57" s="16">
        <v>0.119158060994961</v>
      </c>
      <c r="T57">
        <v>57</v>
      </c>
      <c r="U57" s="16">
        <v>0.17124060908369301</v>
      </c>
      <c r="V57">
        <v>57</v>
      </c>
      <c r="W57" s="16">
        <v>0.70080874311030406</v>
      </c>
      <c r="X57">
        <v>104</v>
      </c>
      <c r="Y57" s="16">
        <v>0.173302626117327</v>
      </c>
      <c r="Z57">
        <v>73</v>
      </c>
      <c r="AA57" s="16">
        <v>0.16203730819745699</v>
      </c>
      <c r="AB57">
        <v>73</v>
      </c>
      <c r="AC57" s="16">
        <v>0.12009406003305199</v>
      </c>
      <c r="AD57">
        <v>72</v>
      </c>
      <c r="AE57" s="16">
        <v>0.10884988028171901</v>
      </c>
      <c r="AF57" s="11">
        <v>71</v>
      </c>
    </row>
    <row r="58" spans="1:32" outlineLevel="1" x14ac:dyDescent="0.25">
      <c r="A58" s="6" t="s">
        <v>15</v>
      </c>
      <c r="B58" t="s">
        <v>63</v>
      </c>
      <c r="C58" s="16">
        <v>0.82029153626788298</v>
      </c>
      <c r="D58">
        <v>216</v>
      </c>
      <c r="E58" s="16">
        <v>0.16781634087785499</v>
      </c>
      <c r="F58">
        <v>176</v>
      </c>
      <c r="G58" s="16">
        <v>0.133418581130122</v>
      </c>
      <c r="H58">
        <v>176</v>
      </c>
      <c r="I58" s="16">
        <v>0.109948637126871</v>
      </c>
      <c r="J58">
        <v>176</v>
      </c>
      <c r="K58" s="16">
        <v>9.8375096376673604E-2</v>
      </c>
      <c r="L58">
        <v>176</v>
      </c>
      <c r="M58" s="16">
        <v>0.83145471424721595</v>
      </c>
      <c r="N58">
        <v>122</v>
      </c>
      <c r="O58" s="16">
        <v>0.141513075720888</v>
      </c>
      <c r="P58">
        <v>101</v>
      </c>
      <c r="Q58" s="16">
        <v>0.10108076837206301</v>
      </c>
      <c r="R58">
        <v>101</v>
      </c>
      <c r="S58" s="16">
        <v>0.10108076837206301</v>
      </c>
      <c r="T58">
        <v>101</v>
      </c>
      <c r="U58" s="16">
        <v>8.0864614697650203E-2</v>
      </c>
      <c r="V58">
        <v>101</v>
      </c>
      <c r="W58" s="16">
        <v>0.80580382586160604</v>
      </c>
      <c r="X58">
        <v>94</v>
      </c>
      <c r="Y58" s="16">
        <v>0.20303970605997901</v>
      </c>
      <c r="Z58">
        <v>75</v>
      </c>
      <c r="AA58" s="16">
        <v>0.17672296106816099</v>
      </c>
      <c r="AB58">
        <v>75</v>
      </c>
      <c r="AC58" s="16">
        <v>0.121823823635987</v>
      </c>
      <c r="AD58">
        <v>75</v>
      </c>
      <c r="AE58" s="16">
        <v>0.121823823635987</v>
      </c>
      <c r="AF58" s="11">
        <v>75</v>
      </c>
    </row>
    <row r="59" spans="1:32" outlineLevel="1" x14ac:dyDescent="0.25">
      <c r="A59" s="6" t="s">
        <v>15</v>
      </c>
      <c r="B59" t="s">
        <v>64</v>
      </c>
      <c r="C59" s="16">
        <v>0.62080084847976202</v>
      </c>
      <c r="D59">
        <v>182</v>
      </c>
      <c r="E59" s="16">
        <v>0.114916506161934</v>
      </c>
      <c r="F59">
        <v>113</v>
      </c>
      <c r="G59" s="16">
        <v>0.26711735841668199</v>
      </c>
      <c r="H59">
        <v>112</v>
      </c>
      <c r="I59" s="16"/>
      <c r="K59" s="16">
        <v>2.6944508531584799E-2</v>
      </c>
      <c r="L59">
        <v>112</v>
      </c>
      <c r="M59" s="16">
        <v>0.64932044494907004</v>
      </c>
      <c r="N59">
        <v>100</v>
      </c>
      <c r="O59" s="16">
        <v>0.10767761697881401</v>
      </c>
      <c r="P59">
        <v>65</v>
      </c>
      <c r="Q59" s="16">
        <v>0.29208911461912201</v>
      </c>
      <c r="R59">
        <v>65</v>
      </c>
      <c r="S59" s="16"/>
      <c r="U59" s="16">
        <v>1.5665374756223802E-2</v>
      </c>
      <c r="V59">
        <v>64</v>
      </c>
      <c r="W59" s="16">
        <v>0.58606441607875104</v>
      </c>
      <c r="X59">
        <v>82</v>
      </c>
      <c r="Y59" s="16">
        <v>0.1246849973391</v>
      </c>
      <c r="Z59">
        <v>48</v>
      </c>
      <c r="AA59" s="16">
        <v>0.23270536526482899</v>
      </c>
      <c r="AB59">
        <v>47</v>
      </c>
      <c r="AC59" s="16"/>
      <c r="AE59" s="16">
        <v>4.1930333673542403E-2</v>
      </c>
      <c r="AF59" s="11">
        <v>48</v>
      </c>
    </row>
    <row r="60" spans="1:32" outlineLevel="1" x14ac:dyDescent="0.25">
      <c r="A60" s="6" t="s">
        <v>15</v>
      </c>
      <c r="B60" t="s">
        <v>65</v>
      </c>
      <c r="C60" s="16">
        <v>0.88157894736842102</v>
      </c>
      <c r="D60">
        <v>152</v>
      </c>
      <c r="E60" s="16">
        <v>7.4626865671641798E-3</v>
      </c>
      <c r="F60">
        <v>134</v>
      </c>
      <c r="G60" s="16">
        <v>2.2556390977443601E-2</v>
      </c>
      <c r="H60">
        <v>133</v>
      </c>
      <c r="I60" s="16"/>
      <c r="K60" s="16"/>
      <c r="M60" s="16">
        <v>0.88</v>
      </c>
      <c r="N60">
        <v>75</v>
      </c>
      <c r="O60" s="16"/>
      <c r="Q60" s="16">
        <v>1.5384615384615399E-2</v>
      </c>
      <c r="R60">
        <v>65</v>
      </c>
      <c r="S60" s="16"/>
      <c r="U60" s="16"/>
      <c r="W60" s="16">
        <v>0.88311688311688297</v>
      </c>
      <c r="X60">
        <v>77</v>
      </c>
      <c r="Y60" s="16">
        <v>1.4705882352941201E-2</v>
      </c>
      <c r="Z60">
        <v>68</v>
      </c>
      <c r="AA60" s="16">
        <v>2.9411764705882401E-2</v>
      </c>
      <c r="AB60">
        <v>68</v>
      </c>
      <c r="AC60" s="16"/>
      <c r="AE60" s="16"/>
      <c r="AF60" s="11"/>
    </row>
    <row r="61" spans="1:32" outlineLevel="1" x14ac:dyDescent="0.25">
      <c r="A61" s="6" t="s">
        <v>15</v>
      </c>
      <c r="B61" t="s">
        <v>66</v>
      </c>
      <c r="C61" s="16">
        <v>0.47839506172839502</v>
      </c>
      <c r="D61">
        <v>324</v>
      </c>
      <c r="E61" s="16">
        <v>0.103225806451613</v>
      </c>
      <c r="F61">
        <v>155</v>
      </c>
      <c r="G61" s="16">
        <v>0.73548387096774204</v>
      </c>
      <c r="H61">
        <v>155</v>
      </c>
      <c r="I61" s="16">
        <v>0.29032258064516098</v>
      </c>
      <c r="J61">
        <v>155</v>
      </c>
      <c r="K61" s="16">
        <v>3.8709677419354799E-2</v>
      </c>
      <c r="L61">
        <v>155</v>
      </c>
      <c r="M61" s="16">
        <v>0.45512820512820501</v>
      </c>
      <c r="N61">
        <v>156</v>
      </c>
      <c r="O61" s="16">
        <v>0.140845070422535</v>
      </c>
      <c r="P61">
        <v>71</v>
      </c>
      <c r="Q61" s="16">
        <v>0.70422535211267601</v>
      </c>
      <c r="R61">
        <v>71</v>
      </c>
      <c r="S61" s="16">
        <v>0.22535211267605601</v>
      </c>
      <c r="T61">
        <v>71</v>
      </c>
      <c r="U61" s="16">
        <v>2.8169014084507001E-2</v>
      </c>
      <c r="V61">
        <v>71</v>
      </c>
      <c r="W61" s="16">
        <v>0.5</v>
      </c>
      <c r="X61">
        <v>168</v>
      </c>
      <c r="Y61" s="16">
        <v>7.1428571428571397E-2</v>
      </c>
      <c r="Z61">
        <v>84</v>
      </c>
      <c r="AA61" s="16">
        <v>0.76190476190476197</v>
      </c>
      <c r="AB61">
        <v>84</v>
      </c>
      <c r="AC61" s="16">
        <v>0.34523809523809501</v>
      </c>
      <c r="AD61">
        <v>84</v>
      </c>
      <c r="AE61" s="16">
        <v>4.7619047619047603E-2</v>
      </c>
      <c r="AF61" s="11">
        <v>84</v>
      </c>
    </row>
    <row r="62" spans="1:32" outlineLevel="1" x14ac:dyDescent="0.25">
      <c r="A62" s="6" t="s">
        <v>15</v>
      </c>
      <c r="B62" t="s">
        <v>67</v>
      </c>
      <c r="C62" s="16">
        <v>0.38202247191011202</v>
      </c>
      <c r="D62">
        <v>356</v>
      </c>
      <c r="E62" s="16">
        <v>2.9411764705882401E-2</v>
      </c>
      <c r="F62">
        <v>136</v>
      </c>
      <c r="G62" s="16">
        <v>0.59558823529411797</v>
      </c>
      <c r="H62">
        <v>136</v>
      </c>
      <c r="I62" s="16">
        <v>0.13235294117647101</v>
      </c>
      <c r="J62">
        <v>136</v>
      </c>
      <c r="K62" s="16">
        <v>7.3529411764705899E-3</v>
      </c>
      <c r="L62">
        <v>136</v>
      </c>
      <c r="M62" s="16">
        <v>0.42134831460674199</v>
      </c>
      <c r="N62">
        <v>178</v>
      </c>
      <c r="O62" s="16">
        <v>1.3333333333333299E-2</v>
      </c>
      <c r="P62">
        <v>75</v>
      </c>
      <c r="Q62" s="16">
        <v>0.586666666666667</v>
      </c>
      <c r="R62">
        <v>75</v>
      </c>
      <c r="S62" s="16">
        <v>0.133333333333333</v>
      </c>
      <c r="T62">
        <v>75</v>
      </c>
      <c r="U62" s="16">
        <v>1.3333333333333299E-2</v>
      </c>
      <c r="V62">
        <v>75</v>
      </c>
      <c r="W62" s="16">
        <v>0.34463276836158202</v>
      </c>
      <c r="X62">
        <v>177</v>
      </c>
      <c r="Y62" s="16">
        <v>4.91803278688525E-2</v>
      </c>
      <c r="Z62">
        <v>61</v>
      </c>
      <c r="AA62" s="16">
        <v>0.60655737704918</v>
      </c>
      <c r="AB62">
        <v>61</v>
      </c>
      <c r="AC62" s="16">
        <v>0.13114754098360701</v>
      </c>
      <c r="AD62">
        <v>61</v>
      </c>
      <c r="AE62" s="16"/>
      <c r="AF62" s="11"/>
    </row>
    <row r="63" spans="1:32" outlineLevel="1" x14ac:dyDescent="0.25">
      <c r="A63" s="6" t="s">
        <v>15</v>
      </c>
      <c r="B63" t="s">
        <v>68</v>
      </c>
      <c r="C63" s="16">
        <v>0.58510638297872297</v>
      </c>
      <c r="D63">
        <v>282</v>
      </c>
      <c r="E63" s="16">
        <v>0.145454545454545</v>
      </c>
      <c r="F63">
        <v>165</v>
      </c>
      <c r="G63" s="16">
        <v>0.24390243902438999</v>
      </c>
      <c r="H63">
        <v>164</v>
      </c>
      <c r="I63" s="16">
        <v>5.4545454545454501E-2</v>
      </c>
      <c r="J63">
        <v>165</v>
      </c>
      <c r="K63" s="16">
        <v>6.0606060606060597E-3</v>
      </c>
      <c r="L63">
        <v>165</v>
      </c>
      <c r="M63" s="16">
        <v>0.58823529411764697</v>
      </c>
      <c r="N63">
        <v>153</v>
      </c>
      <c r="O63" s="16">
        <v>0.122222222222222</v>
      </c>
      <c r="P63">
        <v>90</v>
      </c>
      <c r="Q63" s="16">
        <v>0.22222222222222199</v>
      </c>
      <c r="R63">
        <v>90</v>
      </c>
      <c r="S63" s="16">
        <v>4.4444444444444398E-2</v>
      </c>
      <c r="T63">
        <v>90</v>
      </c>
      <c r="U63" s="16"/>
      <c r="W63" s="16">
        <v>0.581395348837209</v>
      </c>
      <c r="X63">
        <v>129</v>
      </c>
      <c r="Y63" s="16">
        <v>0.17333333333333301</v>
      </c>
      <c r="Z63">
        <v>75</v>
      </c>
      <c r="AA63" s="16">
        <v>0.27027027027027001</v>
      </c>
      <c r="AB63">
        <v>74</v>
      </c>
      <c r="AC63" s="16">
        <v>6.6666666666666693E-2</v>
      </c>
      <c r="AD63">
        <v>75</v>
      </c>
      <c r="AE63" s="16">
        <v>1.3333333333333299E-2</v>
      </c>
      <c r="AF63" s="11">
        <v>75</v>
      </c>
    </row>
    <row r="64" spans="1:32" outlineLevel="1" x14ac:dyDescent="0.25">
      <c r="A64" s="6" t="s">
        <v>15</v>
      </c>
      <c r="B64" t="s">
        <v>69</v>
      </c>
      <c r="C64" s="16">
        <v>0.42996742671009802</v>
      </c>
      <c r="D64">
        <v>307</v>
      </c>
      <c r="E64" s="16">
        <v>0.15151515151515199</v>
      </c>
      <c r="F64">
        <v>132</v>
      </c>
      <c r="G64" s="16">
        <v>0.59848484848484895</v>
      </c>
      <c r="H64">
        <v>132</v>
      </c>
      <c r="I64" s="16">
        <v>7.5757575757575801E-2</v>
      </c>
      <c r="J64">
        <v>132</v>
      </c>
      <c r="K64" s="16">
        <v>1.5151515151515201E-2</v>
      </c>
      <c r="L64">
        <v>132</v>
      </c>
      <c r="M64" s="16">
        <v>0.46103896103896103</v>
      </c>
      <c r="N64">
        <v>154</v>
      </c>
      <c r="O64" s="16">
        <v>9.8591549295774697E-2</v>
      </c>
      <c r="P64">
        <v>71</v>
      </c>
      <c r="Q64" s="16">
        <v>0.54929577464788704</v>
      </c>
      <c r="R64">
        <v>71</v>
      </c>
      <c r="S64" s="16">
        <v>2.8169014084507001E-2</v>
      </c>
      <c r="T64">
        <v>71</v>
      </c>
      <c r="U64" s="16">
        <v>1.4084507042253501E-2</v>
      </c>
      <c r="V64">
        <v>71</v>
      </c>
      <c r="W64" s="16">
        <v>0.39869281045751598</v>
      </c>
      <c r="X64">
        <v>153</v>
      </c>
      <c r="Y64" s="16">
        <v>0.213114754098361</v>
      </c>
      <c r="Z64">
        <v>61</v>
      </c>
      <c r="AA64" s="16">
        <v>0.65573770491803296</v>
      </c>
      <c r="AB64">
        <v>61</v>
      </c>
      <c r="AC64" s="16">
        <v>0.13114754098360701</v>
      </c>
      <c r="AD64">
        <v>61</v>
      </c>
      <c r="AE64" s="16">
        <v>1.63934426229508E-2</v>
      </c>
      <c r="AF64" s="11">
        <v>61</v>
      </c>
    </row>
    <row r="65" spans="1:32" outlineLevel="1" x14ac:dyDescent="0.25">
      <c r="A65" s="6" t="s">
        <v>15</v>
      </c>
      <c r="B65" t="s">
        <v>70</v>
      </c>
      <c r="C65" s="16">
        <v>0.14857142857142899</v>
      </c>
      <c r="D65">
        <v>175</v>
      </c>
      <c r="E65" s="16">
        <v>0.19230769230769201</v>
      </c>
      <c r="F65">
        <v>26</v>
      </c>
      <c r="G65" s="16"/>
      <c r="I65" s="16">
        <v>0.115384615384615</v>
      </c>
      <c r="J65">
        <v>26</v>
      </c>
      <c r="K65" s="16">
        <v>0.6</v>
      </c>
      <c r="L65">
        <v>25</v>
      </c>
      <c r="M65" s="16">
        <v>0.125</v>
      </c>
      <c r="N65">
        <v>80</v>
      </c>
      <c r="O65" s="16">
        <v>0.3</v>
      </c>
      <c r="P65">
        <v>10</v>
      </c>
      <c r="Q65" s="16"/>
      <c r="S65" s="16">
        <v>0.1</v>
      </c>
      <c r="T65">
        <v>10</v>
      </c>
      <c r="U65" s="16">
        <v>0.7</v>
      </c>
      <c r="V65">
        <v>10</v>
      </c>
      <c r="W65" s="16">
        <v>0.168421052631579</v>
      </c>
      <c r="X65">
        <v>95</v>
      </c>
      <c r="Y65" s="16">
        <v>0.125</v>
      </c>
      <c r="Z65">
        <v>16</v>
      </c>
      <c r="AA65" s="16"/>
      <c r="AC65" s="16">
        <v>0.125</v>
      </c>
      <c r="AD65">
        <v>16</v>
      </c>
      <c r="AE65" s="16">
        <v>0.53333333333333299</v>
      </c>
      <c r="AF65" s="11">
        <v>15</v>
      </c>
    </row>
    <row r="66" spans="1:32" outlineLevel="1" x14ac:dyDescent="0.25">
      <c r="A66" s="6" t="s">
        <v>15</v>
      </c>
      <c r="B66" t="s">
        <v>71</v>
      </c>
      <c r="C66" s="16">
        <v>0.25405405405405401</v>
      </c>
      <c r="D66">
        <v>185</v>
      </c>
      <c r="E66" s="16">
        <v>0.11111111111111099</v>
      </c>
      <c r="F66">
        <v>45</v>
      </c>
      <c r="G66" s="16"/>
      <c r="I66" s="16">
        <v>2.2222222222222199E-2</v>
      </c>
      <c r="J66">
        <v>45</v>
      </c>
      <c r="K66" s="16"/>
      <c r="M66" s="16">
        <v>0.28723404255319102</v>
      </c>
      <c r="N66">
        <v>94</v>
      </c>
      <c r="O66" s="16">
        <v>7.4074074074074098E-2</v>
      </c>
      <c r="P66">
        <v>27</v>
      </c>
      <c r="Q66" s="16"/>
      <c r="S66" s="16"/>
      <c r="U66" s="16"/>
      <c r="W66" s="16">
        <v>0.21978021978022</v>
      </c>
      <c r="X66">
        <v>91</v>
      </c>
      <c r="Y66" s="16">
        <v>0.16666666666666699</v>
      </c>
      <c r="Z66">
        <v>18</v>
      </c>
      <c r="AA66" s="16"/>
      <c r="AC66" s="16">
        <v>5.5555555555555601E-2</v>
      </c>
      <c r="AD66">
        <v>18</v>
      </c>
      <c r="AE66" s="16"/>
      <c r="AF66" s="11"/>
    </row>
    <row r="67" spans="1:32" outlineLevel="1" x14ac:dyDescent="0.25">
      <c r="A67" s="6" t="s">
        <v>15</v>
      </c>
      <c r="B67" t="s">
        <v>72</v>
      </c>
      <c r="C67" s="16">
        <v>7.9545454545454503E-2</v>
      </c>
      <c r="D67">
        <v>176</v>
      </c>
      <c r="E67" s="16">
        <v>7.1428571428571397E-2</v>
      </c>
      <c r="F67">
        <v>14</v>
      </c>
      <c r="G67" s="16"/>
      <c r="I67" s="16"/>
      <c r="K67" s="16"/>
      <c r="M67" s="16">
        <v>9.0909090909090898E-2</v>
      </c>
      <c r="N67">
        <v>88</v>
      </c>
      <c r="O67" s="16">
        <v>0.125</v>
      </c>
      <c r="P67">
        <v>8</v>
      </c>
      <c r="Q67" s="16"/>
      <c r="S67" s="16"/>
      <c r="U67" s="16"/>
      <c r="W67" s="16">
        <v>6.8181818181818205E-2</v>
      </c>
      <c r="X67">
        <v>88</v>
      </c>
      <c r="Y67" s="16"/>
      <c r="AA67" s="16"/>
      <c r="AC67" s="16"/>
      <c r="AE67" s="16"/>
      <c r="AF67" s="11"/>
    </row>
    <row r="68" spans="1:32" outlineLevel="1" x14ac:dyDescent="0.25">
      <c r="A68" s="6" t="s">
        <v>15</v>
      </c>
      <c r="B68" t="s">
        <v>73</v>
      </c>
      <c r="C68" s="16">
        <v>0.85161290322580596</v>
      </c>
      <c r="D68">
        <v>155</v>
      </c>
      <c r="E68" s="16"/>
      <c r="G68" s="16">
        <v>7.5757575757575803E-3</v>
      </c>
      <c r="H68">
        <v>132</v>
      </c>
      <c r="I68" s="16"/>
      <c r="K68" s="16"/>
      <c r="M68" s="16">
        <v>0.86301369863013699</v>
      </c>
      <c r="N68">
        <v>73</v>
      </c>
      <c r="O68" s="16"/>
      <c r="Q68" s="16"/>
      <c r="S68" s="16"/>
      <c r="U68" s="16"/>
      <c r="W68" s="16">
        <v>0.84146341463414598</v>
      </c>
      <c r="X68">
        <v>82</v>
      </c>
      <c r="Y68" s="16"/>
      <c r="AA68" s="16">
        <v>1.4492753623188401E-2</v>
      </c>
      <c r="AB68">
        <v>69</v>
      </c>
      <c r="AC68" s="16"/>
      <c r="AE68" s="16"/>
      <c r="AF68" s="11"/>
    </row>
    <row r="69" spans="1:32" outlineLevel="1" x14ac:dyDescent="0.25">
      <c r="A69" s="6" t="s">
        <v>15</v>
      </c>
      <c r="B69" t="s">
        <v>74</v>
      </c>
      <c r="C69" s="16">
        <v>0.206666666666667</v>
      </c>
      <c r="D69">
        <v>150</v>
      </c>
      <c r="E69" s="16">
        <v>0.16129032258064499</v>
      </c>
      <c r="F69">
        <v>31</v>
      </c>
      <c r="G69" s="16">
        <v>6.6666666666666693E-2</v>
      </c>
      <c r="H69">
        <v>30</v>
      </c>
      <c r="I69" s="16">
        <v>3.2258064516128997E-2</v>
      </c>
      <c r="J69">
        <v>31</v>
      </c>
      <c r="K69" s="16"/>
      <c r="M69" s="16">
        <v>0.18292682926829301</v>
      </c>
      <c r="N69">
        <v>82</v>
      </c>
      <c r="O69" s="16">
        <v>6.6666666666666693E-2</v>
      </c>
      <c r="P69">
        <v>15</v>
      </c>
      <c r="Q69" s="16"/>
      <c r="S69" s="16"/>
      <c r="U69" s="16"/>
      <c r="W69" s="16">
        <v>0.23529411764705899</v>
      </c>
      <c r="X69">
        <v>68</v>
      </c>
      <c r="Y69" s="16">
        <v>0.25</v>
      </c>
      <c r="Z69">
        <v>16</v>
      </c>
      <c r="AA69" s="16">
        <v>0.133333333333333</v>
      </c>
      <c r="AB69">
        <v>15</v>
      </c>
      <c r="AC69" s="16">
        <v>6.25E-2</v>
      </c>
      <c r="AD69">
        <v>16</v>
      </c>
      <c r="AE69" s="16"/>
      <c r="AF69" s="11"/>
    </row>
    <row r="70" spans="1:32" outlineLevel="1" x14ac:dyDescent="0.25">
      <c r="A70" s="6" t="s">
        <v>15</v>
      </c>
      <c r="B70" t="s">
        <v>75</v>
      </c>
      <c r="C70" s="16">
        <v>0.60122699386503098</v>
      </c>
      <c r="D70">
        <v>163</v>
      </c>
      <c r="E70" s="16">
        <v>0.11224489795918401</v>
      </c>
      <c r="F70">
        <v>98</v>
      </c>
      <c r="G70" s="16">
        <v>4.08163265306122E-2</v>
      </c>
      <c r="H70">
        <v>98</v>
      </c>
      <c r="I70" s="16">
        <v>2.04081632653061E-2</v>
      </c>
      <c r="J70">
        <v>98</v>
      </c>
      <c r="K70" s="16"/>
      <c r="M70" s="16">
        <v>0.59302325581395299</v>
      </c>
      <c r="N70">
        <v>86</v>
      </c>
      <c r="O70" s="16">
        <v>0.17647058823529399</v>
      </c>
      <c r="P70">
        <v>51</v>
      </c>
      <c r="Q70" s="16">
        <v>5.8823529411764698E-2</v>
      </c>
      <c r="R70">
        <v>51</v>
      </c>
      <c r="S70" s="16">
        <v>3.9215686274509803E-2</v>
      </c>
      <c r="T70">
        <v>51</v>
      </c>
      <c r="U70" s="16"/>
      <c r="W70" s="16">
        <v>0.61038961038961004</v>
      </c>
      <c r="X70">
        <v>77</v>
      </c>
      <c r="Y70" s="16">
        <v>4.2553191489361701E-2</v>
      </c>
      <c r="Z70">
        <v>47</v>
      </c>
      <c r="AA70" s="16">
        <v>2.1276595744680899E-2</v>
      </c>
      <c r="AB70">
        <v>47</v>
      </c>
      <c r="AC70" s="16"/>
      <c r="AE70" s="16"/>
      <c r="AF70" s="11"/>
    </row>
    <row r="71" spans="1:32" outlineLevel="1" x14ac:dyDescent="0.25">
      <c r="A71" s="6" t="s">
        <v>15</v>
      </c>
      <c r="B71" t="s">
        <v>76</v>
      </c>
      <c r="C71" s="16">
        <v>0.44680851063829802</v>
      </c>
      <c r="D71">
        <v>141</v>
      </c>
      <c r="E71" s="16">
        <v>0.12903225806451599</v>
      </c>
      <c r="F71">
        <v>62</v>
      </c>
      <c r="G71" s="16">
        <v>4.91803278688525E-2</v>
      </c>
      <c r="H71">
        <v>61</v>
      </c>
      <c r="I71" s="16">
        <v>3.2258064516128997E-2</v>
      </c>
      <c r="J71">
        <v>62</v>
      </c>
      <c r="K71" s="16">
        <v>0.13114754098360701</v>
      </c>
      <c r="L71">
        <v>61</v>
      </c>
      <c r="M71" s="16">
        <v>0.38636363636363602</v>
      </c>
      <c r="N71">
        <v>88</v>
      </c>
      <c r="O71" s="16">
        <v>0.12121212121212099</v>
      </c>
      <c r="P71">
        <v>33</v>
      </c>
      <c r="Q71" s="16">
        <v>6.0606060606060601E-2</v>
      </c>
      <c r="R71">
        <v>33</v>
      </c>
      <c r="S71" s="16"/>
      <c r="U71" s="16">
        <v>9.375E-2</v>
      </c>
      <c r="V71">
        <v>32</v>
      </c>
      <c r="W71" s="16">
        <v>0.54716981132075504</v>
      </c>
      <c r="X71">
        <v>53</v>
      </c>
      <c r="Y71" s="16">
        <v>0.13793103448275901</v>
      </c>
      <c r="Z71">
        <v>29</v>
      </c>
      <c r="AA71" s="16">
        <v>3.5714285714285698E-2</v>
      </c>
      <c r="AB71">
        <v>28</v>
      </c>
      <c r="AC71" s="16">
        <v>6.8965517241379296E-2</v>
      </c>
      <c r="AD71">
        <v>29</v>
      </c>
      <c r="AE71" s="16">
        <v>0.17241379310344801</v>
      </c>
      <c r="AF71" s="11">
        <v>29</v>
      </c>
    </row>
    <row r="72" spans="1:32" outlineLevel="1" x14ac:dyDescent="0.25">
      <c r="A72" s="6" t="s">
        <v>15</v>
      </c>
      <c r="B72" t="s">
        <v>77</v>
      </c>
      <c r="C72" s="16">
        <v>0.54705882352941204</v>
      </c>
      <c r="D72">
        <v>170</v>
      </c>
      <c r="E72" s="16">
        <v>5.3763440860214999E-2</v>
      </c>
      <c r="F72">
        <v>93</v>
      </c>
      <c r="G72" s="16"/>
      <c r="I72" s="16"/>
      <c r="K72" s="16"/>
      <c r="M72" s="16">
        <v>0.48684210526315802</v>
      </c>
      <c r="N72">
        <v>76</v>
      </c>
      <c r="O72" s="16"/>
      <c r="Q72" s="16"/>
      <c r="S72" s="16"/>
      <c r="U72" s="16"/>
      <c r="W72" s="16">
        <v>0.59574468085106402</v>
      </c>
      <c r="X72">
        <v>94</v>
      </c>
      <c r="Y72" s="16">
        <v>8.9285714285714302E-2</v>
      </c>
      <c r="Z72">
        <v>56</v>
      </c>
      <c r="AA72" s="16"/>
      <c r="AC72" s="16"/>
      <c r="AE72" s="16"/>
      <c r="AF72" s="11"/>
    </row>
    <row r="73" spans="1:32" outlineLevel="1" x14ac:dyDescent="0.25">
      <c r="A73" s="6" t="s">
        <v>15</v>
      </c>
      <c r="B73" t="s">
        <v>78</v>
      </c>
      <c r="C73" s="16">
        <v>0.87261146496815301</v>
      </c>
      <c r="D73">
        <v>157</v>
      </c>
      <c r="E73" s="16">
        <v>7.3529411764705899E-2</v>
      </c>
      <c r="F73">
        <v>136</v>
      </c>
      <c r="G73" s="16">
        <v>7.2992700729926996E-3</v>
      </c>
      <c r="H73">
        <v>137</v>
      </c>
      <c r="I73" s="16"/>
      <c r="K73" s="16"/>
      <c r="M73" s="16">
        <v>0.89024390243902396</v>
      </c>
      <c r="N73">
        <v>82</v>
      </c>
      <c r="O73" s="16">
        <v>5.4794520547945202E-2</v>
      </c>
      <c r="P73">
        <v>73</v>
      </c>
      <c r="Q73" s="16"/>
      <c r="S73" s="16"/>
      <c r="U73" s="16"/>
      <c r="W73" s="16">
        <v>0.85333333333333306</v>
      </c>
      <c r="X73">
        <v>75</v>
      </c>
      <c r="Y73" s="16">
        <v>9.5238095238095205E-2</v>
      </c>
      <c r="Z73">
        <v>63</v>
      </c>
      <c r="AA73" s="16">
        <v>1.5625E-2</v>
      </c>
      <c r="AB73">
        <v>64</v>
      </c>
      <c r="AC73" s="16"/>
      <c r="AE73" s="16"/>
      <c r="AF73" s="11"/>
    </row>
    <row r="74" spans="1:32" outlineLevel="1" x14ac:dyDescent="0.25">
      <c r="A74" s="6" t="s">
        <v>15</v>
      </c>
      <c r="B74" t="s">
        <v>79</v>
      </c>
      <c r="C74" s="16">
        <v>0.61832061068702304</v>
      </c>
      <c r="D74">
        <v>131</v>
      </c>
      <c r="E74" s="16">
        <v>1.2500000000000001E-2</v>
      </c>
      <c r="F74">
        <v>80</v>
      </c>
      <c r="G74" s="16">
        <v>1.2500000000000001E-2</v>
      </c>
      <c r="H74">
        <v>80</v>
      </c>
      <c r="I74" s="16"/>
      <c r="K74" s="16"/>
      <c r="M74" s="16">
        <v>0.63793103448275901</v>
      </c>
      <c r="N74">
        <v>58</v>
      </c>
      <c r="O74" s="16"/>
      <c r="Q74" s="16">
        <v>2.7777777777777801E-2</v>
      </c>
      <c r="R74">
        <v>36</v>
      </c>
      <c r="S74" s="16"/>
      <c r="U74" s="16"/>
      <c r="W74" s="16">
        <v>0.602739726027397</v>
      </c>
      <c r="X74">
        <v>73</v>
      </c>
      <c r="Y74" s="16">
        <v>2.27272727272727E-2</v>
      </c>
      <c r="Z74">
        <v>44</v>
      </c>
      <c r="AA74" s="16"/>
      <c r="AC74" s="16"/>
      <c r="AE74" s="16"/>
      <c r="AF74" s="11"/>
    </row>
    <row r="75" spans="1:32" outlineLevel="1" x14ac:dyDescent="0.25">
      <c r="A75" s="6" t="s">
        <v>15</v>
      </c>
      <c r="B75" t="s">
        <v>80</v>
      </c>
      <c r="C75" s="16">
        <v>0.413333333333333</v>
      </c>
      <c r="D75">
        <v>75</v>
      </c>
      <c r="E75" s="16">
        <v>0.19354838709677399</v>
      </c>
      <c r="F75">
        <v>31</v>
      </c>
      <c r="G75" s="16">
        <v>0.12903225806451599</v>
      </c>
      <c r="H75">
        <v>31</v>
      </c>
      <c r="I75" s="16">
        <v>0.12903225806451599</v>
      </c>
      <c r="J75">
        <v>31</v>
      </c>
      <c r="K75" s="16">
        <v>6.4516129032258104E-2</v>
      </c>
      <c r="L75">
        <v>31</v>
      </c>
      <c r="M75" s="16">
        <v>0.40625</v>
      </c>
      <c r="N75">
        <v>32</v>
      </c>
      <c r="O75" s="16">
        <v>0.15384615384615399</v>
      </c>
      <c r="P75">
        <v>13</v>
      </c>
      <c r="Q75" s="16">
        <v>0.230769230769231</v>
      </c>
      <c r="R75">
        <v>13</v>
      </c>
      <c r="S75" s="16">
        <v>7.69230769230769E-2</v>
      </c>
      <c r="T75">
        <v>13</v>
      </c>
      <c r="U75" s="16">
        <v>7.69230769230769E-2</v>
      </c>
      <c r="V75">
        <v>13</v>
      </c>
      <c r="W75" s="16">
        <v>0.40476190476190499</v>
      </c>
      <c r="X75">
        <v>42</v>
      </c>
      <c r="Y75" s="16">
        <v>0.23529411764705899</v>
      </c>
      <c r="Z75">
        <v>17</v>
      </c>
      <c r="AA75" s="16">
        <v>5.8823529411764698E-2</v>
      </c>
      <c r="AB75">
        <v>17</v>
      </c>
      <c r="AC75" s="16">
        <v>0.17647058823529399</v>
      </c>
      <c r="AD75">
        <v>17</v>
      </c>
      <c r="AE75" s="16">
        <v>5.8823529411764698E-2</v>
      </c>
      <c r="AF75" s="11">
        <v>17</v>
      </c>
    </row>
    <row r="76" spans="1:32" outlineLevel="1" x14ac:dyDescent="0.25">
      <c r="A76" s="6" t="s">
        <v>15</v>
      </c>
      <c r="B76" t="s">
        <v>81</v>
      </c>
      <c r="C76" s="16">
        <v>0.76190476190476197</v>
      </c>
      <c r="D76">
        <v>210</v>
      </c>
      <c r="E76" s="16">
        <v>0.05</v>
      </c>
      <c r="F76">
        <v>160</v>
      </c>
      <c r="G76" s="16"/>
      <c r="I76" s="16"/>
      <c r="K76" s="16"/>
      <c r="M76" s="16">
        <v>0.70476190476190503</v>
      </c>
      <c r="N76">
        <v>105</v>
      </c>
      <c r="O76" s="16">
        <v>8.1081081081081099E-2</v>
      </c>
      <c r="P76">
        <v>74</v>
      </c>
      <c r="Q76" s="16"/>
      <c r="S76" s="16"/>
      <c r="U76" s="16"/>
      <c r="W76" s="16">
        <v>0.81904761904761902</v>
      </c>
      <c r="X76">
        <v>105</v>
      </c>
      <c r="Y76" s="16">
        <v>2.32558139534884E-2</v>
      </c>
      <c r="Z76">
        <v>86</v>
      </c>
      <c r="AA76" s="16"/>
      <c r="AC76" s="16"/>
      <c r="AE76" s="16"/>
      <c r="AF76" s="11"/>
    </row>
    <row r="77" spans="1:32" outlineLevel="1" x14ac:dyDescent="0.25">
      <c r="A77" s="6" t="s">
        <v>15</v>
      </c>
      <c r="B77" t="s">
        <v>82</v>
      </c>
      <c r="C77" s="16">
        <v>0.54166666666666696</v>
      </c>
      <c r="D77">
        <v>48</v>
      </c>
      <c r="E77" s="16"/>
      <c r="G77" s="16"/>
      <c r="I77" s="16"/>
      <c r="K77" s="16"/>
      <c r="M77" s="16">
        <v>0.69565217391304301</v>
      </c>
      <c r="N77">
        <v>23</v>
      </c>
      <c r="O77" s="16"/>
      <c r="Q77" s="16"/>
      <c r="S77" s="16"/>
      <c r="U77" s="16"/>
      <c r="W77" s="16">
        <v>0.4</v>
      </c>
      <c r="X77">
        <v>25</v>
      </c>
      <c r="Y77" s="16"/>
      <c r="AA77" s="16"/>
      <c r="AC77" s="16"/>
      <c r="AE77" s="16"/>
      <c r="AF77" s="11"/>
    </row>
    <row r="78" spans="1:32" outlineLevel="1" x14ac:dyDescent="0.25">
      <c r="A78" s="7" t="s">
        <v>15</v>
      </c>
      <c r="B78" s="9" t="s">
        <v>83</v>
      </c>
      <c r="C78" s="15">
        <v>0.87136934555369205</v>
      </c>
      <c r="D78" s="9">
        <v>465</v>
      </c>
      <c r="E78" s="15">
        <v>7.10285747289851E-3</v>
      </c>
      <c r="F78" s="9">
        <v>310</v>
      </c>
      <c r="G78" s="15">
        <v>7.2918952871331598E-3</v>
      </c>
      <c r="H78" s="9">
        <v>309</v>
      </c>
      <c r="I78" s="15"/>
      <c r="J78" s="9"/>
      <c r="K78" s="15">
        <v>3.7512621644070698E-4</v>
      </c>
      <c r="L78" s="9">
        <v>310</v>
      </c>
      <c r="M78" s="15">
        <v>0.86301599581399902</v>
      </c>
      <c r="N78" s="9">
        <v>215</v>
      </c>
      <c r="O78" s="15"/>
      <c r="P78" s="9"/>
      <c r="Q78" s="15"/>
      <c r="R78" s="9"/>
      <c r="S78" s="15"/>
      <c r="T78" s="9"/>
      <c r="U78" s="15"/>
      <c r="V78" s="9"/>
      <c r="W78" s="15">
        <v>0.87895854285384001</v>
      </c>
      <c r="X78" s="9">
        <v>250</v>
      </c>
      <c r="Y78" s="15">
        <v>1.34389094689004E-2</v>
      </c>
      <c r="Z78" s="9">
        <v>160</v>
      </c>
      <c r="AA78" s="15">
        <v>1.3799067017269601E-2</v>
      </c>
      <c r="AB78" s="9">
        <v>159</v>
      </c>
      <c r="AC78" s="15"/>
      <c r="AD78" s="9"/>
      <c r="AE78" s="15">
        <v>7.0975481084805596E-4</v>
      </c>
      <c r="AF78" s="12">
        <v>160</v>
      </c>
    </row>
    <row r="79" spans="1:32" x14ac:dyDescent="0.25">
      <c r="C79" s="16"/>
      <c r="E79" s="16"/>
      <c r="G79" s="16"/>
      <c r="I79" s="16"/>
      <c r="K79" s="16"/>
      <c r="M79" s="16"/>
      <c r="O79" s="16"/>
      <c r="Q79" s="16"/>
      <c r="S79" s="16"/>
      <c r="U79" s="16"/>
      <c r="W79" s="16"/>
      <c r="Y79" s="16"/>
      <c r="AA79" s="16"/>
      <c r="AC79" s="16"/>
      <c r="AE79" s="16"/>
    </row>
    <row r="80" spans="1:32" x14ac:dyDescent="0.25">
      <c r="A80" s="19" t="s">
        <v>84</v>
      </c>
      <c r="B80" s="19"/>
      <c r="C80" s="20"/>
      <c r="D80" s="19"/>
      <c r="E80" s="20"/>
      <c r="F80" s="19"/>
      <c r="G80" s="20"/>
      <c r="H80" s="19"/>
      <c r="I80" s="20"/>
      <c r="J80" s="19"/>
      <c r="K80" s="20"/>
      <c r="L80" s="19"/>
      <c r="M80" s="20"/>
      <c r="N80" s="19"/>
      <c r="O80" s="20"/>
      <c r="P80" s="19"/>
      <c r="Q80" s="20"/>
      <c r="R80" s="19"/>
      <c r="S80" s="20"/>
      <c r="T80" s="19"/>
      <c r="U80" s="20"/>
      <c r="V80" s="19"/>
      <c r="W80" s="20"/>
      <c r="X80" s="19"/>
      <c r="Y80" s="20"/>
      <c r="Z80" s="19"/>
      <c r="AA80" s="20"/>
      <c r="AB80" s="19"/>
      <c r="AC80" s="20"/>
      <c r="AD80" s="19"/>
      <c r="AE80" s="20"/>
      <c r="AF80" s="19"/>
    </row>
    <row r="81" spans="1:32" outlineLevel="1" x14ac:dyDescent="0.25">
      <c r="A81" s="5" t="s">
        <v>15</v>
      </c>
      <c r="B81" s="8" t="s">
        <v>85</v>
      </c>
      <c r="C81" s="14">
        <v>0.40568603740422299</v>
      </c>
      <c r="D81" s="8">
        <v>2479</v>
      </c>
      <c r="E81" s="14">
        <v>0.144918107446948</v>
      </c>
      <c r="F81" s="8">
        <v>1246</v>
      </c>
      <c r="G81" s="14">
        <v>0.158173045966614</v>
      </c>
      <c r="H81" s="8">
        <v>1246</v>
      </c>
      <c r="I81" s="14">
        <v>9.1176329181887797E-2</v>
      </c>
      <c r="J81" s="8">
        <v>1241</v>
      </c>
      <c r="K81" s="14">
        <v>0.11596053884115599</v>
      </c>
      <c r="L81" s="8">
        <v>1210</v>
      </c>
      <c r="M81" s="14">
        <v>0.40139429666194498</v>
      </c>
      <c r="N81" s="8">
        <v>1202</v>
      </c>
      <c r="O81" s="14">
        <v>0.16387582665591499</v>
      </c>
      <c r="P81" s="8">
        <v>602</v>
      </c>
      <c r="Q81" s="14">
        <v>0.15123511887629201</v>
      </c>
      <c r="R81" s="8">
        <v>600</v>
      </c>
      <c r="S81" s="14">
        <v>6.6646126907064104E-2</v>
      </c>
      <c r="T81" s="8">
        <v>598</v>
      </c>
      <c r="U81" s="14">
        <v>0.103711182499657</v>
      </c>
      <c r="V81" s="8">
        <v>584</v>
      </c>
      <c r="W81" s="14">
        <v>0.40932940569238402</v>
      </c>
      <c r="X81" s="8">
        <v>1273</v>
      </c>
      <c r="Y81" s="14">
        <v>0.12738523084443401</v>
      </c>
      <c r="Z81" s="8">
        <v>642</v>
      </c>
      <c r="AA81" s="14">
        <v>0.16483998062014299</v>
      </c>
      <c r="AB81" s="8">
        <v>644</v>
      </c>
      <c r="AC81" s="14">
        <v>0.11327205152513201</v>
      </c>
      <c r="AD81" s="8">
        <v>641</v>
      </c>
      <c r="AE81" s="14">
        <v>0.127307499822678</v>
      </c>
      <c r="AF81" s="10">
        <v>624</v>
      </c>
    </row>
    <row r="82" spans="1:32" outlineLevel="1" x14ac:dyDescent="0.25">
      <c r="A82" s="6" t="s">
        <v>15</v>
      </c>
      <c r="B82" t="s">
        <v>86</v>
      </c>
      <c r="C82" s="16">
        <v>0.38202247191011202</v>
      </c>
      <c r="D82">
        <v>356</v>
      </c>
      <c r="E82" s="16">
        <v>2.9411764705882401E-2</v>
      </c>
      <c r="F82">
        <v>136</v>
      </c>
      <c r="G82" s="16">
        <v>0.59558823529411797</v>
      </c>
      <c r="H82">
        <v>136</v>
      </c>
      <c r="I82" s="16">
        <v>0.13235294117647101</v>
      </c>
      <c r="J82">
        <v>136</v>
      </c>
      <c r="K82" s="16">
        <v>7.3529411764705899E-3</v>
      </c>
      <c r="L82">
        <v>136</v>
      </c>
      <c r="M82" s="16">
        <v>0.42134831460674199</v>
      </c>
      <c r="N82">
        <v>178</v>
      </c>
      <c r="O82" s="16">
        <v>1.3333333333333299E-2</v>
      </c>
      <c r="P82">
        <v>75</v>
      </c>
      <c r="Q82" s="16">
        <v>0.586666666666667</v>
      </c>
      <c r="R82">
        <v>75</v>
      </c>
      <c r="S82" s="16">
        <v>0.133333333333333</v>
      </c>
      <c r="T82">
        <v>75</v>
      </c>
      <c r="U82" s="16">
        <v>1.3333333333333299E-2</v>
      </c>
      <c r="V82">
        <v>75</v>
      </c>
      <c r="W82" s="16">
        <v>0.34463276836158202</v>
      </c>
      <c r="X82">
        <v>177</v>
      </c>
      <c r="Y82" s="16">
        <v>4.91803278688525E-2</v>
      </c>
      <c r="Z82">
        <v>61</v>
      </c>
      <c r="AA82" s="16">
        <v>0.60655737704918</v>
      </c>
      <c r="AB82">
        <v>61</v>
      </c>
      <c r="AC82" s="16">
        <v>0.13114754098360701</v>
      </c>
      <c r="AD82">
        <v>61</v>
      </c>
      <c r="AE82" s="16"/>
      <c r="AF82" s="11"/>
    </row>
    <row r="83" spans="1:32" outlineLevel="1" x14ac:dyDescent="0.25">
      <c r="A83" s="6" t="s">
        <v>15</v>
      </c>
      <c r="B83" t="s">
        <v>87</v>
      </c>
      <c r="C83" s="16">
        <v>0.73584826107943901</v>
      </c>
      <c r="D83">
        <v>3775</v>
      </c>
      <c r="E83" s="16">
        <v>5.1077150493636599E-2</v>
      </c>
      <c r="F83">
        <v>2458</v>
      </c>
      <c r="G83" s="16">
        <v>3.1942563980662898E-2</v>
      </c>
      <c r="H83">
        <v>2466</v>
      </c>
      <c r="I83" s="16">
        <v>1.20348074414854E-2</v>
      </c>
      <c r="J83">
        <v>2464</v>
      </c>
      <c r="K83" s="16">
        <v>8.4395869599973895E-3</v>
      </c>
      <c r="L83">
        <v>2464</v>
      </c>
      <c r="M83" s="16">
        <v>0.73732537810376197</v>
      </c>
      <c r="N83">
        <v>1944</v>
      </c>
      <c r="O83" s="16">
        <v>5.0057105665342501E-2</v>
      </c>
      <c r="P83">
        <v>1275</v>
      </c>
      <c r="Q83" s="16">
        <v>2.69844885106456E-2</v>
      </c>
      <c r="R83">
        <v>1276</v>
      </c>
      <c r="S83" s="16">
        <v>1.06214847540466E-2</v>
      </c>
      <c r="T83">
        <v>1276</v>
      </c>
      <c r="U83" s="16">
        <v>9.4938246216163397E-3</v>
      </c>
      <c r="V83">
        <v>1275</v>
      </c>
      <c r="W83" s="16">
        <v>0.734173338586666</v>
      </c>
      <c r="X83">
        <v>1830</v>
      </c>
      <c r="Y83" s="16">
        <v>5.2196840253217303E-2</v>
      </c>
      <c r="Z83">
        <v>1182</v>
      </c>
      <c r="AA83" s="16">
        <v>3.72628619933194E-2</v>
      </c>
      <c r="AB83">
        <v>1189</v>
      </c>
      <c r="AC83" s="16">
        <v>1.35545649581827E-2</v>
      </c>
      <c r="AD83">
        <v>1187</v>
      </c>
      <c r="AE83" s="16">
        <v>7.3171714291104702E-3</v>
      </c>
      <c r="AF83" s="11">
        <v>1188</v>
      </c>
    </row>
    <row r="84" spans="1:32" outlineLevel="1" x14ac:dyDescent="0.25">
      <c r="A84" s="7" t="s">
        <v>15</v>
      </c>
      <c r="B84" s="9" t="s">
        <v>88</v>
      </c>
      <c r="C84" s="15">
        <v>0.38152984311592802</v>
      </c>
      <c r="D84" s="9">
        <v>2072</v>
      </c>
      <c r="E84" s="15">
        <v>0.103601976771038</v>
      </c>
      <c r="F84" s="9">
        <v>941</v>
      </c>
      <c r="G84" s="15">
        <v>0.132077955937417</v>
      </c>
      <c r="H84" s="9">
        <v>945</v>
      </c>
      <c r="I84" s="15">
        <v>2.9839141255840501E-2</v>
      </c>
      <c r="J84" s="9">
        <v>949</v>
      </c>
      <c r="K84" s="15">
        <v>2.8882018745585401E-2</v>
      </c>
      <c r="L84" s="9">
        <v>936</v>
      </c>
      <c r="M84" s="15">
        <v>0.40565323017211702</v>
      </c>
      <c r="N84" s="9">
        <v>1061</v>
      </c>
      <c r="O84" s="15">
        <v>0.106886883283909</v>
      </c>
      <c r="P84" s="9">
        <v>500</v>
      </c>
      <c r="Q84" s="15">
        <v>0.119285769935496</v>
      </c>
      <c r="R84" s="9">
        <v>504</v>
      </c>
      <c r="S84" s="15">
        <v>1.1570482296181401E-2</v>
      </c>
      <c r="T84" s="9">
        <v>506</v>
      </c>
      <c r="U84" s="15">
        <v>2.2859912807052098E-2</v>
      </c>
      <c r="V84" s="9">
        <v>501</v>
      </c>
      <c r="W84" s="15">
        <v>0.35577862058332799</v>
      </c>
      <c r="X84" s="9">
        <v>1010</v>
      </c>
      <c r="Y84" s="15">
        <v>9.9623059626449698E-2</v>
      </c>
      <c r="Z84" s="9">
        <v>441</v>
      </c>
      <c r="AA84" s="15">
        <v>0.147648127506843</v>
      </c>
      <c r="AB84" s="9">
        <v>441</v>
      </c>
      <c r="AC84" s="15">
        <v>5.2145201446342201E-2</v>
      </c>
      <c r="AD84" s="9">
        <v>443</v>
      </c>
      <c r="AE84" s="15">
        <v>3.6211856684916499E-2</v>
      </c>
      <c r="AF84" s="12">
        <v>435</v>
      </c>
    </row>
    <row r="85" spans="1:32" x14ac:dyDescent="0.25">
      <c r="C85" s="16"/>
      <c r="E85" s="16"/>
      <c r="G85" s="16"/>
      <c r="I85" s="16"/>
      <c r="K85" s="16"/>
      <c r="M85" s="16"/>
      <c r="O85" s="16"/>
      <c r="Q85" s="16"/>
      <c r="S85" s="16"/>
      <c r="U85" s="16"/>
      <c r="W85" s="16"/>
      <c r="Y85" s="16"/>
      <c r="AA85" s="16"/>
      <c r="AC85" s="16"/>
      <c r="AE85" s="16"/>
    </row>
    <row r="86" spans="1:32" x14ac:dyDescent="0.25">
      <c r="A86" s="19" t="s">
        <v>89</v>
      </c>
      <c r="B86" s="19"/>
      <c r="C86" s="20"/>
      <c r="D86" s="19"/>
      <c r="E86" s="20"/>
      <c r="F86" s="19"/>
      <c r="G86" s="20"/>
      <c r="H86" s="19"/>
      <c r="I86" s="20"/>
      <c r="J86" s="19"/>
      <c r="K86" s="20"/>
      <c r="L86" s="19"/>
      <c r="M86" s="20"/>
      <c r="N86" s="19"/>
      <c r="O86" s="20"/>
      <c r="P86" s="19"/>
      <c r="Q86" s="20"/>
      <c r="R86" s="19"/>
      <c r="S86" s="20"/>
      <c r="T86" s="19"/>
      <c r="U86" s="20"/>
      <c r="V86" s="19"/>
      <c r="W86" s="20"/>
      <c r="X86" s="19"/>
      <c r="Y86" s="20"/>
      <c r="Z86" s="19"/>
      <c r="AA86" s="20"/>
      <c r="AB86" s="19"/>
      <c r="AC86" s="20"/>
      <c r="AD86" s="19"/>
      <c r="AE86" s="20"/>
      <c r="AF86" s="19"/>
    </row>
    <row r="87" spans="1:32" outlineLevel="1" x14ac:dyDescent="0.25">
      <c r="A87" s="5" t="s">
        <v>15</v>
      </c>
      <c r="B87" s="8" t="s">
        <v>90</v>
      </c>
      <c r="C87" s="14">
        <v>0.350971109544788</v>
      </c>
      <c r="D87" s="8">
        <v>1882</v>
      </c>
      <c r="E87" s="14">
        <v>0.141938440585272</v>
      </c>
      <c r="F87" s="8">
        <v>848</v>
      </c>
      <c r="G87" s="14">
        <v>0.16520719129372799</v>
      </c>
      <c r="H87" s="8">
        <v>847</v>
      </c>
      <c r="I87" s="14">
        <v>9.6997800024957698E-2</v>
      </c>
      <c r="J87" s="8">
        <v>845</v>
      </c>
      <c r="K87" s="14">
        <v>0.15505361538682999</v>
      </c>
      <c r="L87" s="8">
        <v>816</v>
      </c>
      <c r="M87" s="14">
        <v>0.35555293641727598</v>
      </c>
      <c r="N87" s="8">
        <v>925</v>
      </c>
      <c r="O87" s="14">
        <v>0.16036801340993301</v>
      </c>
      <c r="P87" s="8">
        <v>421</v>
      </c>
      <c r="Q87" s="14">
        <v>0.161235144897381</v>
      </c>
      <c r="R87" s="8">
        <v>419</v>
      </c>
      <c r="S87" s="14">
        <v>7.0877702818400001E-2</v>
      </c>
      <c r="T87" s="8">
        <v>419</v>
      </c>
      <c r="U87" s="14">
        <v>0.13935165366604199</v>
      </c>
      <c r="V87" s="8">
        <v>405</v>
      </c>
      <c r="W87" s="14">
        <v>0.347074516948853</v>
      </c>
      <c r="X87" s="8">
        <v>954</v>
      </c>
      <c r="Y87" s="14">
        <v>0.123280294325165</v>
      </c>
      <c r="Z87" s="8">
        <v>426</v>
      </c>
      <c r="AA87" s="14">
        <v>0.16916227430692099</v>
      </c>
      <c r="AB87" s="8">
        <v>427</v>
      </c>
      <c r="AC87" s="14">
        <v>0.121589294467166</v>
      </c>
      <c r="AD87" s="8">
        <v>425</v>
      </c>
      <c r="AE87" s="14">
        <v>0.17013261322232701</v>
      </c>
      <c r="AF87" s="10">
        <v>410</v>
      </c>
    </row>
    <row r="88" spans="1:32" outlineLevel="1" x14ac:dyDescent="0.25">
      <c r="A88" s="6" t="s">
        <v>15</v>
      </c>
      <c r="B88" t="s">
        <v>91</v>
      </c>
      <c r="C88" s="16">
        <v>0.62665454983721502</v>
      </c>
      <c r="D88">
        <v>597</v>
      </c>
      <c r="E88" s="16">
        <v>0.15173322922268301</v>
      </c>
      <c r="F88">
        <v>398</v>
      </c>
      <c r="G88" s="16">
        <v>0.14224384800409601</v>
      </c>
      <c r="H88">
        <v>399</v>
      </c>
      <c r="I88" s="16">
        <v>7.7955298956199195E-2</v>
      </c>
      <c r="J88">
        <v>396</v>
      </c>
      <c r="K88" s="16">
        <v>3.0508206198001101E-2</v>
      </c>
      <c r="L88">
        <v>394</v>
      </c>
      <c r="M88" s="16">
        <v>0.59005932150038998</v>
      </c>
      <c r="N88">
        <v>277</v>
      </c>
      <c r="O88" s="16">
        <v>0.17264932427163099</v>
      </c>
      <c r="P88">
        <v>181</v>
      </c>
      <c r="Q88" s="16">
        <v>0.126472781631293</v>
      </c>
      <c r="R88">
        <v>181</v>
      </c>
      <c r="S88" s="16">
        <v>5.6079734537933898E-2</v>
      </c>
      <c r="T88">
        <v>179</v>
      </c>
      <c r="U88" s="16">
        <v>1.78654848735884E-2</v>
      </c>
      <c r="V88">
        <v>179</v>
      </c>
      <c r="W88" s="16">
        <v>0.657103387771106</v>
      </c>
      <c r="X88">
        <v>319</v>
      </c>
      <c r="Y88" s="16">
        <v>0.13612620614628301</v>
      </c>
      <c r="Z88">
        <v>216</v>
      </c>
      <c r="AA88" s="16">
        <v>0.15572182078868199</v>
      </c>
      <c r="AB88">
        <v>217</v>
      </c>
      <c r="AC88" s="16">
        <v>9.5760320210050306E-2</v>
      </c>
      <c r="AD88">
        <v>216</v>
      </c>
      <c r="AE88" s="16">
        <v>4.0736458764292501E-2</v>
      </c>
      <c r="AF88" s="11">
        <v>214</v>
      </c>
    </row>
    <row r="89" spans="1:32" outlineLevel="1" x14ac:dyDescent="0.25">
      <c r="A89" s="6" t="s">
        <v>15</v>
      </c>
      <c r="B89" t="s">
        <v>92</v>
      </c>
      <c r="C89" s="16">
        <v>0.27830188679245299</v>
      </c>
      <c r="D89">
        <v>212</v>
      </c>
      <c r="E89" s="16">
        <v>6.7796610169491497E-2</v>
      </c>
      <c r="F89">
        <v>59</v>
      </c>
      <c r="G89" s="16">
        <v>0.40677966101694901</v>
      </c>
      <c r="H89">
        <v>59</v>
      </c>
      <c r="I89" s="16">
        <v>8.4745762711864403E-2</v>
      </c>
      <c r="J89">
        <v>59</v>
      </c>
      <c r="K89" s="16">
        <v>1.6949152542372899E-2</v>
      </c>
      <c r="L89">
        <v>59</v>
      </c>
      <c r="M89" s="16">
        <v>0.30392156862745101</v>
      </c>
      <c r="N89">
        <v>102</v>
      </c>
      <c r="O89" s="16">
        <v>3.2258064516128997E-2</v>
      </c>
      <c r="P89">
        <v>31</v>
      </c>
      <c r="Q89" s="16">
        <v>0.38709677419354799</v>
      </c>
      <c r="R89">
        <v>31</v>
      </c>
      <c r="S89" s="16">
        <v>9.6774193548387094E-2</v>
      </c>
      <c r="T89">
        <v>31</v>
      </c>
      <c r="U89" s="16">
        <v>3.2258064516128997E-2</v>
      </c>
      <c r="V89">
        <v>31</v>
      </c>
      <c r="W89" s="16">
        <v>0.25688073394495398</v>
      </c>
      <c r="X89">
        <v>109</v>
      </c>
      <c r="Y89" s="16">
        <v>0.107142857142857</v>
      </c>
      <c r="Z89">
        <v>28</v>
      </c>
      <c r="AA89" s="16">
        <v>0.42857142857142899</v>
      </c>
      <c r="AB89">
        <v>28</v>
      </c>
      <c r="AC89" s="16">
        <v>7.1428571428571397E-2</v>
      </c>
      <c r="AD89">
        <v>28</v>
      </c>
      <c r="AE89" s="16"/>
      <c r="AF89" s="11"/>
    </row>
    <row r="90" spans="1:32" outlineLevel="1" x14ac:dyDescent="0.25">
      <c r="A90" s="6" t="s">
        <v>15</v>
      </c>
      <c r="B90" t="s">
        <v>93</v>
      </c>
      <c r="C90" s="16">
        <v>0.53472222222222199</v>
      </c>
      <c r="D90">
        <v>144</v>
      </c>
      <c r="E90" s="16"/>
      <c r="G90" s="16">
        <v>0.74025974025973995</v>
      </c>
      <c r="H90">
        <v>77</v>
      </c>
      <c r="I90" s="16">
        <v>0.168831168831169</v>
      </c>
      <c r="J90">
        <v>77</v>
      </c>
      <c r="K90" s="16"/>
      <c r="M90" s="16">
        <v>0.57894736842105299</v>
      </c>
      <c r="N90">
        <v>76</v>
      </c>
      <c r="O90" s="16"/>
      <c r="Q90" s="16">
        <v>0.72727272727272696</v>
      </c>
      <c r="R90">
        <v>44</v>
      </c>
      <c r="S90" s="16">
        <v>0.15909090909090901</v>
      </c>
      <c r="T90">
        <v>44</v>
      </c>
      <c r="U90" s="16"/>
      <c r="W90" s="16">
        <v>0.48529411764705899</v>
      </c>
      <c r="X90">
        <v>68</v>
      </c>
      <c r="Y90" s="16"/>
      <c r="AA90" s="16">
        <v>0.75757575757575801</v>
      </c>
      <c r="AB90">
        <v>33</v>
      </c>
      <c r="AC90" s="16">
        <v>0.18181818181818199</v>
      </c>
      <c r="AD90">
        <v>33</v>
      </c>
      <c r="AE90" s="16"/>
      <c r="AF90" s="11"/>
    </row>
    <row r="91" spans="1:32" outlineLevel="1" x14ac:dyDescent="0.25">
      <c r="A91" s="6" t="s">
        <v>15</v>
      </c>
      <c r="B91" t="s">
        <v>94</v>
      </c>
      <c r="C91" s="16">
        <v>0.71571353765329604</v>
      </c>
      <c r="D91">
        <v>2691</v>
      </c>
      <c r="E91" s="16">
        <v>6.2340358213892999E-2</v>
      </c>
      <c r="F91">
        <v>1687</v>
      </c>
      <c r="G91" s="16">
        <v>4.0982800465090501E-2</v>
      </c>
      <c r="H91">
        <v>1695</v>
      </c>
      <c r="I91" s="16">
        <v>1.3439678849913201E-2</v>
      </c>
      <c r="J91">
        <v>1692</v>
      </c>
      <c r="K91" s="16">
        <v>8.5493356370556894E-3</v>
      </c>
      <c r="L91">
        <v>1692</v>
      </c>
      <c r="M91" s="16">
        <v>0.71268115325940096</v>
      </c>
      <c r="N91">
        <v>1402</v>
      </c>
      <c r="O91" s="16">
        <v>5.7657193572136202E-2</v>
      </c>
      <c r="P91">
        <v>883</v>
      </c>
      <c r="Q91" s="16">
        <v>3.3722096696229303E-2</v>
      </c>
      <c r="R91">
        <v>884</v>
      </c>
      <c r="S91" s="16">
        <v>1.0159771632207E-2</v>
      </c>
      <c r="T91">
        <v>884</v>
      </c>
      <c r="U91" s="16">
        <v>8.9728069072526305E-3</v>
      </c>
      <c r="V91">
        <v>883</v>
      </c>
      <c r="W91" s="16">
        <v>0.71891722823743698</v>
      </c>
      <c r="X91">
        <v>1289</v>
      </c>
      <c r="Y91" s="16">
        <v>6.7230894289729407E-2</v>
      </c>
      <c r="Z91">
        <v>804</v>
      </c>
      <c r="AA91" s="16">
        <v>4.8538066254887102E-2</v>
      </c>
      <c r="AB91">
        <v>811</v>
      </c>
      <c r="AC91" s="16">
        <v>1.6857899525262201E-2</v>
      </c>
      <c r="AD91">
        <v>808</v>
      </c>
      <c r="AE91" s="16">
        <v>8.1094818768396599E-3</v>
      </c>
      <c r="AF91" s="11">
        <v>809</v>
      </c>
    </row>
    <row r="92" spans="1:32" outlineLevel="1" x14ac:dyDescent="0.25">
      <c r="A92" s="6" t="s">
        <v>15</v>
      </c>
      <c r="B92" t="s">
        <v>95</v>
      </c>
      <c r="C92" s="16">
        <v>0.79324148019808405</v>
      </c>
      <c r="D92">
        <v>1084</v>
      </c>
      <c r="E92" s="16">
        <v>2.24820602444348E-2</v>
      </c>
      <c r="F92">
        <v>771</v>
      </c>
      <c r="G92" s="16">
        <v>8.7826743975101904E-3</v>
      </c>
      <c r="H92">
        <v>771</v>
      </c>
      <c r="I92" s="16">
        <v>8.4562275499030296E-3</v>
      </c>
      <c r="J92">
        <v>772</v>
      </c>
      <c r="K92" s="16">
        <v>8.1599428844666092E-3</v>
      </c>
      <c r="L92">
        <v>772</v>
      </c>
      <c r="M92" s="16">
        <v>0.80596528242426502</v>
      </c>
      <c r="N92">
        <v>542</v>
      </c>
      <c r="O92" s="16">
        <v>3.1616690737235199E-2</v>
      </c>
      <c r="P92">
        <v>392</v>
      </c>
      <c r="Q92" s="16">
        <v>1.0509515427139999E-2</v>
      </c>
      <c r="R92">
        <v>392</v>
      </c>
      <c r="S92" s="16">
        <v>1.17450271314686E-2</v>
      </c>
      <c r="T92">
        <v>392</v>
      </c>
      <c r="U92" s="16">
        <v>1.07599864916455E-2</v>
      </c>
      <c r="V92">
        <v>392</v>
      </c>
      <c r="W92" s="16">
        <v>0.77882592014303398</v>
      </c>
      <c r="X92">
        <v>541</v>
      </c>
      <c r="Y92" s="16">
        <v>1.2014681749585299E-2</v>
      </c>
      <c r="Z92">
        <v>378</v>
      </c>
      <c r="AA92" s="16">
        <v>6.8139596663052502E-3</v>
      </c>
      <c r="AB92">
        <v>378</v>
      </c>
      <c r="AC92" s="16">
        <v>4.6929115974237703E-3</v>
      </c>
      <c r="AD92">
        <v>379</v>
      </c>
      <c r="AE92" s="16">
        <v>5.18740851440006E-3</v>
      </c>
      <c r="AF92" s="11">
        <v>379</v>
      </c>
    </row>
    <row r="93" spans="1:32" outlineLevel="1" x14ac:dyDescent="0.25">
      <c r="A93" s="6" t="s">
        <v>15</v>
      </c>
      <c r="B93" t="s">
        <v>96</v>
      </c>
      <c r="C93" s="16">
        <v>0.30705029211972901</v>
      </c>
      <c r="D93">
        <v>1627</v>
      </c>
      <c r="E93" s="16">
        <v>0.14603465483654601</v>
      </c>
      <c r="F93">
        <v>677</v>
      </c>
      <c r="G93" s="16">
        <v>0.17310702465678501</v>
      </c>
      <c r="H93">
        <v>682</v>
      </c>
      <c r="I93" s="16">
        <v>3.2017789547322102E-2</v>
      </c>
      <c r="J93">
        <v>685</v>
      </c>
      <c r="K93" s="16">
        <v>3.64813612010765E-2</v>
      </c>
      <c r="L93">
        <v>673</v>
      </c>
      <c r="M93" s="16">
        <v>0.32078057141383498</v>
      </c>
      <c r="N93">
        <v>813</v>
      </c>
      <c r="O93" s="16">
        <v>0.14810375680860299</v>
      </c>
      <c r="P93">
        <v>347</v>
      </c>
      <c r="Q93" s="16">
        <v>0.16046356936904399</v>
      </c>
      <c r="R93">
        <v>351</v>
      </c>
      <c r="S93" s="16">
        <v>1.35381100842407E-2</v>
      </c>
      <c r="T93">
        <v>353</v>
      </c>
      <c r="U93" s="16">
        <v>3.0722986160296801E-2</v>
      </c>
      <c r="V93">
        <v>349</v>
      </c>
      <c r="W93" s="16">
        <v>0.29287662022336097</v>
      </c>
      <c r="X93">
        <v>813</v>
      </c>
      <c r="Y93" s="16">
        <v>0.14370888711706001</v>
      </c>
      <c r="Z93">
        <v>330</v>
      </c>
      <c r="AA93" s="16">
        <v>0.187424863461296</v>
      </c>
      <c r="AB93">
        <v>331</v>
      </c>
      <c r="AC93" s="16">
        <v>5.3102529129367602E-2</v>
      </c>
      <c r="AD93">
        <v>332</v>
      </c>
      <c r="AE93" s="16">
        <v>4.3048517329048498E-2</v>
      </c>
      <c r="AF93" s="11">
        <v>324</v>
      </c>
    </row>
    <row r="94" spans="1:32" outlineLevel="1" x14ac:dyDescent="0.25">
      <c r="A94" s="7" t="s">
        <v>15</v>
      </c>
      <c r="B94" s="9" t="s">
        <v>97</v>
      </c>
      <c r="C94" s="15">
        <v>0.60267723439420795</v>
      </c>
      <c r="D94" s="9">
        <v>445</v>
      </c>
      <c r="E94" s="15">
        <v>4.1288674063544903E-2</v>
      </c>
      <c r="F94" s="9">
        <v>264</v>
      </c>
      <c r="G94" s="15">
        <v>7.0550579151591394E-2</v>
      </c>
      <c r="H94" s="9">
        <v>263</v>
      </c>
      <c r="I94" s="15">
        <v>2.6565377528203E-2</v>
      </c>
      <c r="J94" s="9">
        <v>264</v>
      </c>
      <c r="K94" s="15">
        <v>1.7368299710727099E-2</v>
      </c>
      <c r="L94" s="9">
        <v>263</v>
      </c>
      <c r="M94" s="15">
        <v>0.64234801870732705</v>
      </c>
      <c r="N94" s="9">
        <v>248</v>
      </c>
      <c r="O94" s="15">
        <v>5.1184369420347403E-2</v>
      </c>
      <c r="P94" s="9">
        <v>153</v>
      </c>
      <c r="Q94" s="15">
        <v>6.2339071198332298E-2</v>
      </c>
      <c r="R94" s="9">
        <v>153</v>
      </c>
      <c r="S94" s="15">
        <v>8.8303868647529003E-3</v>
      </c>
      <c r="T94" s="9">
        <v>153</v>
      </c>
      <c r="U94" s="15">
        <v>1.1791097883850601E-2</v>
      </c>
      <c r="V94" s="9">
        <v>152</v>
      </c>
      <c r="W94" s="15">
        <v>0.55591828189184</v>
      </c>
      <c r="X94" s="9">
        <v>197</v>
      </c>
      <c r="Y94" s="15">
        <v>2.78979813197767E-2</v>
      </c>
      <c r="Z94" s="9">
        <v>111</v>
      </c>
      <c r="AA94" s="15">
        <v>8.1698906631246904E-2</v>
      </c>
      <c r="AB94" s="9">
        <v>110</v>
      </c>
      <c r="AC94" s="15">
        <v>5.0564076176964998E-2</v>
      </c>
      <c r="AD94" s="9">
        <v>111</v>
      </c>
      <c r="AE94" s="15">
        <v>2.48665213183984E-2</v>
      </c>
      <c r="AF94" s="12">
        <v>111</v>
      </c>
    </row>
    <row r="95" spans="1:32" x14ac:dyDescent="0.25">
      <c r="C95" s="16"/>
      <c r="E95" s="16"/>
      <c r="G95" s="16"/>
      <c r="I95" s="16"/>
      <c r="K95" s="16"/>
      <c r="M95" s="16"/>
      <c r="O95" s="16"/>
      <c r="Q95" s="16"/>
      <c r="S95" s="16"/>
      <c r="U95" s="16"/>
      <c r="W95" s="16"/>
      <c r="Y95" s="16"/>
      <c r="AA95" s="16"/>
      <c r="AC95" s="16"/>
      <c r="AE95" s="16"/>
    </row>
    <row r="96" spans="1:32" x14ac:dyDescent="0.25">
      <c r="A96" s="19" t="s">
        <v>98</v>
      </c>
      <c r="B96" s="19"/>
      <c r="C96" s="20"/>
      <c r="D96" s="19"/>
      <c r="E96" s="20"/>
      <c r="F96" s="19"/>
      <c r="G96" s="20"/>
      <c r="H96" s="19"/>
      <c r="I96" s="20"/>
      <c r="J96" s="19"/>
      <c r="K96" s="20"/>
      <c r="L96" s="19"/>
      <c r="M96" s="20"/>
      <c r="N96" s="19"/>
      <c r="O96" s="20"/>
      <c r="P96" s="19"/>
      <c r="Q96" s="20"/>
      <c r="R96" s="19"/>
      <c r="S96" s="20"/>
      <c r="T96" s="19"/>
      <c r="U96" s="20"/>
      <c r="V96" s="19"/>
      <c r="W96" s="20"/>
      <c r="X96" s="19"/>
      <c r="Y96" s="20"/>
      <c r="Z96" s="19"/>
      <c r="AA96" s="20"/>
      <c r="AB96" s="19"/>
      <c r="AC96" s="20"/>
      <c r="AD96" s="19"/>
      <c r="AE96" s="20"/>
      <c r="AF96" s="19"/>
    </row>
    <row r="97" spans="1:32" outlineLevel="1" x14ac:dyDescent="0.25">
      <c r="A97" s="5" t="s">
        <v>15</v>
      </c>
      <c r="B97" s="8" t="s">
        <v>99</v>
      </c>
      <c r="C97" s="14">
        <v>0.39371467217033701</v>
      </c>
      <c r="D97" s="8">
        <v>1018</v>
      </c>
      <c r="E97" s="14">
        <v>0.109663328135772</v>
      </c>
      <c r="F97" s="8">
        <v>503</v>
      </c>
      <c r="G97" s="14">
        <v>0.18243289771937701</v>
      </c>
      <c r="H97" s="8">
        <v>501</v>
      </c>
      <c r="I97" s="14">
        <v>8.6479978138618699E-2</v>
      </c>
      <c r="J97" s="8">
        <v>502</v>
      </c>
      <c r="K97" s="14">
        <v>0.21823088928145901</v>
      </c>
      <c r="L97" s="8">
        <v>491</v>
      </c>
      <c r="M97" s="14">
        <v>0.36258518778347598</v>
      </c>
      <c r="N97" s="8">
        <v>483</v>
      </c>
      <c r="O97" s="14">
        <v>0.143766953837725</v>
      </c>
      <c r="P97" s="8">
        <v>228</v>
      </c>
      <c r="Q97" s="14">
        <v>0.18777384678945799</v>
      </c>
      <c r="R97" s="8">
        <v>227</v>
      </c>
      <c r="S97" s="14">
        <v>5.1501580348744802E-2</v>
      </c>
      <c r="T97" s="8">
        <v>228</v>
      </c>
      <c r="U97" s="14">
        <v>0.219605666741685</v>
      </c>
      <c r="V97" s="8">
        <v>222</v>
      </c>
      <c r="W97" s="14">
        <v>0.420747401036622</v>
      </c>
      <c r="X97" s="8">
        <v>532</v>
      </c>
      <c r="Y97" s="14">
        <v>8.4663542790610294E-2</v>
      </c>
      <c r="Z97" s="8">
        <v>274</v>
      </c>
      <c r="AA97" s="14">
        <v>0.17929755244488199</v>
      </c>
      <c r="AB97" s="8">
        <v>273</v>
      </c>
      <c r="AC97" s="14">
        <v>0.113083241819475</v>
      </c>
      <c r="AD97" s="8">
        <v>273</v>
      </c>
      <c r="AE97" s="14">
        <v>0.218246698620809</v>
      </c>
      <c r="AF97" s="10">
        <v>268</v>
      </c>
    </row>
    <row r="98" spans="1:32" outlineLevel="1" x14ac:dyDescent="0.25">
      <c r="A98" s="6" t="s">
        <v>15</v>
      </c>
      <c r="B98" t="s">
        <v>100</v>
      </c>
      <c r="C98" s="16">
        <v>0.41597083975989002</v>
      </c>
      <c r="D98">
        <v>1461</v>
      </c>
      <c r="E98" s="16">
        <v>0.17394109960799101</v>
      </c>
      <c r="F98">
        <v>743</v>
      </c>
      <c r="G98" s="16">
        <v>0.138440664380169</v>
      </c>
      <c r="H98">
        <v>745</v>
      </c>
      <c r="I98" s="16">
        <v>9.5044761131269903E-2</v>
      </c>
      <c r="J98">
        <v>739</v>
      </c>
      <c r="K98" s="16">
        <v>3.1567782806292001E-2</v>
      </c>
      <c r="L98">
        <v>719</v>
      </c>
      <c r="M98" s="16">
        <v>0.43340933280687899</v>
      </c>
      <c r="N98">
        <v>719</v>
      </c>
      <c r="O98" s="16">
        <v>0.17781092140327401</v>
      </c>
      <c r="P98">
        <v>374</v>
      </c>
      <c r="Q98" s="16">
        <v>0.12604321889342901</v>
      </c>
      <c r="R98">
        <v>373</v>
      </c>
      <c r="S98" s="16">
        <v>7.7206744842625796E-2</v>
      </c>
      <c r="T98">
        <v>370</v>
      </c>
      <c r="U98" s="16">
        <v>2.3025060359306199E-2</v>
      </c>
      <c r="V98">
        <v>362</v>
      </c>
      <c r="W98" s="16">
        <v>0.39919811939048799</v>
      </c>
      <c r="X98">
        <v>741</v>
      </c>
      <c r="Y98" s="16">
        <v>0.168176072263547</v>
      </c>
      <c r="Z98">
        <v>368</v>
      </c>
      <c r="AA98" s="16">
        <v>0.151302504292499</v>
      </c>
      <c r="AB98">
        <v>371</v>
      </c>
      <c r="AC98" s="16">
        <v>0.113451424071915</v>
      </c>
      <c r="AD98">
        <v>368</v>
      </c>
      <c r="AE98" s="16">
        <v>4.04354752896273E-2</v>
      </c>
      <c r="AF98" s="11">
        <v>356</v>
      </c>
    </row>
    <row r="99" spans="1:32" outlineLevel="1" x14ac:dyDescent="0.25">
      <c r="A99" s="7" t="s">
        <v>15</v>
      </c>
      <c r="B99" s="9" t="s">
        <v>101</v>
      </c>
      <c r="C99" s="15">
        <v>0.72827019914297098</v>
      </c>
      <c r="D99" s="9">
        <v>6203</v>
      </c>
      <c r="E99" s="15">
        <v>5.10488054509751E-2</v>
      </c>
      <c r="F99" s="9">
        <v>3535</v>
      </c>
      <c r="G99" s="15">
        <v>3.6917243239308901E-2</v>
      </c>
      <c r="H99" s="9">
        <v>3547</v>
      </c>
      <c r="I99" s="15">
        <v>1.30905653211482E-2</v>
      </c>
      <c r="J99" s="9">
        <v>3549</v>
      </c>
      <c r="K99" s="15">
        <v>8.4907276540306092E-3</v>
      </c>
      <c r="L99" s="9">
        <v>3536</v>
      </c>
      <c r="M99" s="15">
        <v>0.73063306339265399</v>
      </c>
      <c r="N99" s="9">
        <v>3183</v>
      </c>
      <c r="O99" s="15">
        <v>4.9904965682276599E-2</v>
      </c>
      <c r="P99" s="9">
        <v>1850</v>
      </c>
      <c r="Q99" s="15">
        <v>3.2228460154405801E-2</v>
      </c>
      <c r="R99" s="9">
        <v>1855</v>
      </c>
      <c r="S99" s="15">
        <v>1.17150979378246E-2</v>
      </c>
      <c r="T99" s="9">
        <v>1857</v>
      </c>
      <c r="U99" s="15">
        <v>9.5697903076221204E-3</v>
      </c>
      <c r="V99" s="9">
        <v>1851</v>
      </c>
      <c r="W99" s="15">
        <v>0.72571625798811601</v>
      </c>
      <c r="X99" s="9">
        <v>3017</v>
      </c>
      <c r="Y99" s="15">
        <v>5.2302893316060903E-2</v>
      </c>
      <c r="Z99" s="9">
        <v>1684</v>
      </c>
      <c r="AA99" s="15">
        <v>4.1959309069024203E-2</v>
      </c>
      <c r="AB99" s="9">
        <v>1691</v>
      </c>
      <c r="AC99" s="15">
        <v>1.45724773158222E-2</v>
      </c>
      <c r="AD99" s="9">
        <v>1691</v>
      </c>
      <c r="AE99" s="15">
        <v>7.3399806028200303E-3</v>
      </c>
      <c r="AF99" s="12">
        <v>1684</v>
      </c>
    </row>
    <row r="100" spans="1:32" x14ac:dyDescent="0.25">
      <c r="C100" s="16"/>
      <c r="E100" s="16"/>
      <c r="G100" s="16"/>
      <c r="I100" s="16"/>
      <c r="K100" s="16"/>
      <c r="M100" s="16"/>
      <c r="O100" s="16"/>
      <c r="Q100" s="16"/>
      <c r="S100" s="16"/>
      <c r="U100" s="16"/>
      <c r="W100" s="16"/>
      <c r="Y100" s="16"/>
      <c r="AA100" s="16"/>
      <c r="AC100" s="16"/>
      <c r="AE100" s="16"/>
    </row>
    <row r="101" spans="1:32" x14ac:dyDescent="0.25">
      <c r="A101" s="19" t="s">
        <v>102</v>
      </c>
      <c r="B101" s="19"/>
      <c r="C101" s="20"/>
      <c r="D101" s="19"/>
      <c r="E101" s="20"/>
      <c r="F101" s="19"/>
      <c r="G101" s="20"/>
      <c r="H101" s="19"/>
      <c r="I101" s="20"/>
      <c r="J101" s="19"/>
      <c r="K101" s="20"/>
      <c r="L101" s="19"/>
      <c r="M101" s="20"/>
      <c r="N101" s="19"/>
      <c r="O101" s="20"/>
      <c r="P101" s="19"/>
      <c r="Q101" s="20"/>
      <c r="R101" s="19"/>
      <c r="S101" s="20"/>
      <c r="T101" s="19"/>
      <c r="U101" s="20"/>
      <c r="V101" s="19"/>
      <c r="W101" s="20"/>
      <c r="X101" s="19"/>
      <c r="Y101" s="20"/>
      <c r="Z101" s="19"/>
      <c r="AA101" s="20"/>
      <c r="AB101" s="19"/>
      <c r="AC101" s="20"/>
      <c r="AD101" s="19"/>
      <c r="AE101" s="20"/>
      <c r="AF101" s="19"/>
    </row>
    <row r="102" spans="1:32" outlineLevel="1" x14ac:dyDescent="0.25">
      <c r="A102" s="5" t="s">
        <v>15</v>
      </c>
      <c r="B102" s="8" t="s">
        <v>101</v>
      </c>
      <c r="C102" s="14">
        <v>0.73024937828155601</v>
      </c>
      <c r="D102" s="8">
        <v>4140</v>
      </c>
      <c r="E102" s="14">
        <v>5.0892120577127699E-2</v>
      </c>
      <c r="F102" s="8">
        <v>2602</v>
      </c>
      <c r="G102" s="14">
        <v>3.6643643457705301E-2</v>
      </c>
      <c r="H102" s="8">
        <v>2611</v>
      </c>
      <c r="I102" s="14">
        <v>1.30398598213581E-2</v>
      </c>
      <c r="J102" s="8">
        <v>2609</v>
      </c>
      <c r="K102" s="14">
        <v>8.4296681123443296E-3</v>
      </c>
      <c r="L102" s="8">
        <v>2609</v>
      </c>
      <c r="M102" s="14">
        <v>0.73249953900511</v>
      </c>
      <c r="N102" s="8">
        <v>2128</v>
      </c>
      <c r="O102" s="14">
        <v>4.9724567387997597E-2</v>
      </c>
      <c r="P102" s="8">
        <v>1355</v>
      </c>
      <c r="Q102" s="14">
        <v>3.1958331349309102E-2</v>
      </c>
      <c r="R102" s="8">
        <v>1357</v>
      </c>
      <c r="S102" s="14">
        <v>1.17137283076637E-2</v>
      </c>
      <c r="T102" s="8">
        <v>1357</v>
      </c>
      <c r="U102" s="14">
        <v>9.5266047603455202E-3</v>
      </c>
      <c r="V102" s="8">
        <v>1356</v>
      </c>
      <c r="W102" s="14">
        <v>0.72781631439112704</v>
      </c>
      <c r="X102" s="8">
        <v>2010</v>
      </c>
      <c r="Y102" s="14">
        <v>5.2171313194552198E-2</v>
      </c>
      <c r="Z102" s="8">
        <v>1246</v>
      </c>
      <c r="AA102" s="14">
        <v>4.16806273061417E-2</v>
      </c>
      <c r="AB102" s="8">
        <v>1253</v>
      </c>
      <c r="AC102" s="14">
        <v>1.44684636662336E-2</v>
      </c>
      <c r="AD102" s="8">
        <v>1251</v>
      </c>
      <c r="AE102" s="14">
        <v>7.2600794113954403E-3</v>
      </c>
      <c r="AF102" s="10">
        <v>1252</v>
      </c>
    </row>
    <row r="103" spans="1:32" outlineLevel="1" x14ac:dyDescent="0.25">
      <c r="A103" s="6" t="s">
        <v>15</v>
      </c>
      <c r="B103" t="s">
        <v>103</v>
      </c>
      <c r="C103" s="16">
        <v>0.40150521474637302</v>
      </c>
      <c r="D103">
        <v>3378</v>
      </c>
      <c r="E103" s="16">
        <v>0.13020755416323801</v>
      </c>
      <c r="F103">
        <v>1571</v>
      </c>
      <c r="G103" s="16">
        <v>0.116895348710246</v>
      </c>
      <c r="H103">
        <v>1571</v>
      </c>
      <c r="I103" s="16">
        <v>8.3438811265387505E-2</v>
      </c>
      <c r="J103">
        <v>1566</v>
      </c>
      <c r="K103" s="16">
        <v>0.123279452823921</v>
      </c>
      <c r="L103">
        <v>1534</v>
      </c>
      <c r="M103" s="16">
        <v>0.39405588071064601</v>
      </c>
      <c r="N103">
        <v>1677</v>
      </c>
      <c r="O103" s="16">
        <v>0.141827686844715</v>
      </c>
      <c r="P103">
        <v>784</v>
      </c>
      <c r="Q103" s="16">
        <v>0.111628999716417</v>
      </c>
      <c r="R103">
        <v>784</v>
      </c>
      <c r="S103" s="16">
        <v>6.7226096264853999E-2</v>
      </c>
      <c r="T103">
        <v>781</v>
      </c>
      <c r="U103" s="16">
        <v>0.108960038694948</v>
      </c>
      <c r="V103">
        <v>771</v>
      </c>
      <c r="W103" s="16">
        <v>0.40855796285255103</v>
      </c>
      <c r="X103">
        <v>1698</v>
      </c>
      <c r="Y103" s="16">
        <v>0.119931033229212</v>
      </c>
      <c r="Z103">
        <v>786</v>
      </c>
      <c r="AA103" s="16">
        <v>0.121991433897359</v>
      </c>
      <c r="AB103">
        <v>786</v>
      </c>
      <c r="AC103" s="16">
        <v>9.8435913409167894E-2</v>
      </c>
      <c r="AD103">
        <v>784</v>
      </c>
      <c r="AE103" s="16">
        <v>0.13694935288774299</v>
      </c>
      <c r="AF103" s="11">
        <v>762</v>
      </c>
    </row>
    <row r="104" spans="1:32" outlineLevel="1" x14ac:dyDescent="0.25">
      <c r="A104" s="6" t="s">
        <v>15</v>
      </c>
      <c r="B104" t="s">
        <v>104</v>
      </c>
      <c r="C104" s="16">
        <v>0.28712451148992801</v>
      </c>
      <c r="D104">
        <v>564</v>
      </c>
      <c r="E104" s="16">
        <v>0.161849956358395</v>
      </c>
      <c r="F104">
        <v>274</v>
      </c>
      <c r="G104" s="16">
        <v>6.2024102687679702E-2</v>
      </c>
      <c r="H104">
        <v>271</v>
      </c>
      <c r="I104" s="16">
        <v>7.0430033780880599E-2</v>
      </c>
      <c r="J104">
        <v>275</v>
      </c>
      <c r="K104" s="16">
        <v>6.7584532082844997E-2</v>
      </c>
      <c r="L104">
        <v>261</v>
      </c>
      <c r="M104" s="16">
        <v>0.31198616333598</v>
      </c>
      <c r="N104">
        <v>282</v>
      </c>
      <c r="O104" s="16">
        <v>0.21509065741924299</v>
      </c>
      <c r="P104">
        <v>144</v>
      </c>
      <c r="Q104" s="16">
        <v>6.0169175031104902E-2</v>
      </c>
      <c r="R104">
        <v>143</v>
      </c>
      <c r="S104" s="16">
        <v>8.5708337521059802E-2</v>
      </c>
      <c r="T104">
        <v>145</v>
      </c>
      <c r="U104" s="16">
        <v>6.5928335499760404E-2</v>
      </c>
      <c r="V104">
        <v>135</v>
      </c>
      <c r="W104" s="16">
        <v>0.26724897447796397</v>
      </c>
      <c r="X104">
        <v>282</v>
      </c>
      <c r="Y104" s="16">
        <v>0.112172557192342</v>
      </c>
      <c r="Z104">
        <v>130</v>
      </c>
      <c r="AA104" s="16">
        <v>6.3758442506812604E-2</v>
      </c>
      <c r="AB104">
        <v>128</v>
      </c>
      <c r="AC104" s="16">
        <v>5.6171222635832602E-2</v>
      </c>
      <c r="AD104">
        <v>130</v>
      </c>
      <c r="AE104" s="16">
        <v>6.8978131901854797E-2</v>
      </c>
      <c r="AF104" s="11">
        <v>126</v>
      </c>
    </row>
    <row r="105" spans="1:32" outlineLevel="1" x14ac:dyDescent="0.25">
      <c r="A105" s="6" t="s">
        <v>15</v>
      </c>
      <c r="B105" t="s">
        <v>105</v>
      </c>
      <c r="C105" s="16">
        <v>0.75</v>
      </c>
      <c r="D105">
        <v>4</v>
      </c>
      <c r="E105" s="16"/>
      <c r="G105" s="16">
        <v>1</v>
      </c>
      <c r="H105">
        <v>3</v>
      </c>
      <c r="I105" s="16"/>
      <c r="K105" s="16"/>
      <c r="M105" s="16">
        <v>0.5</v>
      </c>
      <c r="N105">
        <v>2</v>
      </c>
      <c r="O105" s="16"/>
      <c r="Q105" s="16">
        <v>1</v>
      </c>
      <c r="R105">
        <v>1</v>
      </c>
      <c r="S105" s="16"/>
      <c r="U105" s="16"/>
      <c r="W105" s="16">
        <v>1</v>
      </c>
      <c r="X105">
        <v>2</v>
      </c>
      <c r="Y105" s="16"/>
      <c r="AA105" s="16">
        <v>1</v>
      </c>
      <c r="AB105">
        <v>2</v>
      </c>
      <c r="AC105" s="16"/>
      <c r="AE105" s="16"/>
      <c r="AF105" s="11"/>
    </row>
    <row r="106" spans="1:32" outlineLevel="1" x14ac:dyDescent="0.25">
      <c r="A106" s="6" t="s">
        <v>15</v>
      </c>
      <c r="B106" t="s">
        <v>106</v>
      </c>
      <c r="C106" s="16">
        <v>0.49005607048861399</v>
      </c>
      <c r="D106">
        <v>2</v>
      </c>
      <c r="E106" s="16"/>
      <c r="G106" s="16"/>
      <c r="I106" s="16"/>
      <c r="K106" s="16"/>
      <c r="M106" s="16">
        <v>1</v>
      </c>
      <c r="N106">
        <v>1</v>
      </c>
      <c r="O106" s="16"/>
      <c r="Q106" s="16"/>
      <c r="S106" s="16"/>
      <c r="U106" s="16"/>
      <c r="W106" s="16"/>
      <c r="Y106" s="16"/>
      <c r="AA106" s="16"/>
      <c r="AC106" s="16"/>
      <c r="AE106" s="16"/>
      <c r="AF106" s="11"/>
    </row>
    <row r="107" spans="1:32" outlineLevel="1" x14ac:dyDescent="0.25">
      <c r="A107" s="6" t="s">
        <v>15</v>
      </c>
      <c r="B107" t="s">
        <v>107</v>
      </c>
      <c r="C107" s="16">
        <v>0.75</v>
      </c>
      <c r="D107">
        <v>4</v>
      </c>
      <c r="E107" s="16"/>
      <c r="G107" s="16">
        <v>1</v>
      </c>
      <c r="H107">
        <v>3</v>
      </c>
      <c r="I107" s="16">
        <v>1</v>
      </c>
      <c r="J107">
        <v>3</v>
      </c>
      <c r="K107" s="16"/>
      <c r="M107" s="16"/>
      <c r="O107" s="16"/>
      <c r="Q107" s="16"/>
      <c r="S107" s="16"/>
      <c r="U107" s="16"/>
      <c r="W107" s="16">
        <v>1</v>
      </c>
      <c r="X107">
        <v>3</v>
      </c>
      <c r="Y107" s="16"/>
      <c r="AA107" s="16">
        <v>1</v>
      </c>
      <c r="AB107">
        <v>3</v>
      </c>
      <c r="AC107" s="16">
        <v>1</v>
      </c>
      <c r="AD107">
        <v>3</v>
      </c>
      <c r="AE107" s="16"/>
      <c r="AF107" s="11"/>
    </row>
    <row r="108" spans="1:32" outlineLevel="1" x14ac:dyDescent="0.25">
      <c r="A108" s="6" t="s">
        <v>15</v>
      </c>
      <c r="B108" t="s">
        <v>108</v>
      </c>
      <c r="C108" s="16">
        <v>0.77644854739170199</v>
      </c>
      <c r="D108">
        <v>28</v>
      </c>
      <c r="E108" s="16"/>
      <c r="G108" s="16">
        <v>1</v>
      </c>
      <c r="H108">
        <v>21</v>
      </c>
      <c r="I108" s="16"/>
      <c r="K108" s="16"/>
      <c r="M108" s="16">
        <v>0.75</v>
      </c>
      <c r="N108">
        <v>16</v>
      </c>
      <c r="O108" s="16"/>
      <c r="Q108" s="16">
        <v>1</v>
      </c>
      <c r="R108">
        <v>12</v>
      </c>
      <c r="S108" s="16"/>
      <c r="U108" s="16"/>
      <c r="W108" s="16">
        <v>0.81475818372042497</v>
      </c>
      <c r="X108">
        <v>12</v>
      </c>
      <c r="Y108" s="16"/>
      <c r="AA108" s="16">
        <v>1</v>
      </c>
      <c r="AB108">
        <v>9</v>
      </c>
      <c r="AC108" s="16"/>
      <c r="AE108" s="16"/>
      <c r="AF108" s="11"/>
    </row>
    <row r="109" spans="1:32" outlineLevel="1" x14ac:dyDescent="0.25">
      <c r="A109" s="6" t="s">
        <v>15</v>
      </c>
      <c r="B109" t="s">
        <v>109</v>
      </c>
      <c r="C109" s="16">
        <v>0.46279933924359501</v>
      </c>
      <c r="D109">
        <v>195</v>
      </c>
      <c r="E109" s="16"/>
      <c r="G109" s="16"/>
      <c r="I109" s="16"/>
      <c r="K109" s="16">
        <v>2.1666811111782999E-4</v>
      </c>
      <c r="L109">
        <v>69</v>
      </c>
      <c r="M109" s="16">
        <v>0.43781317550732202</v>
      </c>
      <c r="N109">
        <v>103</v>
      </c>
      <c r="O109" s="16"/>
      <c r="Q109" s="16"/>
      <c r="S109" s="16"/>
      <c r="U109" s="16">
        <v>2.2852393238633199E-4</v>
      </c>
      <c r="V109">
        <v>39</v>
      </c>
      <c r="W109" s="16">
        <v>0.486211902945829</v>
      </c>
      <c r="X109">
        <v>92</v>
      </c>
      <c r="Y109" s="16"/>
      <c r="AA109" s="16"/>
      <c r="AC109" s="16"/>
      <c r="AE109" s="16">
        <v>2.0598177684491299E-4</v>
      </c>
      <c r="AF109" s="11">
        <v>30</v>
      </c>
    </row>
    <row r="110" spans="1:32" outlineLevel="1" x14ac:dyDescent="0.25">
      <c r="A110" s="6" t="s">
        <v>15</v>
      </c>
      <c r="B110" t="s">
        <v>110</v>
      </c>
      <c r="C110" s="16">
        <v>0.69419063537199799</v>
      </c>
      <c r="D110">
        <v>44</v>
      </c>
      <c r="E110" s="16">
        <v>0.15687408313527801</v>
      </c>
      <c r="F110">
        <v>27</v>
      </c>
      <c r="G110" s="16">
        <v>0.93031561474117097</v>
      </c>
      <c r="H110">
        <v>27</v>
      </c>
      <c r="I110" s="16">
        <v>0.16854429154702399</v>
      </c>
      <c r="J110">
        <v>27</v>
      </c>
      <c r="K110" s="16"/>
      <c r="M110" s="16">
        <v>0.69541464802691599</v>
      </c>
      <c r="N110">
        <v>22</v>
      </c>
      <c r="O110" s="16">
        <v>0.16666666666666699</v>
      </c>
      <c r="P110">
        <v>12</v>
      </c>
      <c r="Q110" s="16">
        <v>1</v>
      </c>
      <c r="R110">
        <v>12</v>
      </c>
      <c r="S110" s="16">
        <v>2.5755401010757201E-2</v>
      </c>
      <c r="T110">
        <v>12</v>
      </c>
      <c r="U110" s="16"/>
      <c r="W110" s="16">
        <v>0.69317974569849805</v>
      </c>
      <c r="X110">
        <v>22</v>
      </c>
      <c r="Y110" s="16">
        <v>0.148760492220747</v>
      </c>
      <c r="Z110">
        <v>15</v>
      </c>
      <c r="AA110" s="16">
        <v>0.87257900281354495</v>
      </c>
      <c r="AB110">
        <v>15</v>
      </c>
      <c r="AC110" s="16">
        <v>0.286851236924348</v>
      </c>
      <c r="AD110">
        <v>15</v>
      </c>
      <c r="AE110" s="16"/>
      <c r="AF110" s="11"/>
    </row>
    <row r="111" spans="1:32" outlineLevel="1" x14ac:dyDescent="0.25">
      <c r="A111" s="6" t="s">
        <v>15</v>
      </c>
      <c r="B111" t="s">
        <v>111</v>
      </c>
      <c r="C111" s="16">
        <v>0.96835028754249697</v>
      </c>
      <c r="D111">
        <v>10</v>
      </c>
      <c r="E111" s="16">
        <v>6.5368313232651604E-2</v>
      </c>
      <c r="F111">
        <v>9</v>
      </c>
      <c r="G111" s="16">
        <v>1</v>
      </c>
      <c r="H111">
        <v>9</v>
      </c>
      <c r="I111" s="16">
        <v>0.86648118760466497</v>
      </c>
      <c r="J111">
        <v>9</v>
      </c>
      <c r="K111" s="16">
        <v>0.19888712562798699</v>
      </c>
      <c r="L111">
        <v>9</v>
      </c>
      <c r="M111" s="16">
        <v>1</v>
      </c>
      <c r="N111">
        <v>1</v>
      </c>
      <c r="O111" s="16"/>
      <c r="Q111" s="16">
        <v>1</v>
      </c>
      <c r="R111">
        <v>1</v>
      </c>
      <c r="S111" s="16"/>
      <c r="U111" s="16">
        <v>1</v>
      </c>
      <c r="V111">
        <v>1</v>
      </c>
      <c r="W111" s="16">
        <v>0.96365056012624395</v>
      </c>
      <c r="X111">
        <v>9</v>
      </c>
      <c r="Y111" s="16">
        <v>7.5441122286057205E-2</v>
      </c>
      <c r="Z111">
        <v>8</v>
      </c>
      <c r="AA111" s="16">
        <v>1</v>
      </c>
      <c r="AB111">
        <v>8</v>
      </c>
      <c r="AC111" s="16">
        <v>1</v>
      </c>
      <c r="AD111">
        <v>8</v>
      </c>
      <c r="AE111" s="16">
        <v>7.5441122286057205E-2</v>
      </c>
      <c r="AF111" s="11">
        <v>8</v>
      </c>
    </row>
    <row r="112" spans="1:32" outlineLevel="1" x14ac:dyDescent="0.25">
      <c r="A112" s="6" t="s">
        <v>15</v>
      </c>
      <c r="B112" t="s">
        <v>112</v>
      </c>
      <c r="C112" s="16">
        <v>0.627945491506955</v>
      </c>
      <c r="D112">
        <v>34</v>
      </c>
      <c r="E112" s="16">
        <v>0.292361003057862</v>
      </c>
      <c r="F112">
        <v>24</v>
      </c>
      <c r="G112" s="16">
        <v>3.2520473947355202E-2</v>
      </c>
      <c r="H112">
        <v>24</v>
      </c>
      <c r="I112" s="16">
        <v>0.12992026455525299</v>
      </c>
      <c r="J112">
        <v>24</v>
      </c>
      <c r="K112" s="16">
        <v>0.39152838466552098</v>
      </c>
      <c r="L112">
        <v>24</v>
      </c>
      <c r="M112" s="16">
        <v>0.57426112481251401</v>
      </c>
      <c r="N112">
        <v>12</v>
      </c>
      <c r="O112" s="16">
        <v>0.30300207462122603</v>
      </c>
      <c r="P112">
        <v>8</v>
      </c>
      <c r="Q112" s="16"/>
      <c r="S112" s="16"/>
      <c r="U112" s="16">
        <v>0.30300207462122603</v>
      </c>
      <c r="V112">
        <v>8</v>
      </c>
      <c r="W112" s="16">
        <v>0.67533511014061698</v>
      </c>
      <c r="X112">
        <v>22</v>
      </c>
      <c r="Y112" s="16">
        <v>0.28437350378144099</v>
      </c>
      <c r="Z112">
        <v>16</v>
      </c>
      <c r="AA112" s="16">
        <v>5.6931292028655503E-2</v>
      </c>
      <c r="AB112">
        <v>16</v>
      </c>
      <c r="AC112" s="16">
        <v>0.22744221175278601</v>
      </c>
      <c r="AD112">
        <v>16</v>
      </c>
      <c r="AE112" s="16">
        <v>0.457978819963554</v>
      </c>
      <c r="AF112" s="11">
        <v>16</v>
      </c>
    </row>
    <row r="113" spans="1:32" outlineLevel="1" x14ac:dyDescent="0.25">
      <c r="A113" s="6" t="s">
        <v>15</v>
      </c>
      <c r="B113" t="s">
        <v>113</v>
      </c>
      <c r="C113" s="16">
        <v>0.77329222742530301</v>
      </c>
      <c r="D113">
        <v>81</v>
      </c>
      <c r="E113" s="16">
        <v>0.29052289080558402</v>
      </c>
      <c r="F113">
        <v>72</v>
      </c>
      <c r="G113" s="16">
        <v>0.59765421928225904</v>
      </c>
      <c r="H113">
        <v>72</v>
      </c>
      <c r="I113" s="16"/>
      <c r="K113" s="16"/>
      <c r="M113" s="16">
        <v>0.94372905748205305</v>
      </c>
      <c r="N113">
        <v>42</v>
      </c>
      <c r="O113" s="16">
        <v>0.31643061468157102</v>
      </c>
      <c r="P113">
        <v>40</v>
      </c>
      <c r="Q113" s="16">
        <v>0.51007305534668801</v>
      </c>
      <c r="R113">
        <v>40</v>
      </c>
      <c r="S113" s="16"/>
      <c r="U113" s="16"/>
      <c r="W113" s="16">
        <v>0.61608410610957298</v>
      </c>
      <c r="X113">
        <v>38</v>
      </c>
      <c r="Y113" s="16">
        <v>0.25382054430175399</v>
      </c>
      <c r="Z113">
        <v>32</v>
      </c>
      <c r="AA113" s="16">
        <v>0.72172664808220299</v>
      </c>
      <c r="AB113">
        <v>32</v>
      </c>
      <c r="AC113" s="16"/>
      <c r="AE113" s="16"/>
      <c r="AF113" s="11"/>
    </row>
    <row r="114" spans="1:32" outlineLevel="1" x14ac:dyDescent="0.25">
      <c r="A114" s="6" t="s">
        <v>15</v>
      </c>
      <c r="B114" t="s">
        <v>114</v>
      </c>
      <c r="C114" s="16">
        <v>0.622597828199697</v>
      </c>
      <c r="D114">
        <v>181</v>
      </c>
      <c r="E114" s="16">
        <v>0.66396053951178202</v>
      </c>
      <c r="F114">
        <v>98</v>
      </c>
      <c r="G114" s="16">
        <v>0.20223260421692699</v>
      </c>
      <c r="H114">
        <v>102</v>
      </c>
      <c r="I114" s="16">
        <v>1.21532447970586E-2</v>
      </c>
      <c r="J114">
        <v>102</v>
      </c>
      <c r="K114" s="16">
        <v>1.2673827473148199E-4</v>
      </c>
      <c r="L114">
        <v>104</v>
      </c>
      <c r="M114" s="16">
        <v>0.73157445754485195</v>
      </c>
      <c r="N114">
        <v>87</v>
      </c>
      <c r="O114" s="16">
        <v>0.724861578653754</v>
      </c>
      <c r="P114">
        <v>50</v>
      </c>
      <c r="Q114" s="16">
        <v>0.21736180862986701</v>
      </c>
      <c r="R114">
        <v>52</v>
      </c>
      <c r="S114" s="16">
        <v>7.8970698542996304E-4</v>
      </c>
      <c r="T114">
        <v>52</v>
      </c>
      <c r="U114" s="16"/>
      <c r="W114" s="16">
        <v>0.53450785822501101</v>
      </c>
      <c r="X114">
        <v>93</v>
      </c>
      <c r="Y114" s="16">
        <v>0.58810587840066697</v>
      </c>
      <c r="Z114">
        <v>47</v>
      </c>
      <c r="AA114" s="16">
        <v>0.195760278118666</v>
      </c>
      <c r="AB114">
        <v>49</v>
      </c>
      <c r="AC114" s="16">
        <v>2.4019931088191199E-2</v>
      </c>
      <c r="AD114">
        <v>49</v>
      </c>
      <c r="AE114" s="16">
        <v>2.58624941421229E-4</v>
      </c>
      <c r="AF114" s="11">
        <v>50</v>
      </c>
    </row>
    <row r="115" spans="1:32" outlineLevel="1" x14ac:dyDescent="0.25">
      <c r="A115" s="6" t="s">
        <v>15</v>
      </c>
      <c r="B115" t="s">
        <v>115</v>
      </c>
      <c r="C115" s="16">
        <v>5.4400569720679297E-2</v>
      </c>
      <c r="D115">
        <v>4</v>
      </c>
      <c r="E115" s="16">
        <v>1</v>
      </c>
      <c r="F115">
        <v>1</v>
      </c>
      <c r="G115" s="16">
        <v>1</v>
      </c>
      <c r="H115">
        <v>1</v>
      </c>
      <c r="I115" s="16"/>
      <c r="K115" s="16"/>
      <c r="M115" s="16">
        <v>7.9440062258270897E-2</v>
      </c>
      <c r="N115">
        <v>3</v>
      </c>
      <c r="O115" s="16">
        <v>1</v>
      </c>
      <c r="P115">
        <v>1</v>
      </c>
      <c r="Q115" s="16">
        <v>1</v>
      </c>
      <c r="R115">
        <v>1</v>
      </c>
      <c r="S115" s="16"/>
      <c r="U115" s="16"/>
      <c r="W115" s="16"/>
      <c r="Y115" s="16"/>
      <c r="AA115" s="16"/>
      <c r="AC115" s="16"/>
      <c r="AE115" s="16"/>
      <c r="AF115" s="11"/>
    </row>
    <row r="116" spans="1:32" outlineLevel="1" x14ac:dyDescent="0.25">
      <c r="A116" s="7" t="s">
        <v>15</v>
      </c>
      <c r="B116" s="9" t="s">
        <v>116</v>
      </c>
      <c r="C116" s="15">
        <v>0.57283648977186297</v>
      </c>
      <c r="D116" s="9">
        <v>13</v>
      </c>
      <c r="E116" s="15"/>
      <c r="F116" s="9"/>
      <c r="G116" s="15"/>
      <c r="H116" s="9"/>
      <c r="I116" s="15"/>
      <c r="J116" s="9"/>
      <c r="K116" s="15">
        <v>0.343165571909335</v>
      </c>
      <c r="L116" s="9">
        <v>8</v>
      </c>
      <c r="M116" s="15">
        <v>0.56101030652168304</v>
      </c>
      <c r="N116" s="9">
        <v>8</v>
      </c>
      <c r="O116" s="15"/>
      <c r="P116" s="9"/>
      <c r="Q116" s="15"/>
      <c r="R116" s="9"/>
      <c r="S116" s="15"/>
      <c r="T116" s="9"/>
      <c r="U116" s="15"/>
      <c r="V116" s="9"/>
      <c r="W116" s="15">
        <v>0.59473384878101798</v>
      </c>
      <c r="X116" s="9">
        <v>5</v>
      </c>
      <c r="Y116" s="15"/>
      <c r="Z116" s="9"/>
      <c r="AA116" s="15"/>
      <c r="AB116" s="9"/>
      <c r="AC116" s="15"/>
      <c r="AD116" s="9"/>
      <c r="AE116" s="15">
        <v>0.94254112938578904</v>
      </c>
      <c r="AF116" s="12">
        <v>3</v>
      </c>
    </row>
    <row r="117" spans="1:32" x14ac:dyDescent="0.25">
      <c r="C117" s="16"/>
      <c r="E117" s="16"/>
      <c r="G117" s="16"/>
      <c r="I117" s="16"/>
      <c r="K117" s="16"/>
      <c r="M117" s="16"/>
      <c r="O117" s="16"/>
      <c r="Q117" s="16"/>
      <c r="S117" s="16"/>
      <c r="U117" s="16"/>
      <c r="W117" s="16"/>
      <c r="Y117" s="16"/>
      <c r="AA117" s="16"/>
      <c r="AC117" s="16"/>
      <c r="AE117" s="16"/>
    </row>
    <row r="118" spans="1:32" x14ac:dyDescent="0.25">
      <c r="A118" s="19" t="s">
        <v>117</v>
      </c>
      <c r="B118" s="19"/>
      <c r="C118" s="20"/>
      <c r="D118" s="19"/>
      <c r="E118" s="20"/>
      <c r="F118" s="19"/>
      <c r="G118" s="20"/>
      <c r="H118" s="19"/>
      <c r="I118" s="20"/>
      <c r="J118" s="19"/>
      <c r="K118" s="20"/>
      <c r="L118" s="19"/>
      <c r="M118" s="20"/>
      <c r="N118" s="19"/>
      <c r="O118" s="20"/>
      <c r="P118" s="19"/>
      <c r="Q118" s="20"/>
      <c r="R118" s="19"/>
      <c r="S118" s="20"/>
      <c r="T118" s="19"/>
      <c r="U118" s="20"/>
      <c r="V118" s="19"/>
      <c r="W118" s="20"/>
      <c r="X118" s="19"/>
      <c r="Y118" s="20"/>
      <c r="Z118" s="19"/>
      <c r="AA118" s="20"/>
      <c r="AB118" s="19"/>
      <c r="AC118" s="20"/>
      <c r="AD118" s="19"/>
      <c r="AE118" s="20"/>
      <c r="AF118" s="19"/>
    </row>
    <row r="119" spans="1:32" outlineLevel="1" x14ac:dyDescent="0.25">
      <c r="A119" s="5" t="s">
        <v>15</v>
      </c>
      <c r="B119" s="8" t="s">
        <v>101</v>
      </c>
      <c r="C119" s="14">
        <v>0.84846036595121599</v>
      </c>
      <c r="D119" s="8">
        <v>83</v>
      </c>
      <c r="E119" s="14">
        <v>7.3129291355035703E-3</v>
      </c>
      <c r="F119" s="8">
        <v>70</v>
      </c>
      <c r="G119" s="14">
        <v>1.7712957685773101E-5</v>
      </c>
      <c r="H119" s="8">
        <v>70</v>
      </c>
      <c r="I119" s="14"/>
      <c r="J119" s="8"/>
      <c r="K119" s="14">
        <v>3.61476320404024E-3</v>
      </c>
      <c r="L119" s="8">
        <v>63</v>
      </c>
      <c r="M119" s="14">
        <v>0.82782340049553405</v>
      </c>
      <c r="N119" s="8">
        <v>45</v>
      </c>
      <c r="O119" s="14">
        <v>9.77449501630487E-3</v>
      </c>
      <c r="P119" s="8">
        <v>39</v>
      </c>
      <c r="Q119" s="14"/>
      <c r="R119" s="8"/>
      <c r="S119" s="14"/>
      <c r="T119" s="8"/>
      <c r="U119" s="14">
        <v>6.0910926783451997E-3</v>
      </c>
      <c r="V119" s="8">
        <v>38</v>
      </c>
      <c r="W119" s="14">
        <v>0.87950380242336301</v>
      </c>
      <c r="X119" s="8">
        <v>38</v>
      </c>
      <c r="Y119" s="14">
        <v>3.8276674274236801E-3</v>
      </c>
      <c r="Z119" s="8">
        <v>31</v>
      </c>
      <c r="AA119" s="14">
        <v>4.2792234921679602E-5</v>
      </c>
      <c r="AB119" s="8">
        <v>31</v>
      </c>
      <c r="AC119" s="14"/>
      <c r="AD119" s="8"/>
      <c r="AE119" s="14">
        <v>8.6135382520273297E-5</v>
      </c>
      <c r="AF119" s="10">
        <v>25</v>
      </c>
    </row>
    <row r="120" spans="1:32" outlineLevel="1" x14ac:dyDescent="0.25">
      <c r="A120" s="6" t="s">
        <v>15</v>
      </c>
      <c r="B120" t="s">
        <v>118</v>
      </c>
      <c r="C120" s="16">
        <v>0.72845985086902998</v>
      </c>
      <c r="D120">
        <v>6098</v>
      </c>
      <c r="E120" s="16">
        <v>4.5112820064284298E-2</v>
      </c>
      <c r="F120">
        <v>3474</v>
      </c>
      <c r="G120" s="16">
        <v>3.1182597481372601E-2</v>
      </c>
      <c r="H120">
        <v>3489</v>
      </c>
      <c r="I120" s="16">
        <v>7.8172433237141906E-3</v>
      </c>
      <c r="J120">
        <v>3482</v>
      </c>
      <c r="K120" s="16">
        <v>6.0585585234813402E-3</v>
      </c>
      <c r="L120">
        <v>3457</v>
      </c>
      <c r="M120" s="16">
        <v>0.73419074128177197</v>
      </c>
      <c r="N120">
        <v>3104</v>
      </c>
      <c r="O120" s="16">
        <v>4.5053591305730903E-2</v>
      </c>
      <c r="P120">
        <v>1796</v>
      </c>
      <c r="Q120" s="16">
        <v>2.6644401781595099E-2</v>
      </c>
      <c r="R120">
        <v>1801</v>
      </c>
      <c r="S120" s="16">
        <v>6.3348484054181597E-3</v>
      </c>
      <c r="T120">
        <v>1801</v>
      </c>
      <c r="U120" s="16">
        <v>7.5222665973195598E-3</v>
      </c>
      <c r="V120">
        <v>1787</v>
      </c>
      <c r="W120" s="16">
        <v>0.72249298286880503</v>
      </c>
      <c r="X120">
        <v>2991</v>
      </c>
      <c r="Y120" s="16">
        <v>4.51992642112699E-2</v>
      </c>
      <c r="Z120">
        <v>1677</v>
      </c>
      <c r="AA120" s="16">
        <v>3.5978989531743097E-2</v>
      </c>
      <c r="AB120">
        <v>1687</v>
      </c>
      <c r="AC120" s="16">
        <v>9.3849187799893204E-3</v>
      </c>
      <c r="AD120">
        <v>1680</v>
      </c>
      <c r="AE120" s="16">
        <v>4.5221649583773397E-3</v>
      </c>
      <c r="AF120" s="11">
        <v>1669</v>
      </c>
    </row>
    <row r="121" spans="1:32" outlineLevel="1" x14ac:dyDescent="0.25">
      <c r="A121" s="6" t="s">
        <v>15</v>
      </c>
      <c r="B121" t="s">
        <v>119</v>
      </c>
      <c r="C121" s="16">
        <v>0.60650530599837305</v>
      </c>
      <c r="D121">
        <v>2172</v>
      </c>
      <c r="E121" s="16">
        <v>9.9560126943701796E-2</v>
      </c>
      <c r="F121">
        <v>1034</v>
      </c>
      <c r="G121" s="16">
        <v>9.5369196574275394E-2</v>
      </c>
      <c r="H121">
        <v>1032</v>
      </c>
      <c r="I121" s="16">
        <v>5.0936472624157098E-2</v>
      </c>
      <c r="J121">
        <v>1035</v>
      </c>
      <c r="K121" s="16">
        <v>3.8838480923011003E-2</v>
      </c>
      <c r="L121">
        <v>1029</v>
      </c>
      <c r="M121" s="16">
        <v>0.61100652618489004</v>
      </c>
      <c r="N121">
        <v>1072</v>
      </c>
      <c r="O121" s="16">
        <v>8.53243499321482E-2</v>
      </c>
      <c r="P121">
        <v>524</v>
      </c>
      <c r="Q121" s="16">
        <v>8.4318830939021303E-2</v>
      </c>
      <c r="R121">
        <v>522</v>
      </c>
      <c r="S121" s="16">
        <v>4.0346370669592901E-2</v>
      </c>
      <c r="T121">
        <v>522</v>
      </c>
      <c r="U121" s="16">
        <v>3.1215511240667401E-2</v>
      </c>
      <c r="V121">
        <v>520</v>
      </c>
      <c r="W121" s="16">
        <v>0.60148079332023996</v>
      </c>
      <c r="X121">
        <v>1097</v>
      </c>
      <c r="Y121" s="16">
        <v>0.11643777504559499</v>
      </c>
      <c r="Z121">
        <v>509</v>
      </c>
      <c r="AA121" s="16">
        <v>0.108038842738182</v>
      </c>
      <c r="AB121">
        <v>509</v>
      </c>
      <c r="AC121" s="16">
        <v>6.3051233240068699E-2</v>
      </c>
      <c r="AD121">
        <v>512</v>
      </c>
      <c r="AE121" s="16">
        <v>4.7585610479518099E-2</v>
      </c>
      <c r="AF121" s="11">
        <v>508</v>
      </c>
    </row>
    <row r="122" spans="1:32" outlineLevel="1" x14ac:dyDescent="0.25">
      <c r="A122" s="7" t="s">
        <v>15</v>
      </c>
      <c r="B122" s="9" t="s">
        <v>120</v>
      </c>
      <c r="C122" s="15">
        <v>0.62731200326980696</v>
      </c>
      <c r="D122" s="9">
        <v>329</v>
      </c>
      <c r="E122" s="15">
        <v>0.26846525965129903</v>
      </c>
      <c r="F122" s="9">
        <v>203</v>
      </c>
      <c r="G122" s="15">
        <v>0.21288584032319299</v>
      </c>
      <c r="H122" s="9">
        <v>202</v>
      </c>
      <c r="I122" s="15">
        <v>0.22122591228463101</v>
      </c>
      <c r="J122" s="9">
        <v>203</v>
      </c>
      <c r="K122" s="15">
        <v>0.14646360757591501</v>
      </c>
      <c r="L122" s="9">
        <v>197</v>
      </c>
      <c r="M122" s="15">
        <v>0.55082160585121298</v>
      </c>
      <c r="N122" s="9">
        <v>164</v>
      </c>
      <c r="O122" s="15">
        <v>0.30130625495591101</v>
      </c>
      <c r="P122" s="9">
        <v>93</v>
      </c>
      <c r="Q122" s="15">
        <v>0.19972936031997199</v>
      </c>
      <c r="R122" s="9">
        <v>93</v>
      </c>
      <c r="S122" s="15">
        <v>0.22520503563341401</v>
      </c>
      <c r="T122" s="9">
        <v>93</v>
      </c>
      <c r="U122" s="15">
        <v>0.13698359753397801</v>
      </c>
      <c r="V122" s="9">
        <v>90</v>
      </c>
      <c r="W122" s="15">
        <v>0.74552347844352396</v>
      </c>
      <c r="X122" s="9">
        <v>164</v>
      </c>
      <c r="Y122" s="15">
        <v>0.22873080164595899</v>
      </c>
      <c r="Z122" s="9">
        <v>109</v>
      </c>
      <c r="AA122" s="15">
        <v>0.22862522809136601</v>
      </c>
      <c r="AB122" s="9">
        <v>108</v>
      </c>
      <c r="AC122" s="15">
        <v>0.217256657518336</v>
      </c>
      <c r="AD122" s="9">
        <v>109</v>
      </c>
      <c r="AE122" s="15">
        <v>0.157757136073085</v>
      </c>
      <c r="AF122" s="12">
        <v>106</v>
      </c>
    </row>
    <row r="123" spans="1:32" x14ac:dyDescent="0.25">
      <c r="C123" s="16"/>
      <c r="E123" s="16"/>
      <c r="G123" s="16"/>
      <c r="I123" s="16"/>
      <c r="K123" s="16"/>
      <c r="M123" s="16"/>
      <c r="O123" s="16"/>
      <c r="Q123" s="16"/>
      <c r="S123" s="16"/>
      <c r="U123" s="16"/>
      <c r="W123" s="16"/>
      <c r="Y123" s="16"/>
      <c r="AA123" s="16"/>
      <c r="AC123" s="16"/>
      <c r="AE123" s="16"/>
    </row>
    <row r="124" spans="1:32" x14ac:dyDescent="0.25">
      <c r="A124" s="19" t="s">
        <v>121</v>
      </c>
      <c r="B124" s="19"/>
      <c r="C124" s="20"/>
      <c r="D124" s="19"/>
      <c r="E124" s="20"/>
      <c r="F124" s="19"/>
      <c r="G124" s="20"/>
      <c r="H124" s="19"/>
      <c r="I124" s="20"/>
      <c r="J124" s="19"/>
      <c r="K124" s="20"/>
      <c r="L124" s="19"/>
      <c r="M124" s="20"/>
      <c r="N124" s="19"/>
      <c r="O124" s="20"/>
      <c r="P124" s="19"/>
      <c r="Q124" s="20"/>
      <c r="R124" s="19"/>
      <c r="S124" s="20"/>
      <c r="T124" s="19"/>
      <c r="U124" s="20"/>
      <c r="V124" s="19"/>
      <c r="W124" s="20"/>
      <c r="X124" s="19"/>
      <c r="Y124" s="20"/>
      <c r="Z124" s="19"/>
      <c r="AA124" s="20"/>
      <c r="AB124" s="19"/>
      <c r="AC124" s="20"/>
      <c r="AD124" s="19"/>
      <c r="AE124" s="20"/>
      <c r="AF124" s="19"/>
    </row>
    <row r="125" spans="1:32" outlineLevel="1" x14ac:dyDescent="0.25">
      <c r="A125" s="5" t="s">
        <v>15</v>
      </c>
      <c r="B125" s="8" t="s">
        <v>101</v>
      </c>
      <c r="C125" s="14">
        <v>0.41931698995799799</v>
      </c>
      <c r="D125" s="8">
        <v>111</v>
      </c>
      <c r="E125" s="14">
        <v>0.13589959401433899</v>
      </c>
      <c r="F125" s="8">
        <v>51</v>
      </c>
      <c r="G125" s="14">
        <v>0.13656059528263001</v>
      </c>
      <c r="H125" s="8">
        <v>50</v>
      </c>
      <c r="I125" s="14">
        <v>5.1812691606211402E-3</v>
      </c>
      <c r="J125" s="8">
        <v>51</v>
      </c>
      <c r="K125" s="14">
        <v>3.90257887832647E-3</v>
      </c>
      <c r="L125" s="8">
        <v>50</v>
      </c>
      <c r="M125" s="14">
        <v>0.35681522565642698</v>
      </c>
      <c r="N125" s="8">
        <v>64</v>
      </c>
      <c r="O125" s="14">
        <v>8.7192842150184899E-2</v>
      </c>
      <c r="P125" s="8">
        <v>24</v>
      </c>
      <c r="Q125" s="14">
        <v>0.27948831918167</v>
      </c>
      <c r="R125" s="8">
        <v>24</v>
      </c>
      <c r="S125" s="14"/>
      <c r="T125" s="8"/>
      <c r="U125" s="14">
        <v>6.0528503510657297E-3</v>
      </c>
      <c r="V125" s="8">
        <v>24</v>
      </c>
      <c r="W125" s="14">
        <v>0.50258234854277095</v>
      </c>
      <c r="X125" s="8">
        <v>47</v>
      </c>
      <c r="Y125" s="14">
        <v>0.18196738575162799</v>
      </c>
      <c r="Z125" s="8">
        <v>27</v>
      </c>
      <c r="AA125" s="14"/>
      <c r="AB125" s="8"/>
      <c r="AC125" s="14">
        <v>1.0081814146499999E-2</v>
      </c>
      <c r="AD125" s="8">
        <v>27</v>
      </c>
      <c r="AE125" s="14">
        <v>1.86866792751407E-3</v>
      </c>
      <c r="AF125" s="10">
        <v>26</v>
      </c>
    </row>
    <row r="126" spans="1:32" outlineLevel="1" x14ac:dyDescent="0.25">
      <c r="A126" s="6" t="s">
        <v>15</v>
      </c>
      <c r="B126" t="s">
        <v>122</v>
      </c>
      <c r="C126" s="16">
        <v>0.56655328368353497</v>
      </c>
      <c r="D126">
        <v>600</v>
      </c>
      <c r="E126" s="16">
        <v>0.26787593021620798</v>
      </c>
      <c r="F126">
        <v>335</v>
      </c>
      <c r="G126" s="16">
        <v>0.22374999223629799</v>
      </c>
      <c r="H126">
        <v>332</v>
      </c>
      <c r="I126" s="16">
        <v>0.14609947451389699</v>
      </c>
      <c r="J126">
        <v>335</v>
      </c>
      <c r="K126" s="16">
        <v>0.16184677896316799</v>
      </c>
      <c r="L126">
        <v>334</v>
      </c>
      <c r="M126" s="16">
        <v>0.534955045360197</v>
      </c>
      <c r="N126">
        <v>302</v>
      </c>
      <c r="O126" s="16">
        <v>0.19663168890163199</v>
      </c>
      <c r="P126">
        <v>162</v>
      </c>
      <c r="Q126" s="16">
        <v>0.19559750223878</v>
      </c>
      <c r="R126">
        <v>161</v>
      </c>
      <c r="S126" s="16">
        <v>0.115559773254785</v>
      </c>
      <c r="T126">
        <v>162</v>
      </c>
      <c r="U126" s="16">
        <v>0.12309962675960701</v>
      </c>
      <c r="V126">
        <v>162</v>
      </c>
      <c r="W126" s="16">
        <v>0.61287329923619505</v>
      </c>
      <c r="X126">
        <v>297</v>
      </c>
      <c r="Y126" s="16">
        <v>0.35903060266603498</v>
      </c>
      <c r="Z126">
        <v>173</v>
      </c>
      <c r="AA126" s="16">
        <v>0.25977884680171498</v>
      </c>
      <c r="AB126">
        <v>171</v>
      </c>
      <c r="AC126" s="16">
        <v>0.18517402164392899</v>
      </c>
      <c r="AD126">
        <v>173</v>
      </c>
      <c r="AE126" s="16">
        <v>0.21190985265333501</v>
      </c>
      <c r="AF126" s="11">
        <v>172</v>
      </c>
    </row>
    <row r="127" spans="1:32" outlineLevel="1" x14ac:dyDescent="0.25">
      <c r="A127" s="6" t="s">
        <v>15</v>
      </c>
      <c r="B127" t="s">
        <v>123</v>
      </c>
      <c r="C127" s="16">
        <v>0.56078536559763603</v>
      </c>
      <c r="D127">
        <v>3072</v>
      </c>
      <c r="E127" s="16">
        <v>8.8033364125178495E-2</v>
      </c>
      <c r="F127">
        <v>1513</v>
      </c>
      <c r="G127" s="16">
        <v>0.14002430816310901</v>
      </c>
      <c r="H127">
        <v>1517</v>
      </c>
      <c r="I127" s="16">
        <v>5.62533010794583E-2</v>
      </c>
      <c r="J127">
        <v>1513</v>
      </c>
      <c r="K127" s="16">
        <v>1.64465811029012E-2</v>
      </c>
      <c r="L127">
        <v>1478</v>
      </c>
      <c r="M127" s="16">
        <v>0.57397857882991699</v>
      </c>
      <c r="N127">
        <v>1533</v>
      </c>
      <c r="O127" s="16">
        <v>9.5773601721450899E-2</v>
      </c>
      <c r="P127">
        <v>762</v>
      </c>
      <c r="Q127" s="16">
        <v>0.12759638952845201</v>
      </c>
      <c r="R127">
        <v>762</v>
      </c>
      <c r="S127" s="16">
        <v>4.86885702581661E-2</v>
      </c>
      <c r="T127">
        <v>760</v>
      </c>
      <c r="U127" s="16">
        <v>1.4684405259614799E-2</v>
      </c>
      <c r="V127">
        <v>748</v>
      </c>
      <c r="W127" s="16">
        <v>0.54664261860200303</v>
      </c>
      <c r="X127">
        <v>1536</v>
      </c>
      <c r="Y127" s="16">
        <v>7.8840788101103801E-2</v>
      </c>
      <c r="Z127">
        <v>749</v>
      </c>
      <c r="AA127" s="16">
        <v>0.154201481246658</v>
      </c>
      <c r="AB127">
        <v>753</v>
      </c>
      <c r="AC127" s="16">
        <v>6.4995468102389306E-2</v>
      </c>
      <c r="AD127">
        <v>751</v>
      </c>
      <c r="AE127" s="16">
        <v>1.8490152959675599E-2</v>
      </c>
      <c r="AF127" s="11">
        <v>728</v>
      </c>
    </row>
    <row r="128" spans="1:32" outlineLevel="1" x14ac:dyDescent="0.25">
      <c r="A128" s="7" t="s">
        <v>15</v>
      </c>
      <c r="B128" s="9" t="s">
        <v>124</v>
      </c>
      <c r="C128" s="15">
        <v>0.75695833094298004</v>
      </c>
      <c r="D128" s="9">
        <v>4899</v>
      </c>
      <c r="E128" s="15">
        <v>3.9068113737810599E-2</v>
      </c>
      <c r="F128" s="9">
        <v>2882</v>
      </c>
      <c r="G128" s="15">
        <v>1.55680116501787E-2</v>
      </c>
      <c r="H128" s="9">
        <v>2894</v>
      </c>
      <c r="I128" s="15">
        <v>3.1183718288143999E-3</v>
      </c>
      <c r="J128" s="9">
        <v>2891</v>
      </c>
      <c r="K128" s="15">
        <v>4.7917044365874501E-3</v>
      </c>
      <c r="L128" s="9">
        <v>2884</v>
      </c>
      <c r="M128" s="15">
        <v>0.76276112453615397</v>
      </c>
      <c r="N128" s="9">
        <v>2486</v>
      </c>
      <c r="O128" s="15">
        <v>3.8742784404443099E-2</v>
      </c>
      <c r="P128" s="9">
        <v>1504</v>
      </c>
      <c r="Q128" s="15">
        <v>1.09647005495808E-2</v>
      </c>
      <c r="R128" s="9">
        <v>1508</v>
      </c>
      <c r="S128" s="15">
        <v>2.3109355472780901E-3</v>
      </c>
      <c r="T128" s="9">
        <v>1509</v>
      </c>
      <c r="U128" s="15">
        <v>6.7074735548828196E-3</v>
      </c>
      <c r="V128" s="9">
        <v>1501</v>
      </c>
      <c r="W128" s="15">
        <v>0.75091679237407905</v>
      </c>
      <c r="X128" s="9">
        <v>2410</v>
      </c>
      <c r="Y128" s="15">
        <v>3.9430629977382503E-2</v>
      </c>
      <c r="Z128" s="9">
        <v>1377</v>
      </c>
      <c r="AA128" s="15">
        <v>2.03983542158114E-2</v>
      </c>
      <c r="AB128" s="9">
        <v>1385</v>
      </c>
      <c r="AC128" s="15">
        <v>3.9648534663531097E-3</v>
      </c>
      <c r="AD128" s="9">
        <v>1381</v>
      </c>
      <c r="AE128" s="15">
        <v>2.7964079902721901E-3</v>
      </c>
      <c r="AF128" s="12">
        <v>1382</v>
      </c>
    </row>
    <row r="129" spans="1:32" x14ac:dyDescent="0.25">
      <c r="C129" s="16"/>
      <c r="E129" s="16"/>
      <c r="G129" s="16"/>
      <c r="I129" s="16"/>
      <c r="K129" s="16"/>
      <c r="M129" s="16"/>
      <c r="O129" s="16"/>
      <c r="Q129" s="16"/>
      <c r="S129" s="16"/>
      <c r="U129" s="16"/>
      <c r="W129" s="16"/>
      <c r="Y129" s="16"/>
      <c r="AA129" s="16"/>
      <c r="AC129" s="16"/>
      <c r="AE129" s="16"/>
    </row>
    <row r="130" spans="1:32" x14ac:dyDescent="0.25">
      <c r="A130" s="19" t="s">
        <v>125</v>
      </c>
      <c r="B130" s="19"/>
      <c r="C130" s="20"/>
      <c r="D130" s="19"/>
      <c r="E130" s="20"/>
      <c r="F130" s="19"/>
      <c r="G130" s="20"/>
      <c r="H130" s="19"/>
      <c r="I130" s="20"/>
      <c r="J130" s="19"/>
      <c r="K130" s="20"/>
      <c r="L130" s="19"/>
      <c r="M130" s="20"/>
      <c r="N130" s="19"/>
      <c r="O130" s="20"/>
      <c r="P130" s="19"/>
      <c r="Q130" s="20"/>
      <c r="R130" s="19"/>
      <c r="S130" s="20"/>
      <c r="T130" s="19"/>
      <c r="U130" s="20"/>
      <c r="V130" s="19"/>
      <c r="W130" s="20"/>
      <c r="X130" s="19"/>
      <c r="Y130" s="20"/>
      <c r="Z130" s="19"/>
      <c r="AA130" s="20"/>
      <c r="AB130" s="19"/>
      <c r="AC130" s="20"/>
      <c r="AD130" s="19"/>
      <c r="AE130" s="20"/>
      <c r="AF130" s="19"/>
    </row>
    <row r="131" spans="1:32" outlineLevel="1" x14ac:dyDescent="0.25">
      <c r="A131" s="5" t="s">
        <v>15</v>
      </c>
      <c r="B131" s="8" t="s">
        <v>101</v>
      </c>
      <c r="C131" s="14">
        <v>0.39125689038154599</v>
      </c>
      <c r="D131" s="8">
        <v>72</v>
      </c>
      <c r="E131" s="14">
        <v>0.10573897066018299</v>
      </c>
      <c r="F131" s="8">
        <v>34</v>
      </c>
      <c r="G131" s="14"/>
      <c r="H131" s="8"/>
      <c r="I131" s="14"/>
      <c r="J131" s="8"/>
      <c r="K131" s="14"/>
      <c r="L131" s="8"/>
      <c r="M131" s="14">
        <v>0.42224889127098603</v>
      </c>
      <c r="N131" s="8">
        <v>26</v>
      </c>
      <c r="O131" s="14">
        <v>0.22369500328105299</v>
      </c>
      <c r="P131" s="8">
        <v>13</v>
      </c>
      <c r="Q131" s="14"/>
      <c r="R131" s="8"/>
      <c r="S131" s="14"/>
      <c r="T131" s="8"/>
      <c r="U131" s="14"/>
      <c r="V131" s="8"/>
      <c r="W131" s="14">
        <v>0.36760035273430802</v>
      </c>
      <c r="X131" s="8">
        <v>46</v>
      </c>
      <c r="Y131" s="14">
        <v>2.31663978551961E-3</v>
      </c>
      <c r="Z131" s="8">
        <v>21</v>
      </c>
      <c r="AA131" s="14"/>
      <c r="AB131" s="8"/>
      <c r="AC131" s="14"/>
      <c r="AD131" s="8"/>
      <c r="AE131" s="14"/>
      <c r="AF131" s="10"/>
    </row>
    <row r="132" spans="1:32" outlineLevel="1" x14ac:dyDescent="0.25">
      <c r="A132" s="6" t="s">
        <v>15</v>
      </c>
      <c r="B132" t="s">
        <v>126</v>
      </c>
      <c r="C132" s="16">
        <v>0.566502911910712</v>
      </c>
      <c r="D132">
        <v>1110</v>
      </c>
      <c r="E132" s="16">
        <v>9.0015671017381504E-2</v>
      </c>
      <c r="F132">
        <v>593</v>
      </c>
      <c r="G132" s="16">
        <v>0.101520101055098</v>
      </c>
      <c r="H132">
        <v>593</v>
      </c>
      <c r="I132" s="16">
        <v>4.7731552669630098E-2</v>
      </c>
      <c r="J132">
        <v>589</v>
      </c>
      <c r="K132" s="16">
        <v>1.1093256602012E-2</v>
      </c>
      <c r="L132">
        <v>562</v>
      </c>
      <c r="M132" s="16">
        <v>0.549958578112829</v>
      </c>
      <c r="N132">
        <v>554</v>
      </c>
      <c r="O132" s="16">
        <v>7.8631457331019103E-2</v>
      </c>
      <c r="P132">
        <v>293</v>
      </c>
      <c r="Q132" s="16">
        <v>5.7732807760711699E-2</v>
      </c>
      <c r="R132">
        <v>293</v>
      </c>
      <c r="S132" s="16">
        <v>2.2329941569907901E-2</v>
      </c>
      <c r="T132">
        <v>289</v>
      </c>
      <c r="U132" s="16">
        <v>1.2985170050425701E-2</v>
      </c>
      <c r="V132">
        <v>277</v>
      </c>
      <c r="W132" s="16">
        <v>0.58845338746966103</v>
      </c>
      <c r="X132">
        <v>556</v>
      </c>
      <c r="Y132" s="16">
        <v>0.10438543161078701</v>
      </c>
      <c r="Z132">
        <v>300</v>
      </c>
      <c r="AA132" s="16">
        <v>0.155821749400543</v>
      </c>
      <c r="AB132">
        <v>300</v>
      </c>
      <c r="AC132" s="16">
        <v>7.9204418876073907E-2</v>
      </c>
      <c r="AD132">
        <v>300</v>
      </c>
      <c r="AE132" s="16">
        <v>8.74753708653404E-3</v>
      </c>
      <c r="AF132" s="11">
        <v>285</v>
      </c>
    </row>
    <row r="133" spans="1:32" outlineLevel="1" x14ac:dyDescent="0.25">
      <c r="A133" s="6" t="s">
        <v>15</v>
      </c>
      <c r="B133" t="s">
        <v>127</v>
      </c>
      <c r="C133" s="16">
        <v>0.59039609389264103</v>
      </c>
      <c r="D133">
        <v>1104</v>
      </c>
      <c r="E133" s="16">
        <v>0.22606571337119299</v>
      </c>
      <c r="F133">
        <v>580</v>
      </c>
      <c r="G133" s="16">
        <v>0.24916871872799201</v>
      </c>
      <c r="H133">
        <v>584</v>
      </c>
      <c r="I133" s="16">
        <v>0.16030492342691099</v>
      </c>
      <c r="J133">
        <v>585</v>
      </c>
      <c r="K133" s="16">
        <v>0.12067256849133</v>
      </c>
      <c r="L133">
        <v>581</v>
      </c>
      <c r="M133" s="16">
        <v>0.58852025995030899</v>
      </c>
      <c r="N133">
        <v>552</v>
      </c>
      <c r="O133" s="16">
        <v>0.202067742014166</v>
      </c>
      <c r="P133">
        <v>297</v>
      </c>
      <c r="Q133" s="16">
        <v>0.26004034220661199</v>
      </c>
      <c r="R133">
        <v>298</v>
      </c>
      <c r="S133" s="16">
        <v>0.13957862175080901</v>
      </c>
      <c r="T133">
        <v>300</v>
      </c>
      <c r="U133" s="16">
        <v>9.6697042804600897E-2</v>
      </c>
      <c r="V133">
        <v>299</v>
      </c>
      <c r="W133" s="16">
        <v>0.59232383271497402</v>
      </c>
      <c r="X133">
        <v>550</v>
      </c>
      <c r="Y133" s="16">
        <v>0.25318875935125301</v>
      </c>
      <c r="Z133">
        <v>282</v>
      </c>
      <c r="AA133" s="16">
        <v>0.23730000981183999</v>
      </c>
      <c r="AB133">
        <v>285</v>
      </c>
      <c r="AC133" s="16">
        <v>0.18430387529339801</v>
      </c>
      <c r="AD133">
        <v>284</v>
      </c>
      <c r="AE133" s="16">
        <v>0.148583515774032</v>
      </c>
      <c r="AF133" s="11">
        <v>281</v>
      </c>
    </row>
    <row r="134" spans="1:32" outlineLevel="1" x14ac:dyDescent="0.25">
      <c r="A134" s="6" t="s">
        <v>15</v>
      </c>
      <c r="B134" t="s">
        <v>128</v>
      </c>
      <c r="C134" s="16">
        <v>0.78835142398136804</v>
      </c>
      <c r="D134">
        <v>3017</v>
      </c>
      <c r="E134" s="16">
        <v>3.8077206799591097E-2</v>
      </c>
      <c r="F134">
        <v>1924</v>
      </c>
      <c r="G134" s="16">
        <v>1.0089126603664501E-2</v>
      </c>
      <c r="H134">
        <v>1931</v>
      </c>
      <c r="I134" s="16">
        <v>2.2224549925263801E-3</v>
      </c>
      <c r="J134">
        <v>1931</v>
      </c>
      <c r="K134" s="16">
        <v>3.3649965701738802E-3</v>
      </c>
      <c r="L134">
        <v>1931</v>
      </c>
      <c r="M134" s="16">
        <v>0.79036810841807004</v>
      </c>
      <c r="N134">
        <v>1551</v>
      </c>
      <c r="O134" s="16">
        <v>3.9248764020710203E-2</v>
      </c>
      <c r="P134">
        <v>996</v>
      </c>
      <c r="Q134" s="16">
        <v>7.1411071623973298E-3</v>
      </c>
      <c r="R134">
        <v>999</v>
      </c>
      <c r="S134" s="16">
        <v>2.8193591053795502E-3</v>
      </c>
      <c r="T134">
        <v>999</v>
      </c>
      <c r="U134" s="16">
        <v>6.2026122963255203E-3</v>
      </c>
      <c r="V134">
        <v>997</v>
      </c>
      <c r="W134" s="16">
        <v>0.78610949017311404</v>
      </c>
      <c r="X134">
        <v>1465</v>
      </c>
      <c r="Y134" s="16">
        <v>3.6866602565813998E-2</v>
      </c>
      <c r="Z134">
        <v>927</v>
      </c>
      <c r="AA134" s="16">
        <v>1.3208383216377099E-2</v>
      </c>
      <c r="AB134">
        <v>931</v>
      </c>
      <c r="AC134" s="16">
        <v>1.59472700383612E-3</v>
      </c>
      <c r="AD134">
        <v>931</v>
      </c>
      <c r="AE134" s="16">
        <v>3.8484945533256602E-4</v>
      </c>
      <c r="AF134" s="11">
        <v>933</v>
      </c>
    </row>
    <row r="135" spans="1:32" outlineLevel="1" x14ac:dyDescent="0.25">
      <c r="A135" s="7" t="s">
        <v>15</v>
      </c>
      <c r="B135" s="9" t="s">
        <v>129</v>
      </c>
      <c r="C135" s="15">
        <v>0.58978570169162803</v>
      </c>
      <c r="D135" s="9">
        <v>3379</v>
      </c>
      <c r="E135" s="15">
        <v>5.1532688534814401E-2</v>
      </c>
      <c r="F135" s="9">
        <v>1650</v>
      </c>
      <c r="G135" s="15">
        <v>7.42124252604274E-2</v>
      </c>
      <c r="H135" s="9">
        <v>1651</v>
      </c>
      <c r="I135" s="15">
        <v>1.3372736603995501E-2</v>
      </c>
      <c r="J135" s="9">
        <v>1651</v>
      </c>
      <c r="K135" s="15">
        <v>1.14757447280878E-2</v>
      </c>
      <c r="L135" s="9">
        <v>1638</v>
      </c>
      <c r="M135" s="15">
        <v>0.606326327948157</v>
      </c>
      <c r="N135" s="9">
        <v>1702</v>
      </c>
      <c r="O135" s="15">
        <v>4.9205052454719997E-2</v>
      </c>
      <c r="P135" s="9">
        <v>853</v>
      </c>
      <c r="Q135" s="15">
        <v>6.6958927271907207E-2</v>
      </c>
      <c r="R135" s="9">
        <v>852</v>
      </c>
      <c r="S135" s="15">
        <v>1.15323622846734E-2</v>
      </c>
      <c r="T135" s="9">
        <v>854</v>
      </c>
      <c r="U135" s="15">
        <v>8.4851646973296696E-3</v>
      </c>
      <c r="V135" s="9">
        <v>849</v>
      </c>
      <c r="W135" s="15">
        <v>0.57375998336586698</v>
      </c>
      <c r="X135" s="9">
        <v>1673</v>
      </c>
      <c r="Y135" s="15">
        <v>5.3986906684161701E-2</v>
      </c>
      <c r="Z135" s="9">
        <v>796</v>
      </c>
      <c r="AA135" s="15">
        <v>8.1810008640102197E-2</v>
      </c>
      <c r="AB135" s="9">
        <v>798</v>
      </c>
      <c r="AC135" s="15">
        <v>1.5301348793229501E-2</v>
      </c>
      <c r="AD135" s="9">
        <v>796</v>
      </c>
      <c r="AE135" s="15">
        <v>1.4601543352634401E-2</v>
      </c>
      <c r="AF135" s="12">
        <v>788</v>
      </c>
    </row>
    <row r="136" spans="1:32" x14ac:dyDescent="0.25">
      <c r="C136" s="16"/>
      <c r="E136" s="16"/>
      <c r="G136" s="16"/>
      <c r="I136" s="16"/>
      <c r="K136" s="16"/>
      <c r="M136" s="16"/>
      <c r="O136" s="16"/>
      <c r="Q136" s="16"/>
      <c r="S136" s="16"/>
      <c r="U136" s="16"/>
      <c r="W136" s="16"/>
      <c r="Y136" s="16"/>
      <c r="AA136" s="16"/>
      <c r="AC136" s="16"/>
      <c r="AE136" s="16"/>
    </row>
    <row r="137" spans="1:32" x14ac:dyDescent="0.25">
      <c r="A137" s="19" t="s">
        <v>130</v>
      </c>
      <c r="B137" s="19"/>
      <c r="C137" s="20"/>
      <c r="D137" s="19"/>
      <c r="E137" s="20"/>
      <c r="F137" s="19"/>
      <c r="G137" s="20"/>
      <c r="H137" s="19"/>
      <c r="I137" s="20"/>
      <c r="J137" s="19"/>
      <c r="K137" s="20"/>
      <c r="L137" s="19"/>
      <c r="M137" s="20"/>
      <c r="N137" s="19"/>
      <c r="O137" s="20"/>
      <c r="P137" s="19"/>
      <c r="Q137" s="20"/>
      <c r="R137" s="19"/>
      <c r="S137" s="20"/>
      <c r="T137" s="19"/>
      <c r="U137" s="20"/>
      <c r="V137" s="19"/>
      <c r="W137" s="20"/>
      <c r="X137" s="19"/>
      <c r="Y137" s="20"/>
      <c r="Z137" s="19"/>
      <c r="AA137" s="20"/>
      <c r="AB137" s="19"/>
      <c r="AC137" s="20"/>
      <c r="AD137" s="19"/>
      <c r="AE137" s="20"/>
      <c r="AF137" s="19"/>
    </row>
    <row r="138" spans="1:32" outlineLevel="1" x14ac:dyDescent="0.25">
      <c r="A138" s="5" t="s">
        <v>15</v>
      </c>
      <c r="B138" s="8" t="s">
        <v>101</v>
      </c>
      <c r="C138" s="14">
        <v>0.73012872884106494</v>
      </c>
      <c r="D138" s="8">
        <v>2100</v>
      </c>
      <c r="E138" s="14">
        <v>1.06851682344608E-2</v>
      </c>
      <c r="F138" s="8">
        <v>902</v>
      </c>
      <c r="G138" s="14">
        <v>1.7860410581215201E-2</v>
      </c>
      <c r="H138" s="8">
        <v>901</v>
      </c>
      <c r="I138" s="14">
        <v>2.8322151383898802E-4</v>
      </c>
      <c r="J138" s="8">
        <v>901</v>
      </c>
      <c r="K138" s="14"/>
      <c r="L138" s="8"/>
      <c r="M138" s="14">
        <v>0.73098720003321904</v>
      </c>
      <c r="N138" s="8">
        <v>1056</v>
      </c>
      <c r="O138" s="14">
        <v>4.38707801483378E-3</v>
      </c>
      <c r="P138" s="8">
        <v>470</v>
      </c>
      <c r="Q138" s="14">
        <v>1.1452335837534701E-2</v>
      </c>
      <c r="R138" s="8">
        <v>469</v>
      </c>
      <c r="S138" s="14">
        <v>2.8551108934766101E-4</v>
      </c>
      <c r="T138" s="8">
        <v>469</v>
      </c>
      <c r="U138" s="14"/>
      <c r="V138" s="8"/>
      <c r="W138" s="14">
        <v>0.72922896662464498</v>
      </c>
      <c r="X138" s="8">
        <v>1043</v>
      </c>
      <c r="Y138" s="14">
        <v>1.68983532943341E-2</v>
      </c>
      <c r="Z138" s="8">
        <v>431</v>
      </c>
      <c r="AA138" s="14">
        <v>2.4173319395731599E-2</v>
      </c>
      <c r="AB138" s="8">
        <v>431</v>
      </c>
      <c r="AC138" s="14">
        <v>2.8104733281563099E-4</v>
      </c>
      <c r="AD138" s="8">
        <v>431</v>
      </c>
      <c r="AE138" s="14"/>
      <c r="AF138" s="10"/>
    </row>
    <row r="139" spans="1:32" outlineLevel="1" x14ac:dyDescent="0.25">
      <c r="A139" s="6" t="s">
        <v>15</v>
      </c>
      <c r="B139" t="s">
        <v>131</v>
      </c>
      <c r="C139" s="16">
        <v>0.71255571606714996</v>
      </c>
      <c r="D139">
        <v>6481</v>
      </c>
      <c r="E139" s="16">
        <v>6.7409494182094798E-2</v>
      </c>
      <c r="F139">
        <v>3851</v>
      </c>
      <c r="G139" s="16">
        <v>4.7232714559540701E-2</v>
      </c>
      <c r="H139">
        <v>3864</v>
      </c>
      <c r="I139" s="16">
        <v>1.9783402606352699E-2</v>
      </c>
      <c r="J139">
        <v>3861</v>
      </c>
      <c r="K139" s="16">
        <v>1.48921750882783E-2</v>
      </c>
      <c r="L139">
        <v>3818</v>
      </c>
      <c r="M139" s="16">
        <v>0.71483297670419799</v>
      </c>
      <c r="N139">
        <v>3287</v>
      </c>
      <c r="O139" s="16">
        <v>6.7135421570087506E-2</v>
      </c>
      <c r="P139">
        <v>1970</v>
      </c>
      <c r="Q139" s="16">
        <v>4.2006705890029E-2</v>
      </c>
      <c r="R139">
        <v>1974</v>
      </c>
      <c r="S139" s="16">
        <v>1.6421743536520299E-2</v>
      </c>
      <c r="T139">
        <v>1974</v>
      </c>
      <c r="U139" s="16">
        <v>1.4980859689240201E-2</v>
      </c>
      <c r="V139">
        <v>1955</v>
      </c>
      <c r="W139" s="16">
        <v>0.71009167428000397</v>
      </c>
      <c r="X139">
        <v>3188</v>
      </c>
      <c r="Y139" s="16">
        <v>6.7709126377238096E-2</v>
      </c>
      <c r="Z139">
        <v>1879</v>
      </c>
      <c r="AA139" s="16">
        <v>5.29777857845425E-2</v>
      </c>
      <c r="AB139">
        <v>1888</v>
      </c>
      <c r="AC139" s="16">
        <v>2.34784564555722E-2</v>
      </c>
      <c r="AD139">
        <v>1885</v>
      </c>
      <c r="AE139" s="16">
        <v>1.48053652897233E-2</v>
      </c>
      <c r="AF139" s="11">
        <v>1861</v>
      </c>
    </row>
    <row r="140" spans="1:32" outlineLevel="1" x14ac:dyDescent="0.25">
      <c r="A140" s="7" t="s">
        <v>15</v>
      </c>
      <c r="B140" s="9" t="s">
        <v>132</v>
      </c>
      <c r="C140" s="15">
        <v>7.8991709069010194E-2</v>
      </c>
      <c r="D140" s="9">
        <v>101</v>
      </c>
      <c r="E140" s="15">
        <v>0.45169875410624899</v>
      </c>
      <c r="F140" s="9">
        <v>28</v>
      </c>
      <c r="G140" s="15">
        <v>0.48092150991918298</v>
      </c>
      <c r="H140" s="9">
        <v>28</v>
      </c>
      <c r="I140" s="15">
        <v>0.426937407072079</v>
      </c>
      <c r="J140" s="9">
        <v>28</v>
      </c>
      <c r="K140" s="15">
        <v>0.34672826768089299</v>
      </c>
      <c r="L140" s="9">
        <v>27</v>
      </c>
      <c r="M140" s="15">
        <v>0.116125227974687</v>
      </c>
      <c r="N140" s="9">
        <v>42</v>
      </c>
      <c r="O140" s="15">
        <v>0.76599564719360702</v>
      </c>
      <c r="P140" s="9">
        <v>12</v>
      </c>
      <c r="Q140" s="15">
        <v>0.630338334153002</v>
      </c>
      <c r="R140" s="9">
        <v>12</v>
      </c>
      <c r="S140" s="15">
        <v>0.61788396906002396</v>
      </c>
      <c r="T140" s="9">
        <v>12</v>
      </c>
      <c r="U140" s="15">
        <v>0.65239703351220102</v>
      </c>
      <c r="V140" s="9">
        <v>11</v>
      </c>
      <c r="W140" s="15">
        <v>5.7116786354969501E-2</v>
      </c>
      <c r="X140" s="9">
        <v>59</v>
      </c>
      <c r="Y140" s="15">
        <v>7.5269537213244003E-2</v>
      </c>
      <c r="Z140" s="9">
        <v>16</v>
      </c>
      <c r="AA140" s="15">
        <v>0.30196696288411801</v>
      </c>
      <c r="AB140" s="9">
        <v>16</v>
      </c>
      <c r="AC140" s="15">
        <v>0.19824324439209501</v>
      </c>
      <c r="AD140" s="9">
        <v>16</v>
      </c>
      <c r="AE140" s="15"/>
      <c r="AF140" s="12"/>
    </row>
    <row r="141" spans="1:32" x14ac:dyDescent="0.25">
      <c r="C141" s="16"/>
      <c r="E141" s="16"/>
      <c r="G141" s="16"/>
      <c r="I141" s="16"/>
      <c r="K141" s="16"/>
      <c r="M141" s="16"/>
      <c r="O141" s="16"/>
      <c r="Q141" s="16"/>
      <c r="S141" s="16"/>
      <c r="U141" s="16"/>
      <c r="W141" s="16"/>
      <c r="Y141" s="16"/>
      <c r="AA141" s="16"/>
      <c r="AC141" s="16"/>
      <c r="AE141" s="16"/>
    </row>
    <row r="142" spans="1:32" x14ac:dyDescent="0.25">
      <c r="A142" s="19" t="s">
        <v>133</v>
      </c>
      <c r="B142" s="19"/>
      <c r="C142" s="20"/>
      <c r="D142" s="19"/>
      <c r="E142" s="20"/>
      <c r="F142" s="19"/>
      <c r="G142" s="20"/>
      <c r="H142" s="19"/>
      <c r="I142" s="20"/>
      <c r="J142" s="19"/>
      <c r="K142" s="20"/>
      <c r="L142" s="19"/>
      <c r="M142" s="20"/>
      <c r="N142" s="19"/>
      <c r="O142" s="20"/>
      <c r="P142" s="19"/>
      <c r="Q142" s="20"/>
      <c r="R142" s="19"/>
      <c r="S142" s="20"/>
      <c r="T142" s="19"/>
      <c r="U142" s="20"/>
      <c r="V142" s="19"/>
      <c r="W142" s="20"/>
      <c r="X142" s="19"/>
      <c r="Y142" s="20"/>
      <c r="Z142" s="19"/>
      <c r="AA142" s="20"/>
      <c r="AB142" s="19"/>
      <c r="AC142" s="20"/>
      <c r="AD142" s="19"/>
      <c r="AE142" s="20"/>
      <c r="AF142" s="19"/>
    </row>
    <row r="143" spans="1:32" outlineLevel="1" x14ac:dyDescent="0.25">
      <c r="A143" s="5" t="s">
        <v>15</v>
      </c>
      <c r="B143" s="8" t="s">
        <v>101</v>
      </c>
      <c r="C143" s="14">
        <v>0.73012872884106494</v>
      </c>
      <c r="D143" s="8">
        <v>2100</v>
      </c>
      <c r="E143" s="14">
        <v>1.06851682344608E-2</v>
      </c>
      <c r="F143" s="8">
        <v>902</v>
      </c>
      <c r="G143" s="14">
        <v>1.7860410581215201E-2</v>
      </c>
      <c r="H143" s="8">
        <v>901</v>
      </c>
      <c r="I143" s="14">
        <v>2.8322151383898802E-4</v>
      </c>
      <c r="J143" s="8">
        <v>901</v>
      </c>
      <c r="K143" s="14"/>
      <c r="L143" s="8"/>
      <c r="M143" s="14">
        <v>0.73098720003321904</v>
      </c>
      <c r="N143" s="8">
        <v>1056</v>
      </c>
      <c r="O143" s="14">
        <v>4.38707801483378E-3</v>
      </c>
      <c r="P143" s="8">
        <v>470</v>
      </c>
      <c r="Q143" s="14">
        <v>1.1452335837534701E-2</v>
      </c>
      <c r="R143" s="8">
        <v>469</v>
      </c>
      <c r="S143" s="14">
        <v>2.8551108934766101E-4</v>
      </c>
      <c r="T143" s="8">
        <v>469</v>
      </c>
      <c r="U143" s="14"/>
      <c r="V143" s="8"/>
      <c r="W143" s="14">
        <v>0.72922896662464498</v>
      </c>
      <c r="X143" s="8">
        <v>1043</v>
      </c>
      <c r="Y143" s="14">
        <v>1.68983532943341E-2</v>
      </c>
      <c r="Z143" s="8">
        <v>431</v>
      </c>
      <c r="AA143" s="14">
        <v>2.4173319395731599E-2</v>
      </c>
      <c r="AB143" s="8">
        <v>431</v>
      </c>
      <c r="AC143" s="14">
        <v>2.8104733281563099E-4</v>
      </c>
      <c r="AD143" s="8">
        <v>431</v>
      </c>
      <c r="AE143" s="14"/>
      <c r="AF143" s="10"/>
    </row>
    <row r="144" spans="1:32" outlineLevel="1" x14ac:dyDescent="0.25">
      <c r="A144" s="6" t="s">
        <v>15</v>
      </c>
      <c r="B144" t="s">
        <v>131</v>
      </c>
      <c r="C144" s="16">
        <v>0.71216594910469899</v>
      </c>
      <c r="D144">
        <v>6379</v>
      </c>
      <c r="E144" s="16">
        <v>6.7749209145836306E-2</v>
      </c>
      <c r="F144">
        <v>3766</v>
      </c>
      <c r="G144" s="16">
        <v>4.73538886779536E-2</v>
      </c>
      <c r="H144">
        <v>3779</v>
      </c>
      <c r="I144" s="16">
        <v>1.9741525991071401E-2</v>
      </c>
      <c r="J144">
        <v>3776</v>
      </c>
      <c r="K144" s="16">
        <v>1.5006385429588201E-2</v>
      </c>
      <c r="L144">
        <v>3732</v>
      </c>
      <c r="M144" s="16">
        <v>0.71359576198409802</v>
      </c>
      <c r="N144">
        <v>3234</v>
      </c>
      <c r="O144" s="16">
        <v>6.7743755242651693E-2</v>
      </c>
      <c r="P144">
        <v>1923</v>
      </c>
      <c r="Q144" s="16">
        <v>4.2191378623152899E-2</v>
      </c>
      <c r="R144">
        <v>1927</v>
      </c>
      <c r="S144" s="16">
        <v>1.6568552549340702E-2</v>
      </c>
      <c r="T144">
        <v>1927</v>
      </c>
      <c r="U144" s="16">
        <v>1.51221030726893E-2</v>
      </c>
      <c r="V144">
        <v>1908</v>
      </c>
      <c r="W144" s="16">
        <v>0.71062853315552699</v>
      </c>
      <c r="X144">
        <v>3139</v>
      </c>
      <c r="Y144" s="16">
        <v>6.7754239568024802E-2</v>
      </c>
      <c r="Z144">
        <v>1841</v>
      </c>
      <c r="AA144" s="16">
        <v>5.3009212006679102E-2</v>
      </c>
      <c r="AB144">
        <v>1850</v>
      </c>
      <c r="AC144" s="16">
        <v>2.3217280372789199E-2</v>
      </c>
      <c r="AD144">
        <v>1847</v>
      </c>
      <c r="AE144" s="16">
        <v>1.48906442547654E-2</v>
      </c>
      <c r="AF144" s="11">
        <v>1822</v>
      </c>
    </row>
    <row r="145" spans="1:32" outlineLevel="1" x14ac:dyDescent="0.25">
      <c r="A145" s="7" t="s">
        <v>15</v>
      </c>
      <c r="B145" s="9" t="s">
        <v>132</v>
      </c>
      <c r="C145" s="15">
        <v>0.36038099443221999</v>
      </c>
      <c r="D145" s="9">
        <v>203</v>
      </c>
      <c r="E145" s="15">
        <v>7.8834863170485006E-2</v>
      </c>
      <c r="F145" s="9">
        <v>113</v>
      </c>
      <c r="G145" s="15">
        <v>8.9728977491665099E-2</v>
      </c>
      <c r="H145" s="9">
        <v>113</v>
      </c>
      <c r="I145" s="15">
        <v>7.74685479333872E-2</v>
      </c>
      <c r="J145" s="9">
        <v>113</v>
      </c>
      <c r="K145" s="15">
        <v>4.3824177526208499E-2</v>
      </c>
      <c r="L145" s="9">
        <v>113</v>
      </c>
      <c r="M145" s="15">
        <v>0.50527315477601897</v>
      </c>
      <c r="N145" s="9">
        <v>95</v>
      </c>
      <c r="O145" s="15">
        <v>8.8550598565979896E-2</v>
      </c>
      <c r="P145" s="9">
        <v>59</v>
      </c>
      <c r="Q145" s="15">
        <v>9.06977995823922E-2</v>
      </c>
      <c r="R145" s="9">
        <v>59</v>
      </c>
      <c r="S145" s="15">
        <v>7.0239409533346897E-2</v>
      </c>
      <c r="T145" s="9">
        <v>59</v>
      </c>
      <c r="U145" s="15">
        <v>6.9930541714891895E-2</v>
      </c>
      <c r="V145" s="9">
        <v>58</v>
      </c>
      <c r="W145" s="15">
        <v>0.24280180589947001</v>
      </c>
      <c r="X145" s="9">
        <v>108</v>
      </c>
      <c r="Y145" s="15">
        <v>6.2321844903877599E-2</v>
      </c>
      <c r="Z145" s="9">
        <v>54</v>
      </c>
      <c r="AA145" s="15">
        <v>8.8082388900049005E-2</v>
      </c>
      <c r="AB145" s="9">
        <v>54</v>
      </c>
      <c r="AC145" s="15">
        <v>8.9755306433114496E-2</v>
      </c>
      <c r="AD145" s="9">
        <v>54</v>
      </c>
      <c r="AE145" s="15"/>
      <c r="AF145" s="12"/>
    </row>
    <row r="146" spans="1:32" x14ac:dyDescent="0.25">
      <c r="C146" s="16"/>
      <c r="E146" s="16"/>
      <c r="G146" s="16"/>
      <c r="I146" s="16"/>
      <c r="K146" s="16"/>
      <c r="M146" s="16"/>
      <c r="O146" s="16"/>
      <c r="Q146" s="16"/>
      <c r="S146" s="16"/>
      <c r="U146" s="16"/>
      <c r="W146" s="16"/>
      <c r="Y146" s="16"/>
      <c r="AA146" s="16"/>
      <c r="AC146" s="16"/>
      <c r="AE146" s="16"/>
    </row>
    <row r="147" spans="1:32" x14ac:dyDescent="0.25">
      <c r="A147" s="19" t="s">
        <v>134</v>
      </c>
      <c r="B147" s="19"/>
      <c r="C147" s="20"/>
      <c r="D147" s="19"/>
      <c r="E147" s="20"/>
      <c r="F147" s="19"/>
      <c r="G147" s="20"/>
      <c r="H147" s="19"/>
      <c r="I147" s="20"/>
      <c r="J147" s="19"/>
      <c r="K147" s="20"/>
      <c r="L147" s="19"/>
      <c r="M147" s="20"/>
      <c r="N147" s="19"/>
      <c r="O147" s="20"/>
      <c r="P147" s="19"/>
      <c r="Q147" s="20"/>
      <c r="R147" s="19"/>
      <c r="S147" s="20"/>
      <c r="T147" s="19"/>
      <c r="U147" s="20"/>
      <c r="V147" s="19"/>
      <c r="W147" s="20"/>
      <c r="X147" s="19"/>
      <c r="Y147" s="20"/>
      <c r="Z147" s="19"/>
      <c r="AA147" s="20"/>
      <c r="AB147" s="19"/>
      <c r="AC147" s="20"/>
      <c r="AD147" s="19"/>
      <c r="AE147" s="20"/>
      <c r="AF147" s="19"/>
    </row>
    <row r="148" spans="1:32" outlineLevel="1" x14ac:dyDescent="0.25">
      <c r="A148" s="5" t="s">
        <v>15</v>
      </c>
      <c r="B148" s="8" t="s">
        <v>135</v>
      </c>
      <c r="C148" s="14">
        <v>0.38611379567544901</v>
      </c>
      <c r="D148" s="8">
        <v>2283</v>
      </c>
      <c r="E148" s="14">
        <v>0.129949261040715</v>
      </c>
      <c r="F148" s="8">
        <v>1104</v>
      </c>
      <c r="G148" s="14">
        <v>0.155106625260197</v>
      </c>
      <c r="H148" s="8">
        <v>1105</v>
      </c>
      <c r="I148" s="14">
        <v>9.8618298667159696E-2</v>
      </c>
      <c r="J148" s="8">
        <v>1101</v>
      </c>
      <c r="K148" s="14">
        <v>0.125998972288801</v>
      </c>
      <c r="L148" s="8">
        <v>1070</v>
      </c>
      <c r="M148" s="14">
        <v>0.38033561137774302</v>
      </c>
      <c r="N148" s="8">
        <v>1102</v>
      </c>
      <c r="O148" s="14">
        <v>0.14857539426223601</v>
      </c>
      <c r="P148" s="8">
        <v>529</v>
      </c>
      <c r="Q148" s="14">
        <v>0.142441789214239</v>
      </c>
      <c r="R148" s="8">
        <v>527</v>
      </c>
      <c r="S148" s="14">
        <v>7.4949378276177897E-2</v>
      </c>
      <c r="T148" s="8">
        <v>527</v>
      </c>
      <c r="U148" s="14">
        <v>0.11404829065033199</v>
      </c>
      <c r="V148" s="8">
        <v>513</v>
      </c>
      <c r="W148" s="14">
        <v>0.39126327691752</v>
      </c>
      <c r="X148" s="8">
        <v>1178</v>
      </c>
      <c r="Y148" s="14">
        <v>0.113959547528742</v>
      </c>
      <c r="Z148" s="8">
        <v>574</v>
      </c>
      <c r="AA148" s="14">
        <v>0.16647041378565799</v>
      </c>
      <c r="AB148" s="8">
        <v>577</v>
      </c>
      <c r="AC148" s="14">
        <v>0.119548125270191</v>
      </c>
      <c r="AD148" s="8">
        <v>573</v>
      </c>
      <c r="AE148" s="14">
        <v>0.13683199054272699</v>
      </c>
      <c r="AF148" s="10">
        <v>556</v>
      </c>
    </row>
    <row r="149" spans="1:32" outlineLevel="1" x14ac:dyDescent="0.25">
      <c r="A149" s="6" t="s">
        <v>15</v>
      </c>
      <c r="B149" t="s">
        <v>136</v>
      </c>
      <c r="C149" s="16">
        <v>0.71685678253784002</v>
      </c>
      <c r="D149">
        <v>196</v>
      </c>
      <c r="E149" s="16">
        <v>0.27587782547586498</v>
      </c>
      <c r="F149">
        <v>142</v>
      </c>
      <c r="G149" s="16">
        <v>0.18469238890478101</v>
      </c>
      <c r="H149">
        <v>141</v>
      </c>
      <c r="I149" s="16">
        <v>2.66507672894736E-2</v>
      </c>
      <c r="J149">
        <v>140</v>
      </c>
      <c r="K149" s="16">
        <v>3.1660803933326799E-2</v>
      </c>
      <c r="L149">
        <v>140</v>
      </c>
      <c r="M149" s="16">
        <v>0.70855844117093003</v>
      </c>
      <c r="N149">
        <v>100</v>
      </c>
      <c r="O149" s="16">
        <v>0.28630031795974598</v>
      </c>
      <c r="P149">
        <v>73</v>
      </c>
      <c r="Q149" s="16">
        <v>0.22029596763759501</v>
      </c>
      <c r="R149">
        <v>73</v>
      </c>
      <c r="S149" s="16"/>
      <c r="U149" s="16">
        <v>2.3098364124644302E-2</v>
      </c>
      <c r="V149">
        <v>71</v>
      </c>
      <c r="W149" s="16">
        <v>0.72337378299667998</v>
      </c>
      <c r="X149">
        <v>95</v>
      </c>
      <c r="Y149" s="16">
        <v>0.25645292136217301</v>
      </c>
      <c r="Z149">
        <v>68</v>
      </c>
      <c r="AA149" s="16">
        <v>0.149248730208243</v>
      </c>
      <c r="AB149">
        <v>67</v>
      </c>
      <c r="AC149" s="16">
        <v>5.4243321792547601E-2</v>
      </c>
      <c r="AD149">
        <v>68</v>
      </c>
      <c r="AE149" s="16">
        <v>4.0789920799757101E-2</v>
      </c>
      <c r="AF149" s="11">
        <v>68</v>
      </c>
    </row>
    <row r="150" spans="1:32" outlineLevel="1" x14ac:dyDescent="0.25">
      <c r="A150" s="6" t="s">
        <v>15</v>
      </c>
      <c r="B150" t="s">
        <v>137</v>
      </c>
      <c r="C150" s="16">
        <v>0.32432432432432401</v>
      </c>
      <c r="D150">
        <v>259</v>
      </c>
      <c r="E150" s="16">
        <v>4.7619047619047603E-2</v>
      </c>
      <c r="F150">
        <v>84</v>
      </c>
      <c r="G150" s="16">
        <v>0.39285714285714302</v>
      </c>
      <c r="H150">
        <v>84</v>
      </c>
      <c r="I150" s="16">
        <v>0.13095238095238099</v>
      </c>
      <c r="J150">
        <v>84</v>
      </c>
      <c r="K150" s="16">
        <v>1.1904761904761901E-2</v>
      </c>
      <c r="L150">
        <v>84</v>
      </c>
      <c r="M150" s="16">
        <v>0.38709677419354799</v>
      </c>
      <c r="N150">
        <v>124</v>
      </c>
      <c r="O150" s="16">
        <v>2.0833333333333301E-2</v>
      </c>
      <c r="P150">
        <v>48</v>
      </c>
      <c r="Q150" s="16">
        <v>0.39583333333333298</v>
      </c>
      <c r="R150">
        <v>48</v>
      </c>
      <c r="S150" s="16">
        <v>0.125</v>
      </c>
      <c r="T150">
        <v>48</v>
      </c>
      <c r="U150" s="16">
        <v>2.0833333333333301E-2</v>
      </c>
      <c r="V150">
        <v>48</v>
      </c>
      <c r="W150" s="16">
        <v>0.26865671641791</v>
      </c>
      <c r="X150">
        <v>134</v>
      </c>
      <c r="Y150" s="16">
        <v>8.3333333333333301E-2</v>
      </c>
      <c r="Z150">
        <v>36</v>
      </c>
      <c r="AA150" s="16">
        <v>0.38888888888888901</v>
      </c>
      <c r="AB150">
        <v>36</v>
      </c>
      <c r="AC150" s="16">
        <v>0.13888888888888901</v>
      </c>
      <c r="AD150">
        <v>36</v>
      </c>
      <c r="AE150" s="16"/>
      <c r="AF150" s="11"/>
    </row>
    <row r="151" spans="1:32" outlineLevel="1" x14ac:dyDescent="0.25">
      <c r="A151" s="6" t="s">
        <v>15</v>
      </c>
      <c r="B151" t="s">
        <v>138</v>
      </c>
      <c r="C151" s="16">
        <v>0.536082474226804</v>
      </c>
      <c r="D151">
        <v>97</v>
      </c>
      <c r="E151" s="16"/>
      <c r="G151" s="16">
        <v>0.92307692307692302</v>
      </c>
      <c r="H151">
        <v>52</v>
      </c>
      <c r="I151" s="16">
        <v>0.134615384615385</v>
      </c>
      <c r="J151">
        <v>52</v>
      </c>
      <c r="K151" s="16"/>
      <c r="M151" s="16">
        <v>0.5</v>
      </c>
      <c r="N151">
        <v>54</v>
      </c>
      <c r="O151" s="16"/>
      <c r="Q151" s="16">
        <v>0.92592592592592604</v>
      </c>
      <c r="R151">
        <v>27</v>
      </c>
      <c r="S151" s="16">
        <v>0.148148148148148</v>
      </c>
      <c r="T151">
        <v>27</v>
      </c>
      <c r="U151" s="16"/>
      <c r="W151" s="16">
        <v>0.581395348837209</v>
      </c>
      <c r="X151">
        <v>43</v>
      </c>
      <c r="Y151" s="16"/>
      <c r="AA151" s="16">
        <v>0.92</v>
      </c>
      <c r="AB151">
        <v>25</v>
      </c>
      <c r="AC151" s="16">
        <v>0.12</v>
      </c>
      <c r="AD151">
        <v>25</v>
      </c>
      <c r="AE151" s="16"/>
      <c r="AF151" s="11"/>
    </row>
    <row r="152" spans="1:32" outlineLevel="1" x14ac:dyDescent="0.25">
      <c r="A152" s="6" t="s">
        <v>15</v>
      </c>
      <c r="B152" t="s">
        <v>139</v>
      </c>
      <c r="C152" s="16">
        <v>0.39907801943004201</v>
      </c>
      <c r="D152">
        <v>1149</v>
      </c>
      <c r="E152" s="16">
        <v>0.17670893916160699</v>
      </c>
      <c r="F152">
        <v>389</v>
      </c>
      <c r="G152" s="16">
        <v>9.6980355065302198E-2</v>
      </c>
      <c r="H152">
        <v>387</v>
      </c>
      <c r="I152" s="16">
        <v>7.0643881075008505E-2</v>
      </c>
      <c r="J152">
        <v>387</v>
      </c>
      <c r="K152" s="16">
        <v>4.71550747476185E-2</v>
      </c>
      <c r="L152">
        <v>388</v>
      </c>
      <c r="M152" s="16">
        <v>0.43903115186349001</v>
      </c>
      <c r="N152">
        <v>607</v>
      </c>
      <c r="O152" s="16">
        <v>0.16114443254790201</v>
      </c>
      <c r="P152">
        <v>221</v>
      </c>
      <c r="Q152" s="16">
        <v>9.1733560032580902E-2</v>
      </c>
      <c r="R152">
        <v>220</v>
      </c>
      <c r="S152" s="16">
        <v>5.7197413002963098E-2</v>
      </c>
      <c r="T152">
        <v>221</v>
      </c>
      <c r="U152" s="16">
        <v>3.9134837813575199E-2</v>
      </c>
      <c r="V152">
        <v>221</v>
      </c>
      <c r="W152" s="16">
        <v>0.35383267889881997</v>
      </c>
      <c r="X152">
        <v>542</v>
      </c>
      <c r="Y152" s="16">
        <v>0.198579291578385</v>
      </c>
      <c r="Z152">
        <v>168</v>
      </c>
      <c r="AA152" s="16">
        <v>0.104382307799693</v>
      </c>
      <c r="AB152">
        <v>167</v>
      </c>
      <c r="AC152" s="16">
        <v>9.0073197359210294E-2</v>
      </c>
      <c r="AD152">
        <v>166</v>
      </c>
      <c r="AE152" s="16">
        <v>5.8582008676867997E-2</v>
      </c>
      <c r="AF152" s="11">
        <v>167</v>
      </c>
    </row>
    <row r="153" spans="1:32" outlineLevel="1" x14ac:dyDescent="0.25">
      <c r="A153" s="6" t="s">
        <v>15</v>
      </c>
      <c r="B153" t="s">
        <v>140</v>
      </c>
      <c r="C153" s="16">
        <v>0.83444536891897203</v>
      </c>
      <c r="D153">
        <v>2626</v>
      </c>
      <c r="E153" s="16">
        <v>3.3286860870706703E-2</v>
      </c>
      <c r="F153">
        <v>2069</v>
      </c>
      <c r="G153" s="16">
        <v>2.2832478347414701E-2</v>
      </c>
      <c r="H153">
        <v>2079</v>
      </c>
      <c r="I153" s="16">
        <v>3.8713168533986799E-3</v>
      </c>
      <c r="J153">
        <v>2077</v>
      </c>
      <c r="K153" s="16">
        <v>3.0127578050456899E-3</v>
      </c>
      <c r="L153">
        <v>2076</v>
      </c>
      <c r="M153" s="16">
        <v>0.82778436171467995</v>
      </c>
      <c r="N153">
        <v>1337</v>
      </c>
      <c r="O153" s="16">
        <v>3.1968738225471603E-2</v>
      </c>
      <c r="P153">
        <v>1054</v>
      </c>
      <c r="Q153" s="16">
        <v>1.6519906260482699E-2</v>
      </c>
      <c r="R153">
        <v>1056</v>
      </c>
      <c r="S153" s="16">
        <v>3.0556943856945599E-3</v>
      </c>
      <c r="T153">
        <v>1055</v>
      </c>
      <c r="U153" s="16">
        <v>4.6736360254261396E-3</v>
      </c>
      <c r="V153">
        <v>1054</v>
      </c>
      <c r="W153" s="16">
        <v>0.84138121252798603</v>
      </c>
      <c r="X153">
        <v>1288</v>
      </c>
      <c r="Y153" s="16">
        <v>3.46672678259385E-2</v>
      </c>
      <c r="Z153">
        <v>1014</v>
      </c>
      <c r="AA153" s="16">
        <v>2.93450679972166E-2</v>
      </c>
      <c r="AB153">
        <v>1022</v>
      </c>
      <c r="AC153" s="16">
        <v>4.7118492439526503E-3</v>
      </c>
      <c r="AD153">
        <v>1021</v>
      </c>
      <c r="AE153" s="16">
        <v>1.3089653300763901E-3</v>
      </c>
      <c r="AF153" s="11">
        <v>1021</v>
      </c>
    </row>
    <row r="154" spans="1:32" outlineLevel="1" x14ac:dyDescent="0.25">
      <c r="A154" s="6" t="s">
        <v>15</v>
      </c>
      <c r="B154" t="s">
        <v>141</v>
      </c>
      <c r="C154" s="16">
        <v>0.35474413831686702</v>
      </c>
      <c r="D154">
        <v>1866</v>
      </c>
      <c r="E154" s="16">
        <v>0.11087919528307499</v>
      </c>
      <c r="F154">
        <v>794</v>
      </c>
      <c r="G154" s="16">
        <v>0.11086832823975699</v>
      </c>
      <c r="H154">
        <v>795</v>
      </c>
      <c r="I154" s="16">
        <v>3.05274363954182E-2</v>
      </c>
      <c r="J154">
        <v>800</v>
      </c>
      <c r="K154" s="16">
        <v>3.20688854055396E-2</v>
      </c>
      <c r="L154">
        <v>785</v>
      </c>
      <c r="M154" s="16">
        <v>0.37480884574855899</v>
      </c>
      <c r="N154">
        <v>955</v>
      </c>
      <c r="O154" s="16">
        <v>0.119973753036999</v>
      </c>
      <c r="P154">
        <v>419</v>
      </c>
      <c r="Q154" s="16">
        <v>0.104199921828505</v>
      </c>
      <c r="R154">
        <v>422</v>
      </c>
      <c r="S154" s="16">
        <v>8.90977553354101E-3</v>
      </c>
      <c r="T154">
        <v>424</v>
      </c>
      <c r="U154" s="16">
        <v>2.6617200138990299E-2</v>
      </c>
      <c r="V154">
        <v>418</v>
      </c>
      <c r="W154" s="16">
        <v>0.333498825536928</v>
      </c>
      <c r="X154">
        <v>911</v>
      </c>
      <c r="Y154" s="16">
        <v>0.100190781508822</v>
      </c>
      <c r="Z154">
        <v>375</v>
      </c>
      <c r="AA154" s="16">
        <v>0.118800121991274</v>
      </c>
      <c r="AB154">
        <v>373</v>
      </c>
      <c r="AC154" s="16">
        <v>5.6307131063419898E-2</v>
      </c>
      <c r="AD154">
        <v>376</v>
      </c>
      <c r="AE154" s="16">
        <v>3.8552384344436599E-2</v>
      </c>
      <c r="AF154" s="11">
        <v>367</v>
      </c>
    </row>
    <row r="155" spans="1:32" outlineLevel="1" x14ac:dyDescent="0.25">
      <c r="A155" s="7" t="s">
        <v>15</v>
      </c>
      <c r="B155" s="9" t="s">
        <v>142</v>
      </c>
      <c r="C155" s="15">
        <v>0.76293213174779595</v>
      </c>
      <c r="D155" s="9">
        <v>206</v>
      </c>
      <c r="E155" s="15">
        <v>5.3837121885552397E-2</v>
      </c>
      <c r="F155" s="9">
        <v>147</v>
      </c>
      <c r="G155" s="15">
        <v>0.27098462351924302</v>
      </c>
      <c r="H155" s="9">
        <v>150</v>
      </c>
      <c r="I155" s="15">
        <v>2.5152296196674102E-2</v>
      </c>
      <c r="J155" s="9">
        <v>149</v>
      </c>
      <c r="K155" s="15">
        <v>7.9398273842487994E-3</v>
      </c>
      <c r="L155" s="9">
        <v>151</v>
      </c>
      <c r="M155" s="15">
        <v>0.81882539445097302</v>
      </c>
      <c r="N155" s="9">
        <v>106</v>
      </c>
      <c r="O155" s="15">
        <v>2.61628081178607E-2</v>
      </c>
      <c r="P155" s="9">
        <v>81</v>
      </c>
      <c r="Q155" s="15">
        <v>0.21082678735917901</v>
      </c>
      <c r="R155" s="9">
        <v>82</v>
      </c>
      <c r="S155" s="15">
        <v>2.82850010408639E-2</v>
      </c>
      <c r="T155" s="9">
        <v>82</v>
      </c>
      <c r="U155" s="15"/>
      <c r="V155" s="9"/>
      <c r="W155" s="15">
        <v>0.69584192306056103</v>
      </c>
      <c r="X155" s="9">
        <v>99</v>
      </c>
      <c r="Y155" s="15">
        <v>9.5172484369638904E-2</v>
      </c>
      <c r="Z155" s="9">
        <v>66</v>
      </c>
      <c r="AA155" s="15">
        <v>0.35625838531649201</v>
      </c>
      <c r="AB155" s="9">
        <v>68</v>
      </c>
      <c r="AC155" s="15">
        <v>2.0652330448461698E-2</v>
      </c>
      <c r="AD155" s="9">
        <v>67</v>
      </c>
      <c r="AE155" s="15">
        <v>1.9212209437863899E-2</v>
      </c>
      <c r="AF155" s="12">
        <v>68</v>
      </c>
    </row>
    <row r="156" spans="1:32" x14ac:dyDescent="0.25">
      <c r="C156" s="16"/>
      <c r="E156" s="16"/>
      <c r="G156" s="16"/>
      <c r="I156" s="16"/>
      <c r="K156" s="16"/>
      <c r="M156" s="16"/>
      <c r="O156" s="16"/>
      <c r="Q156" s="16"/>
      <c r="S156" s="16"/>
      <c r="U156" s="16"/>
      <c r="W156" s="16"/>
      <c r="Y156" s="16"/>
      <c r="AA156" s="16"/>
      <c r="AC156" s="16"/>
      <c r="AE156" s="16"/>
    </row>
    <row r="157" spans="1:32" x14ac:dyDescent="0.25">
      <c r="A157" s="19" t="s">
        <v>143</v>
      </c>
      <c r="B157" s="19"/>
      <c r="C157" s="20"/>
      <c r="D157" s="19"/>
      <c r="E157" s="20"/>
      <c r="F157" s="19"/>
      <c r="G157" s="20"/>
      <c r="H157" s="19"/>
      <c r="I157" s="20"/>
      <c r="J157" s="19"/>
      <c r="K157" s="20"/>
      <c r="L157" s="19"/>
      <c r="M157" s="20"/>
      <c r="N157" s="19"/>
      <c r="O157" s="20"/>
      <c r="P157" s="19"/>
      <c r="Q157" s="20"/>
      <c r="R157" s="19"/>
      <c r="S157" s="20"/>
      <c r="T157" s="19"/>
      <c r="U157" s="20"/>
      <c r="V157" s="19"/>
      <c r="W157" s="20"/>
      <c r="X157" s="19"/>
      <c r="Y157" s="20"/>
      <c r="Z157" s="19"/>
      <c r="AA157" s="20"/>
      <c r="AB157" s="19"/>
      <c r="AC157" s="20"/>
      <c r="AD157" s="19"/>
      <c r="AE157" s="20"/>
      <c r="AF157" s="19"/>
    </row>
    <row r="158" spans="1:32" outlineLevel="1" x14ac:dyDescent="0.25">
      <c r="A158" s="5" t="s">
        <v>15</v>
      </c>
      <c r="B158" s="8" t="s">
        <v>144</v>
      </c>
      <c r="C158" s="14">
        <v>0.30754971341902598</v>
      </c>
      <c r="D158" s="8">
        <v>538</v>
      </c>
      <c r="E158" s="14">
        <v>0.158291458200429</v>
      </c>
      <c r="F158" s="8">
        <v>202</v>
      </c>
      <c r="G158" s="14">
        <v>0.46252692918160998</v>
      </c>
      <c r="H158" s="8">
        <v>202</v>
      </c>
      <c r="I158" s="14">
        <v>7.1620454839937495E-2</v>
      </c>
      <c r="J158" s="8">
        <v>202</v>
      </c>
      <c r="K158" s="14">
        <v>1.0573559144561401E-2</v>
      </c>
      <c r="L158" s="8">
        <v>188</v>
      </c>
      <c r="M158" s="14">
        <v>0.29314864993867101</v>
      </c>
      <c r="N158" s="8">
        <v>254</v>
      </c>
      <c r="O158" s="14">
        <v>0.14938825141430101</v>
      </c>
      <c r="P158" s="8">
        <v>91</v>
      </c>
      <c r="Q158" s="14">
        <v>0.47256658539709201</v>
      </c>
      <c r="R158" s="8">
        <v>91</v>
      </c>
      <c r="S158" s="14">
        <v>7.3254025852705101E-2</v>
      </c>
      <c r="T158" s="8">
        <v>91</v>
      </c>
      <c r="U158" s="14"/>
      <c r="V158" s="8"/>
      <c r="W158" s="14">
        <v>0.31812613535994899</v>
      </c>
      <c r="X158" s="8">
        <v>283</v>
      </c>
      <c r="Y158" s="14">
        <v>0.16783623823233501</v>
      </c>
      <c r="Z158" s="8">
        <v>110</v>
      </c>
      <c r="AA158" s="14">
        <v>0.459713657199675</v>
      </c>
      <c r="AB158" s="8">
        <v>110</v>
      </c>
      <c r="AC158" s="14">
        <v>7.1117582436162299E-2</v>
      </c>
      <c r="AD158" s="8">
        <v>110</v>
      </c>
      <c r="AE158" s="14">
        <v>1.9799944614014801E-2</v>
      </c>
      <c r="AF158" s="10">
        <v>102</v>
      </c>
    </row>
    <row r="159" spans="1:32" outlineLevel="1" x14ac:dyDescent="0.25">
      <c r="A159" s="6" t="s">
        <v>15</v>
      </c>
      <c r="B159" t="s">
        <v>145</v>
      </c>
      <c r="C159" s="16">
        <v>0.43606095192808197</v>
      </c>
      <c r="D159">
        <v>1941</v>
      </c>
      <c r="E159" s="16">
        <v>0.14197447687259501</v>
      </c>
      <c r="F159">
        <v>1044</v>
      </c>
      <c r="G159" s="16">
        <v>9.1480203396531096E-2</v>
      </c>
      <c r="H159">
        <v>1044</v>
      </c>
      <c r="I159" s="16">
        <v>9.5486439893098296E-2</v>
      </c>
      <c r="J159">
        <v>1039</v>
      </c>
      <c r="K159" s="16">
        <v>0.138094103816465</v>
      </c>
      <c r="L159">
        <v>1022</v>
      </c>
      <c r="M159" s="16">
        <v>0.43541294791769902</v>
      </c>
      <c r="N159">
        <v>948</v>
      </c>
      <c r="O159" s="16">
        <v>0.16695030472004199</v>
      </c>
      <c r="P159">
        <v>511</v>
      </c>
      <c r="Q159" s="16">
        <v>8.2951855387093001E-2</v>
      </c>
      <c r="R159">
        <v>509</v>
      </c>
      <c r="S159" s="16">
        <v>6.5237557011276204E-2</v>
      </c>
      <c r="T159">
        <v>507</v>
      </c>
      <c r="U159" s="16">
        <v>0.124817879262618</v>
      </c>
      <c r="V159">
        <v>499</v>
      </c>
      <c r="W159" s="16">
        <v>0.43712921772222102</v>
      </c>
      <c r="X159">
        <v>990</v>
      </c>
      <c r="Y159" s="16">
        <v>0.118294160765576</v>
      </c>
      <c r="Z159">
        <v>532</v>
      </c>
      <c r="AA159" s="16">
        <v>9.9208972184505806E-2</v>
      </c>
      <c r="AB159">
        <v>534</v>
      </c>
      <c r="AC159" s="16">
        <v>0.122731488159838</v>
      </c>
      <c r="AD159">
        <v>531</v>
      </c>
      <c r="AE159" s="16">
        <v>0.150241685795521</v>
      </c>
      <c r="AF159" s="11">
        <v>522</v>
      </c>
    </row>
    <row r="160" spans="1:32" outlineLevel="1" x14ac:dyDescent="0.25">
      <c r="A160" s="6" t="s">
        <v>15</v>
      </c>
      <c r="B160" t="s">
        <v>146</v>
      </c>
      <c r="C160" s="16">
        <v>0.44274809160305301</v>
      </c>
      <c r="D160">
        <v>262</v>
      </c>
      <c r="E160" s="16"/>
      <c r="G160" s="16">
        <v>0.65517241379310298</v>
      </c>
      <c r="H160">
        <v>116</v>
      </c>
      <c r="I160" s="16">
        <v>0.11206896551724101</v>
      </c>
      <c r="J160">
        <v>116</v>
      </c>
      <c r="K160" s="16">
        <v>8.6206896551724102E-3</v>
      </c>
      <c r="L160">
        <v>116</v>
      </c>
      <c r="M160" s="16">
        <v>0.49253731343283602</v>
      </c>
      <c r="N160">
        <v>134</v>
      </c>
      <c r="O160" s="16"/>
      <c r="Q160" s="16">
        <v>0.62121212121212099</v>
      </c>
      <c r="R160">
        <v>66</v>
      </c>
      <c r="S160" s="16">
        <v>9.0909090909090898E-2</v>
      </c>
      <c r="T160">
        <v>66</v>
      </c>
      <c r="U160" s="16">
        <v>1.5151515151515201E-2</v>
      </c>
      <c r="V160">
        <v>66</v>
      </c>
      <c r="W160" s="16">
        <v>0.390625</v>
      </c>
      <c r="X160">
        <v>128</v>
      </c>
      <c r="Y160" s="16"/>
      <c r="AA160" s="16">
        <v>0.7</v>
      </c>
      <c r="AB160">
        <v>50</v>
      </c>
      <c r="AC160" s="16">
        <v>0.14000000000000001</v>
      </c>
      <c r="AD160">
        <v>50</v>
      </c>
      <c r="AE160" s="16"/>
      <c r="AF160" s="11"/>
    </row>
    <row r="161" spans="1:32" outlineLevel="1" x14ac:dyDescent="0.25">
      <c r="A161" s="6" t="s">
        <v>15</v>
      </c>
      <c r="B161" t="s">
        <v>147</v>
      </c>
      <c r="C161" s="16">
        <v>0.21276595744680901</v>
      </c>
      <c r="D161">
        <v>94</v>
      </c>
      <c r="E161" s="16">
        <v>0.2</v>
      </c>
      <c r="F161">
        <v>20</v>
      </c>
      <c r="G161" s="16">
        <v>0.25</v>
      </c>
      <c r="H161">
        <v>20</v>
      </c>
      <c r="I161" s="16">
        <v>0.25</v>
      </c>
      <c r="J161">
        <v>20</v>
      </c>
      <c r="K161" s="16"/>
      <c r="M161" s="16">
        <v>0.204545454545455</v>
      </c>
      <c r="N161">
        <v>44</v>
      </c>
      <c r="O161" s="16">
        <v>0.11111111111111099</v>
      </c>
      <c r="P161">
        <v>9</v>
      </c>
      <c r="Q161" s="16">
        <v>0.33333333333333298</v>
      </c>
      <c r="R161">
        <v>9</v>
      </c>
      <c r="S161" s="16">
        <v>0.44444444444444398</v>
      </c>
      <c r="T161">
        <v>9</v>
      </c>
      <c r="U161" s="16"/>
      <c r="W161" s="16">
        <v>0.22448979591836701</v>
      </c>
      <c r="X161">
        <v>49</v>
      </c>
      <c r="Y161" s="16">
        <v>0.27272727272727298</v>
      </c>
      <c r="Z161">
        <v>11</v>
      </c>
      <c r="AA161" s="16">
        <v>0.18181818181818199</v>
      </c>
      <c r="AB161">
        <v>11</v>
      </c>
      <c r="AC161" s="16">
        <v>9.0909090909090898E-2</v>
      </c>
      <c r="AD161">
        <v>11</v>
      </c>
      <c r="AE161" s="16"/>
      <c r="AF161" s="11"/>
    </row>
    <row r="162" spans="1:32" outlineLevel="1" x14ac:dyDescent="0.25">
      <c r="A162" s="6" t="s">
        <v>15</v>
      </c>
      <c r="B162" t="s">
        <v>148</v>
      </c>
      <c r="C162" s="16">
        <v>0.72574836716852398</v>
      </c>
      <c r="D162">
        <v>1055</v>
      </c>
      <c r="E162" s="16">
        <v>4.2588546318180098E-2</v>
      </c>
      <c r="F162">
        <v>660</v>
      </c>
      <c r="G162" s="16">
        <v>9.8105224031051305E-2</v>
      </c>
      <c r="H162">
        <v>661</v>
      </c>
      <c r="I162" s="16">
        <v>2.08126173197914E-2</v>
      </c>
      <c r="J162">
        <v>659</v>
      </c>
      <c r="K162" s="16">
        <v>1.1351325711715E-2</v>
      </c>
      <c r="L162">
        <v>658</v>
      </c>
      <c r="M162" s="16">
        <v>0.71143379869432299</v>
      </c>
      <c r="N162">
        <v>569</v>
      </c>
      <c r="O162" s="16">
        <v>3.71164320863503E-2</v>
      </c>
      <c r="P162">
        <v>349</v>
      </c>
      <c r="Q162" s="16">
        <v>7.6128190211514901E-2</v>
      </c>
      <c r="R162">
        <v>349</v>
      </c>
      <c r="S162" s="16">
        <v>1.7839662391793801E-2</v>
      </c>
      <c r="T162">
        <v>348</v>
      </c>
      <c r="U162" s="16">
        <v>1.1715329592025901E-2</v>
      </c>
      <c r="V162">
        <v>347</v>
      </c>
      <c r="W162" s="16">
        <v>0.74310672436508796</v>
      </c>
      <c r="X162">
        <v>486</v>
      </c>
      <c r="Y162" s="16">
        <v>4.9002656933054098E-2</v>
      </c>
      <c r="Z162">
        <v>311</v>
      </c>
      <c r="AA162" s="16">
        <v>0.123676279035417</v>
      </c>
      <c r="AB162">
        <v>312</v>
      </c>
      <c r="AC162" s="16">
        <v>2.4291653217882701E-2</v>
      </c>
      <c r="AD162">
        <v>311</v>
      </c>
      <c r="AE162" s="16">
        <v>1.0926940639833099E-2</v>
      </c>
      <c r="AF162" s="11">
        <v>311</v>
      </c>
    </row>
    <row r="163" spans="1:32" outlineLevel="1" x14ac:dyDescent="0.25">
      <c r="A163" s="6" t="s">
        <v>15</v>
      </c>
      <c r="B163" t="s">
        <v>149</v>
      </c>
      <c r="C163" s="16">
        <v>0.73916748960626699</v>
      </c>
      <c r="D163">
        <v>2720</v>
      </c>
      <c r="E163" s="16">
        <v>5.3836021459156003E-2</v>
      </c>
      <c r="F163">
        <v>1798</v>
      </c>
      <c r="G163" s="16">
        <v>1.0539903431502301E-2</v>
      </c>
      <c r="H163">
        <v>1805</v>
      </c>
      <c r="I163" s="16">
        <v>9.1964378943703191E-3</v>
      </c>
      <c r="J163">
        <v>1805</v>
      </c>
      <c r="K163" s="16">
        <v>7.5008206359831603E-3</v>
      </c>
      <c r="L163">
        <v>1806</v>
      </c>
      <c r="M163" s="16">
        <v>0.74653043045247502</v>
      </c>
      <c r="N163">
        <v>1375</v>
      </c>
      <c r="O163" s="16">
        <v>5.4504314530676799E-2</v>
      </c>
      <c r="P163">
        <v>926</v>
      </c>
      <c r="Q163" s="16">
        <v>1.0219845970477899E-2</v>
      </c>
      <c r="R163">
        <v>927</v>
      </c>
      <c r="S163" s="16">
        <v>8.1531713135259906E-3</v>
      </c>
      <c r="T163">
        <v>928</v>
      </c>
      <c r="U163" s="16">
        <v>8.7369855711725009E-3</v>
      </c>
      <c r="V163">
        <v>928</v>
      </c>
      <c r="W163" s="16">
        <v>0.73148281488817701</v>
      </c>
      <c r="X163">
        <v>1344</v>
      </c>
      <c r="Y163" s="16">
        <v>5.3173507248408802E-2</v>
      </c>
      <c r="Z163">
        <v>871</v>
      </c>
      <c r="AA163" s="16">
        <v>1.0879877780175099E-2</v>
      </c>
      <c r="AB163">
        <v>877</v>
      </c>
      <c r="AC163" s="16">
        <v>1.0288346132915901E-2</v>
      </c>
      <c r="AD163">
        <v>876</v>
      </c>
      <c r="AE163" s="16">
        <v>6.2211776062775998E-3</v>
      </c>
      <c r="AF163" s="11">
        <v>877</v>
      </c>
    </row>
    <row r="164" spans="1:32" outlineLevel="1" x14ac:dyDescent="0.25">
      <c r="A164" s="6" t="s">
        <v>15</v>
      </c>
      <c r="B164" t="s">
        <v>150</v>
      </c>
      <c r="C164" s="16">
        <v>0.44348012958916799</v>
      </c>
      <c r="D164">
        <v>628</v>
      </c>
      <c r="E164" s="16">
        <v>7.3081713617699107E-2</v>
      </c>
      <c r="F164">
        <v>259</v>
      </c>
      <c r="G164" s="16">
        <v>0.26899418259403302</v>
      </c>
      <c r="H164">
        <v>265</v>
      </c>
      <c r="I164" s="16">
        <v>3.3732747162200899E-2</v>
      </c>
      <c r="J164">
        <v>265</v>
      </c>
      <c r="K164" s="16">
        <v>6.8642735190329101E-3</v>
      </c>
      <c r="L164">
        <v>267</v>
      </c>
      <c r="M164" s="16">
        <v>0.47822777845291498</v>
      </c>
      <c r="N164">
        <v>325</v>
      </c>
      <c r="O164" s="16">
        <v>7.98622109377332E-2</v>
      </c>
      <c r="P164">
        <v>145</v>
      </c>
      <c r="Q164" s="16">
        <v>0.243870744245129</v>
      </c>
      <c r="R164">
        <v>148</v>
      </c>
      <c r="S164" s="16">
        <v>1.2244772302613499E-2</v>
      </c>
      <c r="T164">
        <v>149</v>
      </c>
      <c r="U164" s="16">
        <v>1.1863680891782099E-2</v>
      </c>
      <c r="V164">
        <v>150</v>
      </c>
      <c r="W164" s="16">
        <v>0.405216031482796</v>
      </c>
      <c r="X164">
        <v>303</v>
      </c>
      <c r="Y164" s="16">
        <v>6.4247576646890098E-2</v>
      </c>
      <c r="Z164">
        <v>114</v>
      </c>
      <c r="AA164" s="16">
        <v>0.30136939508369598</v>
      </c>
      <c r="AB164">
        <v>117</v>
      </c>
      <c r="AC164" s="16">
        <v>6.2205502269748199E-2</v>
      </c>
      <c r="AD164">
        <v>116</v>
      </c>
      <c r="AE164" s="16">
        <v>2.6523048743113498E-4</v>
      </c>
      <c r="AF164" s="11">
        <v>117</v>
      </c>
    </row>
    <row r="165" spans="1:32" outlineLevel="1" x14ac:dyDescent="0.25">
      <c r="A165" s="7" t="s">
        <v>15</v>
      </c>
      <c r="B165" s="9" t="s">
        <v>151</v>
      </c>
      <c r="C165" s="15">
        <v>0.35901145475966501</v>
      </c>
      <c r="D165" s="9">
        <v>1444</v>
      </c>
      <c r="E165" s="15">
        <v>0.11652668232491201</v>
      </c>
      <c r="F165" s="9">
        <v>682</v>
      </c>
      <c r="G165" s="15">
        <v>7.1479988785657395E-2</v>
      </c>
      <c r="H165" s="9">
        <v>680</v>
      </c>
      <c r="I165" s="15">
        <v>2.8122358679382699E-2</v>
      </c>
      <c r="J165" s="9">
        <v>684</v>
      </c>
      <c r="K165" s="15">
        <v>3.8765050851013803E-2</v>
      </c>
      <c r="L165" s="9">
        <v>669</v>
      </c>
      <c r="M165" s="15">
        <v>0.378736144531514</v>
      </c>
      <c r="N165" s="9">
        <v>736</v>
      </c>
      <c r="O165" s="15">
        <v>0.118873801206552</v>
      </c>
      <c r="P165" s="9">
        <v>355</v>
      </c>
      <c r="Q165" s="15">
        <v>6.2080849470018303E-2</v>
      </c>
      <c r="R165" s="9">
        <v>356</v>
      </c>
      <c r="S165" s="15">
        <v>1.12572118527805E-2</v>
      </c>
      <c r="T165" s="9">
        <v>357</v>
      </c>
      <c r="U165" s="15">
        <v>2.80604542534185E-2</v>
      </c>
      <c r="V165" s="9">
        <v>351</v>
      </c>
      <c r="W165" s="15">
        <v>0.33819410011853202</v>
      </c>
      <c r="X165" s="9">
        <v>707</v>
      </c>
      <c r="Y165" s="15">
        <v>0.1137696600147</v>
      </c>
      <c r="Z165" s="9">
        <v>327</v>
      </c>
      <c r="AA165" s="15">
        <v>8.2636118367392597E-2</v>
      </c>
      <c r="AB165" s="9">
        <v>324</v>
      </c>
      <c r="AC165" s="15">
        <v>4.7989891108976598E-2</v>
      </c>
      <c r="AD165" s="9">
        <v>327</v>
      </c>
      <c r="AE165" s="15">
        <v>5.1331311624114501E-2</v>
      </c>
      <c r="AF165" s="12">
        <v>318</v>
      </c>
    </row>
    <row r="166" spans="1:32" x14ac:dyDescent="0.25">
      <c r="C166" s="16"/>
      <c r="E166" s="16"/>
      <c r="G166" s="16"/>
      <c r="I166" s="16"/>
      <c r="K166" s="16"/>
      <c r="M166" s="16"/>
      <c r="O166" s="16"/>
      <c r="Q166" s="16"/>
      <c r="S166" s="16"/>
      <c r="U166" s="16"/>
      <c r="W166" s="16"/>
      <c r="Y166" s="16"/>
      <c r="AA166" s="16"/>
      <c r="AC166" s="16"/>
      <c r="AE166" s="16"/>
    </row>
    <row r="167" spans="1:32" x14ac:dyDescent="0.25">
      <c r="A167" s="19" t="s">
        <v>152</v>
      </c>
      <c r="B167" s="19"/>
      <c r="C167" s="20"/>
      <c r="D167" s="19"/>
      <c r="E167" s="20"/>
      <c r="F167" s="19"/>
      <c r="G167" s="20"/>
      <c r="H167" s="19"/>
      <c r="I167" s="20"/>
      <c r="J167" s="19"/>
      <c r="K167" s="20"/>
      <c r="L167" s="19"/>
      <c r="M167" s="20"/>
      <c r="N167" s="19"/>
      <c r="O167" s="20"/>
      <c r="P167" s="19"/>
      <c r="Q167" s="20"/>
      <c r="R167" s="19"/>
      <c r="S167" s="20"/>
      <c r="T167" s="19"/>
      <c r="U167" s="20"/>
      <c r="V167" s="19"/>
      <c r="W167" s="20"/>
      <c r="X167" s="19"/>
      <c r="Y167" s="20"/>
      <c r="Z167" s="19"/>
      <c r="AA167" s="20"/>
      <c r="AB167" s="19"/>
      <c r="AC167" s="20"/>
      <c r="AD167" s="19"/>
      <c r="AE167" s="20"/>
      <c r="AF167" s="19"/>
    </row>
    <row r="168" spans="1:32" outlineLevel="1" x14ac:dyDescent="0.25">
      <c r="A168" s="5" t="s">
        <v>15</v>
      </c>
      <c r="B168" s="8" t="s">
        <v>153</v>
      </c>
      <c r="C168" s="14">
        <v>0.388948685864271</v>
      </c>
      <c r="D168" s="8">
        <v>180</v>
      </c>
      <c r="E168" s="14">
        <v>6.2728971459150101E-2</v>
      </c>
      <c r="F168" s="8">
        <v>94</v>
      </c>
      <c r="G168" s="14">
        <v>0.18964341044633601</v>
      </c>
      <c r="H168" s="8">
        <v>94</v>
      </c>
      <c r="I168" s="14">
        <v>6.0815629945281703E-2</v>
      </c>
      <c r="J168" s="8">
        <v>94</v>
      </c>
      <c r="K168" s="14">
        <v>0.16159829830981001</v>
      </c>
      <c r="L168" s="8">
        <v>90</v>
      </c>
      <c r="M168" s="14">
        <v>0.401690184263443</v>
      </c>
      <c r="N168" s="8">
        <v>83</v>
      </c>
      <c r="O168" s="14">
        <v>2.17487544954163E-2</v>
      </c>
      <c r="P168" s="8">
        <v>44</v>
      </c>
      <c r="Q168" s="14">
        <v>0.15286614169871701</v>
      </c>
      <c r="R168" s="8">
        <v>44</v>
      </c>
      <c r="S168" s="14">
        <v>3.9155667760644802E-2</v>
      </c>
      <c r="T168" s="8">
        <v>44</v>
      </c>
      <c r="U168" s="14">
        <v>0.28071881719035102</v>
      </c>
      <c r="V168" s="8">
        <v>43</v>
      </c>
      <c r="W168" s="14">
        <v>0.37717605870910598</v>
      </c>
      <c r="X168" s="8">
        <v>97</v>
      </c>
      <c r="Y168" s="14">
        <v>0.103053958886186</v>
      </c>
      <c r="Z168" s="8">
        <v>50</v>
      </c>
      <c r="AA168" s="14">
        <v>0.22583265027298099</v>
      </c>
      <c r="AB168" s="8">
        <v>50</v>
      </c>
      <c r="AC168" s="14">
        <v>8.2129272660705202E-2</v>
      </c>
      <c r="AD168" s="8">
        <v>50</v>
      </c>
      <c r="AE168" s="14">
        <v>3.9064655166434703E-2</v>
      </c>
      <c r="AF168" s="10">
        <v>47</v>
      </c>
    </row>
    <row r="169" spans="1:32" outlineLevel="1" x14ac:dyDescent="0.25">
      <c r="A169" s="6" t="s">
        <v>15</v>
      </c>
      <c r="B169" t="s">
        <v>154</v>
      </c>
      <c r="C169" s="16">
        <v>0.42018211170278003</v>
      </c>
      <c r="D169">
        <v>806</v>
      </c>
      <c r="E169" s="16">
        <v>0.14059220645682599</v>
      </c>
      <c r="F169">
        <v>418</v>
      </c>
      <c r="G169" s="16">
        <v>0.12635747791371299</v>
      </c>
      <c r="H169">
        <v>417</v>
      </c>
      <c r="I169" s="16">
        <v>7.6314957761912494E-2</v>
      </c>
      <c r="J169">
        <v>413</v>
      </c>
      <c r="K169" s="16">
        <v>9.35589470919726E-2</v>
      </c>
      <c r="L169">
        <v>400</v>
      </c>
      <c r="M169" s="16">
        <v>0.38441886845018203</v>
      </c>
      <c r="N169">
        <v>406</v>
      </c>
      <c r="O169" s="16">
        <v>0.17090848718048099</v>
      </c>
      <c r="P169">
        <v>198</v>
      </c>
      <c r="Q169" s="16">
        <v>0.13408844352216001</v>
      </c>
      <c r="R169">
        <v>196</v>
      </c>
      <c r="S169" s="16">
        <v>4.6467572425412898E-2</v>
      </c>
      <c r="T169">
        <v>195</v>
      </c>
      <c r="U169" s="16">
        <v>6.77214972926721E-2</v>
      </c>
      <c r="V169">
        <v>190</v>
      </c>
      <c r="W169" s="16">
        <v>0.45299280939091302</v>
      </c>
      <c r="X169">
        <v>398</v>
      </c>
      <c r="Y169" s="16">
        <v>0.117238756499559</v>
      </c>
      <c r="Z169">
        <v>219</v>
      </c>
      <c r="AA169" s="16">
        <v>0.12105768905408799</v>
      </c>
      <c r="AB169">
        <v>220</v>
      </c>
      <c r="AC169" s="16">
        <v>0.100580768166648</v>
      </c>
      <c r="AD169">
        <v>217</v>
      </c>
      <c r="AE169" s="16">
        <v>0.115289983818508</v>
      </c>
      <c r="AF169" s="11">
        <v>209</v>
      </c>
    </row>
    <row r="170" spans="1:32" outlineLevel="1" x14ac:dyDescent="0.25">
      <c r="A170" s="6" t="s">
        <v>15</v>
      </c>
      <c r="B170" t="s">
        <v>155</v>
      </c>
      <c r="C170" s="16">
        <v>0.44860927594354499</v>
      </c>
      <c r="D170">
        <v>953</v>
      </c>
      <c r="E170" s="16">
        <v>0.17102172628274201</v>
      </c>
      <c r="F170">
        <v>542</v>
      </c>
      <c r="G170" s="16">
        <v>0.15734026662835501</v>
      </c>
      <c r="H170">
        <v>542</v>
      </c>
      <c r="I170" s="16">
        <v>0.10764583974259</v>
      </c>
      <c r="J170">
        <v>543</v>
      </c>
      <c r="K170" s="16">
        <v>0.142753969414078</v>
      </c>
      <c r="L170">
        <v>536</v>
      </c>
      <c r="M170" s="16">
        <v>0.45807207449612503</v>
      </c>
      <c r="N170">
        <v>438</v>
      </c>
      <c r="O170" s="16">
        <v>0.18479396700371301</v>
      </c>
      <c r="P170">
        <v>256</v>
      </c>
      <c r="Q170" s="16">
        <v>0.14287163259042501</v>
      </c>
      <c r="R170">
        <v>256</v>
      </c>
      <c r="S170" s="16">
        <v>8.1764840630719801E-2</v>
      </c>
      <c r="T170">
        <v>256</v>
      </c>
      <c r="U170" s="16">
        <v>0.133085549946966</v>
      </c>
      <c r="V170">
        <v>252</v>
      </c>
      <c r="W170" s="16">
        <v>0.44073359475853802</v>
      </c>
      <c r="X170">
        <v>513</v>
      </c>
      <c r="Y170" s="16">
        <v>0.15659482460086099</v>
      </c>
      <c r="Z170">
        <v>285</v>
      </c>
      <c r="AA170" s="16">
        <v>0.17062353007458</v>
      </c>
      <c r="AB170">
        <v>285</v>
      </c>
      <c r="AC170" s="16">
        <v>0.13085911414096499</v>
      </c>
      <c r="AD170">
        <v>286</v>
      </c>
      <c r="AE170" s="16">
        <v>0.15161860086659801</v>
      </c>
      <c r="AF170" s="11">
        <v>283</v>
      </c>
    </row>
    <row r="171" spans="1:32" outlineLevel="1" x14ac:dyDescent="0.25">
      <c r="A171" s="6" t="s">
        <v>15</v>
      </c>
      <c r="B171" t="s">
        <v>156</v>
      </c>
      <c r="C171" s="16">
        <v>0.30739041589402299</v>
      </c>
      <c r="D171">
        <v>540</v>
      </c>
      <c r="E171" s="16">
        <v>0.124270121483826</v>
      </c>
      <c r="F171">
        <v>192</v>
      </c>
      <c r="G171" s="16">
        <v>0.21448182234108201</v>
      </c>
      <c r="H171">
        <v>193</v>
      </c>
      <c r="I171" s="16">
        <v>9.3644105288119894E-2</v>
      </c>
      <c r="J171">
        <v>191</v>
      </c>
      <c r="K171" s="16">
        <v>6.51791553182232E-2</v>
      </c>
      <c r="L171">
        <v>184</v>
      </c>
      <c r="M171" s="16">
        <v>0.32636017947364798</v>
      </c>
      <c r="N171">
        <v>275</v>
      </c>
      <c r="O171" s="16">
        <v>0.16761402561157199</v>
      </c>
      <c r="P171">
        <v>104</v>
      </c>
      <c r="Q171" s="16">
        <v>0.203846191730156</v>
      </c>
      <c r="R171">
        <v>104</v>
      </c>
      <c r="S171" s="16">
        <v>8.0012442372966799E-2</v>
      </c>
      <c r="T171">
        <v>103</v>
      </c>
      <c r="U171" s="16">
        <v>7.1252742992254803E-3</v>
      </c>
      <c r="V171">
        <v>99</v>
      </c>
      <c r="W171" s="16">
        <v>0.28959702431460899</v>
      </c>
      <c r="X171">
        <v>265</v>
      </c>
      <c r="Y171" s="16">
        <v>7.7324896391489706E-2</v>
      </c>
      <c r="Z171">
        <v>88</v>
      </c>
      <c r="AA171" s="16">
        <v>0.225724328434422</v>
      </c>
      <c r="AB171">
        <v>89</v>
      </c>
      <c r="AC171" s="16">
        <v>0.108316620305481</v>
      </c>
      <c r="AD171">
        <v>88</v>
      </c>
      <c r="AE171" s="16">
        <v>0.126668814794441</v>
      </c>
      <c r="AF171" s="11">
        <v>85</v>
      </c>
    </row>
    <row r="172" spans="1:32" outlineLevel="1" x14ac:dyDescent="0.25">
      <c r="A172" s="6" t="s">
        <v>15</v>
      </c>
      <c r="B172" t="s">
        <v>157</v>
      </c>
      <c r="C172" s="16">
        <v>0.217391304347826</v>
      </c>
      <c r="D172">
        <v>23</v>
      </c>
      <c r="E172" s="16">
        <v>0.2</v>
      </c>
      <c r="F172">
        <v>5</v>
      </c>
      <c r="G172" s="16">
        <v>0.4</v>
      </c>
      <c r="H172">
        <v>5</v>
      </c>
      <c r="I172" s="16"/>
      <c r="K172" s="16"/>
      <c r="M172" s="16">
        <v>0.11111111111111099</v>
      </c>
      <c r="N172">
        <v>9</v>
      </c>
      <c r="O172" s="16"/>
      <c r="Q172" s="16"/>
      <c r="S172" s="16"/>
      <c r="U172" s="16"/>
      <c r="W172" s="16">
        <v>0.30769230769230799</v>
      </c>
      <c r="X172">
        <v>13</v>
      </c>
      <c r="Y172" s="16">
        <v>0.25</v>
      </c>
      <c r="Z172">
        <v>4</v>
      </c>
      <c r="AA172" s="16">
        <v>0.5</v>
      </c>
      <c r="AB172">
        <v>4</v>
      </c>
      <c r="AC172" s="16"/>
      <c r="AE172" s="16"/>
      <c r="AF172" s="11"/>
    </row>
    <row r="173" spans="1:32" outlineLevel="1" x14ac:dyDescent="0.25">
      <c r="A173" s="6" t="s">
        <v>15</v>
      </c>
      <c r="B173" t="s">
        <v>158</v>
      </c>
      <c r="C173" s="16">
        <v>0.4</v>
      </c>
      <c r="D173">
        <v>120</v>
      </c>
      <c r="E173" s="16"/>
      <c r="G173" s="16">
        <v>0.66666666666666696</v>
      </c>
      <c r="H173">
        <v>48</v>
      </c>
      <c r="I173" s="16">
        <v>0.14583333333333301</v>
      </c>
      <c r="J173">
        <v>48</v>
      </c>
      <c r="K173" s="16"/>
      <c r="M173" s="16">
        <v>0.42857142857142899</v>
      </c>
      <c r="N173">
        <v>63</v>
      </c>
      <c r="O173" s="16"/>
      <c r="Q173" s="16">
        <v>0.66666666666666696</v>
      </c>
      <c r="R173">
        <v>27</v>
      </c>
      <c r="S173" s="16">
        <v>7.4074074074074098E-2</v>
      </c>
      <c r="T173">
        <v>27</v>
      </c>
      <c r="U173" s="16"/>
      <c r="W173" s="16">
        <v>0.36842105263157898</v>
      </c>
      <c r="X173">
        <v>57</v>
      </c>
      <c r="Y173" s="16"/>
      <c r="AA173" s="16">
        <v>0.66666666666666696</v>
      </c>
      <c r="AB173">
        <v>21</v>
      </c>
      <c r="AC173" s="16">
        <v>0.238095238095238</v>
      </c>
      <c r="AD173">
        <v>21</v>
      </c>
      <c r="AE173" s="16"/>
      <c r="AF173" s="11"/>
    </row>
    <row r="174" spans="1:32" outlineLevel="1" x14ac:dyDescent="0.25">
      <c r="A174" s="6" t="s">
        <v>15</v>
      </c>
      <c r="B174" t="s">
        <v>159</v>
      </c>
      <c r="C174" s="16">
        <v>0.39860139860139898</v>
      </c>
      <c r="D174">
        <v>143</v>
      </c>
      <c r="E174" s="16">
        <v>5.2631578947368397E-2</v>
      </c>
      <c r="F174">
        <v>57</v>
      </c>
      <c r="G174" s="16">
        <v>0.50877192982456099</v>
      </c>
      <c r="H174">
        <v>57</v>
      </c>
      <c r="I174" s="16">
        <v>0.12280701754386</v>
      </c>
      <c r="J174">
        <v>57</v>
      </c>
      <c r="K174" s="16">
        <v>1.7543859649122799E-2</v>
      </c>
      <c r="L174">
        <v>57</v>
      </c>
      <c r="M174" s="16">
        <v>0.5</v>
      </c>
      <c r="N174">
        <v>72</v>
      </c>
      <c r="O174" s="16">
        <v>2.7777777777777801E-2</v>
      </c>
      <c r="P174">
        <v>36</v>
      </c>
      <c r="Q174" s="16">
        <v>0.5</v>
      </c>
      <c r="R174">
        <v>36</v>
      </c>
      <c r="S174" s="16">
        <v>0.16666666666666699</v>
      </c>
      <c r="T174">
        <v>36</v>
      </c>
      <c r="U174" s="16">
        <v>2.7777777777777801E-2</v>
      </c>
      <c r="V174">
        <v>36</v>
      </c>
      <c r="W174" s="16">
        <v>0.29577464788732399</v>
      </c>
      <c r="X174">
        <v>71</v>
      </c>
      <c r="Y174" s="16">
        <v>9.5238095238095205E-2</v>
      </c>
      <c r="Z174">
        <v>21</v>
      </c>
      <c r="AA174" s="16">
        <v>0.52380952380952395</v>
      </c>
      <c r="AB174">
        <v>21</v>
      </c>
      <c r="AC174" s="16">
        <v>4.7619047619047603E-2</v>
      </c>
      <c r="AD174">
        <v>21</v>
      </c>
      <c r="AE174" s="16"/>
      <c r="AF174" s="11"/>
    </row>
    <row r="175" spans="1:32" outlineLevel="1" x14ac:dyDescent="0.25">
      <c r="A175" s="6" t="s">
        <v>15</v>
      </c>
      <c r="B175" t="s">
        <v>160</v>
      </c>
      <c r="C175" s="16">
        <v>0.371428571428571</v>
      </c>
      <c r="D175">
        <v>70</v>
      </c>
      <c r="E175" s="16"/>
      <c r="G175" s="16">
        <v>0.69230769230769196</v>
      </c>
      <c r="H175">
        <v>26</v>
      </c>
      <c r="I175" s="16">
        <v>0.15384615384615399</v>
      </c>
      <c r="J175">
        <v>26</v>
      </c>
      <c r="K175" s="16"/>
      <c r="M175" s="16">
        <v>0.32352941176470601</v>
      </c>
      <c r="N175">
        <v>34</v>
      </c>
      <c r="O175" s="16"/>
      <c r="Q175" s="16">
        <v>0.72727272727272696</v>
      </c>
      <c r="R175">
        <v>11</v>
      </c>
      <c r="S175" s="16">
        <v>0.18181818181818199</v>
      </c>
      <c r="T175">
        <v>11</v>
      </c>
      <c r="U175" s="16"/>
      <c r="W175" s="16">
        <v>0.41666666666666702</v>
      </c>
      <c r="X175">
        <v>36</v>
      </c>
      <c r="Y175" s="16"/>
      <c r="AA175" s="16">
        <v>0.66666666666666696</v>
      </c>
      <c r="AB175">
        <v>15</v>
      </c>
      <c r="AC175" s="16">
        <v>0.133333333333333</v>
      </c>
      <c r="AD175">
        <v>15</v>
      </c>
      <c r="AE175" s="16"/>
      <c r="AF175" s="11"/>
    </row>
    <row r="176" spans="1:32" outlineLevel="1" x14ac:dyDescent="0.25">
      <c r="A176" s="6" t="s">
        <v>15</v>
      </c>
      <c r="B176" t="s">
        <v>161</v>
      </c>
      <c r="C176" s="16">
        <v>0.77160248409225496</v>
      </c>
      <c r="D176">
        <v>263</v>
      </c>
      <c r="E176" s="16">
        <v>3.9107295231502998E-2</v>
      </c>
      <c r="F176">
        <v>182</v>
      </c>
      <c r="G176" s="16">
        <v>2.22347171917535E-2</v>
      </c>
      <c r="H176">
        <v>183</v>
      </c>
      <c r="I176" s="16">
        <v>8.6173903553530603E-3</v>
      </c>
      <c r="J176">
        <v>183</v>
      </c>
      <c r="K176" s="16">
        <v>1.31117344198875E-2</v>
      </c>
      <c r="L176">
        <v>183</v>
      </c>
      <c r="M176" s="16">
        <v>0.73918209791743295</v>
      </c>
      <c r="N176">
        <v>117</v>
      </c>
      <c r="O176" s="16">
        <v>1.36830908349622E-2</v>
      </c>
      <c r="P176">
        <v>75</v>
      </c>
      <c r="Q176" s="16">
        <v>1.2048170836482699E-2</v>
      </c>
      <c r="R176">
        <v>76</v>
      </c>
      <c r="S176" s="16">
        <v>9.8300473951726097E-3</v>
      </c>
      <c r="T176">
        <v>76</v>
      </c>
      <c r="U176" s="16">
        <v>1.2048170836482699E-2</v>
      </c>
      <c r="V176">
        <v>76</v>
      </c>
      <c r="W176" s="16">
        <v>0.79828685255425802</v>
      </c>
      <c r="X176">
        <v>146</v>
      </c>
      <c r="Y176" s="16">
        <v>5.8316693837729201E-2</v>
      </c>
      <c r="Z176">
        <v>107</v>
      </c>
      <c r="AA176" s="16">
        <v>2.9998228226232E-2</v>
      </c>
      <c r="AB176">
        <v>107</v>
      </c>
      <c r="AC176" s="16">
        <v>7.6931834670384601E-3</v>
      </c>
      <c r="AD176">
        <v>107</v>
      </c>
      <c r="AE176" s="16">
        <v>1.39223121493415E-2</v>
      </c>
      <c r="AF176" s="11">
        <v>107</v>
      </c>
    </row>
    <row r="177" spans="1:32" outlineLevel="1" x14ac:dyDescent="0.25">
      <c r="A177" s="6" t="s">
        <v>15</v>
      </c>
      <c r="B177" t="s">
        <v>162</v>
      </c>
      <c r="C177" s="16">
        <v>0.75661396936570002</v>
      </c>
      <c r="D177">
        <v>1189</v>
      </c>
      <c r="E177" s="16">
        <v>4.3968317000636303E-2</v>
      </c>
      <c r="F177">
        <v>771</v>
      </c>
      <c r="G177" s="16">
        <v>3.2240889731064801E-2</v>
      </c>
      <c r="H177">
        <v>774</v>
      </c>
      <c r="I177" s="16">
        <v>1.2354431938381601E-2</v>
      </c>
      <c r="J177">
        <v>771</v>
      </c>
      <c r="K177" s="16">
        <v>8.0525142565214796E-3</v>
      </c>
      <c r="L177">
        <v>772</v>
      </c>
      <c r="M177" s="16">
        <v>0.75722705071902097</v>
      </c>
      <c r="N177">
        <v>624</v>
      </c>
      <c r="O177" s="16">
        <v>4.0359373338502098E-2</v>
      </c>
      <c r="P177">
        <v>407</v>
      </c>
      <c r="Q177" s="16">
        <v>2.1589732745638E-2</v>
      </c>
      <c r="R177">
        <v>407</v>
      </c>
      <c r="S177" s="16">
        <v>8.5901831283065107E-3</v>
      </c>
      <c r="T177">
        <v>406</v>
      </c>
      <c r="U177" s="16">
        <v>9.6036901688630397E-3</v>
      </c>
      <c r="V177">
        <v>407</v>
      </c>
      <c r="W177" s="16">
        <v>0.75564327576041701</v>
      </c>
      <c r="X177">
        <v>564</v>
      </c>
      <c r="Y177" s="16">
        <v>4.8097641208147197E-2</v>
      </c>
      <c r="Z177">
        <v>363</v>
      </c>
      <c r="AA177" s="16">
        <v>4.4169087158794702E-2</v>
      </c>
      <c r="AB177">
        <v>366</v>
      </c>
      <c r="AC177" s="16">
        <v>1.6594307253856699E-2</v>
      </c>
      <c r="AD177">
        <v>364</v>
      </c>
      <c r="AE177" s="16">
        <v>6.3236243495055104E-3</v>
      </c>
      <c r="AF177" s="11">
        <v>364</v>
      </c>
    </row>
    <row r="178" spans="1:32" outlineLevel="1" x14ac:dyDescent="0.25">
      <c r="A178" s="6" t="s">
        <v>15</v>
      </c>
      <c r="B178" t="s">
        <v>163</v>
      </c>
      <c r="C178" s="16">
        <v>0.83077545860927504</v>
      </c>
      <c r="D178">
        <v>1507</v>
      </c>
      <c r="E178" s="16">
        <v>5.8269896484801603E-2</v>
      </c>
      <c r="F178">
        <v>1136</v>
      </c>
      <c r="G178" s="16">
        <v>3.0817418793936201E-2</v>
      </c>
      <c r="H178">
        <v>1140</v>
      </c>
      <c r="I178" s="16">
        <v>1.37902628097126E-2</v>
      </c>
      <c r="J178">
        <v>1140</v>
      </c>
      <c r="K178" s="16">
        <v>1.01904972156995E-2</v>
      </c>
      <c r="L178">
        <v>1139</v>
      </c>
      <c r="M178" s="16">
        <v>0.83133120889935597</v>
      </c>
      <c r="N178">
        <v>773</v>
      </c>
      <c r="O178" s="16">
        <v>5.6548206417444201E-2</v>
      </c>
      <c r="P178">
        <v>585</v>
      </c>
      <c r="Q178" s="16">
        <v>2.7180160624604401E-2</v>
      </c>
      <c r="R178">
        <v>585</v>
      </c>
      <c r="S178" s="16">
        <v>1.2535700533984499E-2</v>
      </c>
      <c r="T178">
        <v>586</v>
      </c>
      <c r="U178" s="16">
        <v>1.27047715895623E-2</v>
      </c>
      <c r="V178">
        <v>584</v>
      </c>
      <c r="W178" s="16">
        <v>0.83018330393040896</v>
      </c>
      <c r="X178">
        <v>734</v>
      </c>
      <c r="Y178" s="16">
        <v>6.0097719592178397E-2</v>
      </c>
      <c r="Z178">
        <v>551</v>
      </c>
      <c r="AA178" s="16">
        <v>3.4675086295312699E-2</v>
      </c>
      <c r="AB178">
        <v>555</v>
      </c>
      <c r="AC178" s="16">
        <v>1.5121009795399201E-2</v>
      </c>
      <c r="AD178">
        <v>554</v>
      </c>
      <c r="AE178" s="16">
        <v>7.5403991439506497E-3</v>
      </c>
      <c r="AF178" s="11">
        <v>555</v>
      </c>
    </row>
    <row r="179" spans="1:32" outlineLevel="1" x14ac:dyDescent="0.25">
      <c r="A179" s="6" t="s">
        <v>15</v>
      </c>
      <c r="B179" t="s">
        <v>164</v>
      </c>
      <c r="C179" s="16">
        <v>0.52940830448201504</v>
      </c>
      <c r="D179">
        <v>816</v>
      </c>
      <c r="E179" s="16">
        <v>5.0615865879893203E-2</v>
      </c>
      <c r="F179">
        <v>369</v>
      </c>
      <c r="G179" s="16">
        <v>3.8655094801378402E-2</v>
      </c>
      <c r="H179">
        <v>369</v>
      </c>
      <c r="I179" s="16">
        <v>8.0730470873804205E-3</v>
      </c>
      <c r="J179">
        <v>370</v>
      </c>
      <c r="K179" s="16">
        <v>2.38175592919954E-3</v>
      </c>
      <c r="L179">
        <v>370</v>
      </c>
      <c r="M179" s="16">
        <v>0.54552949235389903</v>
      </c>
      <c r="N179">
        <v>430</v>
      </c>
      <c r="O179" s="16">
        <v>6.44316615445652E-2</v>
      </c>
      <c r="P179">
        <v>208</v>
      </c>
      <c r="Q179" s="16">
        <v>4.2160804812215298E-2</v>
      </c>
      <c r="R179">
        <v>208</v>
      </c>
      <c r="S179" s="16">
        <v>9.8054453570314698E-3</v>
      </c>
      <c r="T179">
        <v>208</v>
      </c>
      <c r="U179" s="16"/>
      <c r="W179" s="16">
        <v>0.51179054650711997</v>
      </c>
      <c r="X179">
        <v>386</v>
      </c>
      <c r="Y179" s="16">
        <v>3.4433240803186403E-2</v>
      </c>
      <c r="Z179">
        <v>161</v>
      </c>
      <c r="AA179" s="16">
        <v>3.4557616792754403E-2</v>
      </c>
      <c r="AB179">
        <v>161</v>
      </c>
      <c r="AC179" s="16">
        <v>6.0550184895437897E-3</v>
      </c>
      <c r="AD179">
        <v>162</v>
      </c>
      <c r="AE179" s="16">
        <v>5.1562054668106297E-3</v>
      </c>
      <c r="AF179" s="11">
        <v>162</v>
      </c>
    </row>
    <row r="180" spans="1:32" outlineLevel="1" x14ac:dyDescent="0.25">
      <c r="A180" s="6" t="s">
        <v>15</v>
      </c>
      <c r="B180" t="s">
        <v>165</v>
      </c>
      <c r="C180" s="16">
        <v>0.38672453573631699</v>
      </c>
      <c r="D180">
        <v>159</v>
      </c>
      <c r="E180" s="16">
        <v>9.3438567830404606E-2</v>
      </c>
      <c r="F180">
        <v>78</v>
      </c>
      <c r="G180" s="16">
        <v>0.14550506094589799</v>
      </c>
      <c r="H180">
        <v>78</v>
      </c>
      <c r="I180" s="16">
        <v>2.5091622526225599E-2</v>
      </c>
      <c r="J180">
        <v>78</v>
      </c>
      <c r="K180" s="16">
        <v>1.29843057683676E-2</v>
      </c>
      <c r="L180">
        <v>78</v>
      </c>
      <c r="M180" s="16">
        <v>0.45721302478605902</v>
      </c>
      <c r="N180">
        <v>81</v>
      </c>
      <c r="O180" s="16">
        <v>0.1156559640021</v>
      </c>
      <c r="P180">
        <v>44</v>
      </c>
      <c r="Q180" s="16">
        <v>0.122182103555873</v>
      </c>
      <c r="R180">
        <v>44</v>
      </c>
      <c r="S180" s="16">
        <v>1.61180208368378E-3</v>
      </c>
      <c r="T180">
        <v>44</v>
      </c>
      <c r="U180" s="16">
        <v>2.3029644345237899E-2</v>
      </c>
      <c r="V180">
        <v>44</v>
      </c>
      <c r="W180" s="16">
        <v>0.32662556216282101</v>
      </c>
      <c r="X180">
        <v>78</v>
      </c>
      <c r="Y180" s="16">
        <v>6.6922419715968198E-2</v>
      </c>
      <c r="Z180">
        <v>34</v>
      </c>
      <c r="AA180" s="16">
        <v>0.17334068073866499</v>
      </c>
      <c r="AB180">
        <v>34</v>
      </c>
      <c r="AC180" s="16">
        <v>5.3114456153686998E-2</v>
      </c>
      <c r="AD180">
        <v>34</v>
      </c>
      <c r="AE180" s="16">
        <v>9.9533624621896697E-4</v>
      </c>
      <c r="AF180" s="11">
        <v>34</v>
      </c>
    </row>
    <row r="181" spans="1:32" outlineLevel="1" x14ac:dyDescent="0.25">
      <c r="A181" s="6" t="s">
        <v>15</v>
      </c>
      <c r="B181" t="s">
        <v>166</v>
      </c>
      <c r="C181" s="16">
        <v>0.36102360407675299</v>
      </c>
      <c r="D181">
        <v>660</v>
      </c>
      <c r="E181" s="16">
        <v>8.8581316048079603E-2</v>
      </c>
      <c r="F181">
        <v>282</v>
      </c>
      <c r="G181" s="16">
        <v>0.115899850530562</v>
      </c>
      <c r="H181">
        <v>283</v>
      </c>
      <c r="I181" s="16">
        <v>3.52901167629662E-2</v>
      </c>
      <c r="J181">
        <v>286</v>
      </c>
      <c r="K181" s="16">
        <v>2.4229254609949499E-2</v>
      </c>
      <c r="L181">
        <v>278</v>
      </c>
      <c r="M181" s="16">
        <v>0.37116502897389703</v>
      </c>
      <c r="N181">
        <v>341</v>
      </c>
      <c r="O181" s="16">
        <v>7.4047737497915794E-2</v>
      </c>
      <c r="P181">
        <v>156</v>
      </c>
      <c r="Q181" s="16">
        <v>0.102253488363117</v>
      </c>
      <c r="R181">
        <v>157</v>
      </c>
      <c r="S181" s="16">
        <v>1.74306177079602E-2</v>
      </c>
      <c r="T181">
        <v>159</v>
      </c>
      <c r="U181" s="16">
        <v>2.0440100413348799E-2</v>
      </c>
      <c r="V181">
        <v>156</v>
      </c>
      <c r="W181" s="16">
        <v>0.34931327556473901</v>
      </c>
      <c r="X181">
        <v>319</v>
      </c>
      <c r="Y181" s="16">
        <v>0.106346145343931</v>
      </c>
      <c r="Z181">
        <v>126</v>
      </c>
      <c r="AA181" s="16">
        <v>0.13270896496111001</v>
      </c>
      <c r="AB181">
        <v>126</v>
      </c>
      <c r="AC181" s="16">
        <v>5.7336664822842602E-2</v>
      </c>
      <c r="AD181">
        <v>127</v>
      </c>
      <c r="AE181" s="16">
        <v>2.8858220362384699E-2</v>
      </c>
      <c r="AF181" s="11">
        <v>122</v>
      </c>
    </row>
    <row r="182" spans="1:32" outlineLevel="1" x14ac:dyDescent="0.25">
      <c r="A182" s="6" t="s">
        <v>15</v>
      </c>
      <c r="B182" t="s">
        <v>167</v>
      </c>
      <c r="C182" s="16">
        <v>0.46536280137505198</v>
      </c>
      <c r="D182">
        <v>807</v>
      </c>
      <c r="E182" s="16">
        <v>0.115723563171668</v>
      </c>
      <c r="F182">
        <v>452</v>
      </c>
      <c r="G182" s="16">
        <v>0.137592845320236</v>
      </c>
      <c r="H182">
        <v>453</v>
      </c>
      <c r="I182" s="16">
        <v>3.0232086016263E-2</v>
      </c>
      <c r="J182">
        <v>454</v>
      </c>
      <c r="K182" s="16">
        <v>1.7138092772537299E-2</v>
      </c>
      <c r="L182">
        <v>450</v>
      </c>
      <c r="M182" s="16">
        <v>0.50229651969928801</v>
      </c>
      <c r="N182">
        <v>394</v>
      </c>
      <c r="O182" s="16">
        <v>0.120040870767282</v>
      </c>
      <c r="P182">
        <v>219</v>
      </c>
      <c r="Q182" s="16">
        <v>0.122686333675312</v>
      </c>
      <c r="R182">
        <v>220</v>
      </c>
      <c r="S182" s="16">
        <v>1.3179102214159801E-2</v>
      </c>
      <c r="T182">
        <v>220</v>
      </c>
      <c r="U182" s="16">
        <v>1.5002888264409001E-2</v>
      </c>
      <c r="V182">
        <v>219</v>
      </c>
      <c r="W182" s="16">
        <v>0.431059578339411</v>
      </c>
      <c r="X182">
        <v>413</v>
      </c>
      <c r="Y182" s="16">
        <v>0.110979676008295</v>
      </c>
      <c r="Z182">
        <v>233</v>
      </c>
      <c r="AA182" s="16">
        <v>0.15379990979227201</v>
      </c>
      <c r="AB182">
        <v>233</v>
      </c>
      <c r="AC182" s="16">
        <v>4.8864986902510399E-2</v>
      </c>
      <c r="AD182">
        <v>234</v>
      </c>
      <c r="AE182" s="16">
        <v>1.9454528630241E-2</v>
      </c>
      <c r="AF182" s="11">
        <v>231</v>
      </c>
    </row>
    <row r="183" spans="1:32" outlineLevel="1" x14ac:dyDescent="0.25">
      <c r="A183" s="7" t="s">
        <v>15</v>
      </c>
      <c r="B183" s="9" t="s">
        <v>168</v>
      </c>
      <c r="C183" s="15">
        <v>0.259433931018905</v>
      </c>
      <c r="D183" s="9">
        <v>446</v>
      </c>
      <c r="E183" s="15">
        <v>0.104379741362691</v>
      </c>
      <c r="F183" s="9">
        <v>129</v>
      </c>
      <c r="G183" s="15">
        <v>0.14314452627221899</v>
      </c>
      <c r="H183" s="9">
        <v>131</v>
      </c>
      <c r="I183" s="15">
        <v>1.8555532074318901E-2</v>
      </c>
      <c r="J183" s="9">
        <v>131</v>
      </c>
      <c r="K183" s="15">
        <v>8.8087988694371594E-2</v>
      </c>
      <c r="L183" s="9">
        <v>130</v>
      </c>
      <c r="M183" s="15">
        <v>0.29309941419734897</v>
      </c>
      <c r="N183" s="9">
        <v>245</v>
      </c>
      <c r="O183" s="15">
        <v>0.13322944847320101</v>
      </c>
      <c r="P183" s="9">
        <v>81</v>
      </c>
      <c r="Q183" s="15">
        <v>0.14283915541387299</v>
      </c>
      <c r="R183" s="9">
        <v>83</v>
      </c>
      <c r="S183" s="15">
        <v>4.0620003306009698E-4</v>
      </c>
      <c r="T183" s="9">
        <v>83</v>
      </c>
      <c r="U183" s="15">
        <v>4.8527329822919699E-2</v>
      </c>
      <c r="V183" s="9">
        <v>82</v>
      </c>
      <c r="W183" s="15">
        <v>0.214732727221185</v>
      </c>
      <c r="X183" s="9">
        <v>200</v>
      </c>
      <c r="Y183" s="15">
        <v>5.57231284529019E-2</v>
      </c>
      <c r="Z183" s="9">
        <v>48</v>
      </c>
      <c r="AA183" s="15">
        <v>0.143685498959566</v>
      </c>
      <c r="AB183" s="9">
        <v>48</v>
      </c>
      <c r="AC183" s="15">
        <v>5.0707561842712801E-2</v>
      </c>
      <c r="AD183" s="9">
        <v>48</v>
      </c>
      <c r="AE183" s="15">
        <v>0.159790490045262</v>
      </c>
      <c r="AF183" s="12">
        <v>48</v>
      </c>
    </row>
    <row r="184" spans="1:32" x14ac:dyDescent="0.25">
      <c r="C184" s="16"/>
      <c r="E184" s="16"/>
      <c r="G184" s="16"/>
      <c r="I184" s="16"/>
      <c r="K184" s="16"/>
      <c r="M184" s="16"/>
      <c r="O184" s="16"/>
      <c r="Q184" s="16"/>
      <c r="S184" s="16"/>
      <c r="U184" s="16"/>
      <c r="W184" s="16"/>
      <c r="Y184" s="16"/>
      <c r="AA184" s="16"/>
      <c r="AC184" s="16"/>
      <c r="AE184" s="16"/>
    </row>
    <row r="185" spans="1:32" x14ac:dyDescent="0.25">
      <c r="C185" s="16"/>
      <c r="E185" s="16"/>
      <c r="G185" s="16"/>
      <c r="I185" s="16"/>
      <c r="K185" s="16"/>
      <c r="M185" s="16"/>
      <c r="O185" s="16"/>
      <c r="Q185" s="16"/>
      <c r="S185" s="16"/>
      <c r="U185" s="16"/>
      <c r="W185" s="16"/>
      <c r="Y185" s="16"/>
      <c r="AA185" s="16"/>
      <c r="AC185" s="16"/>
      <c r="AE185" s="16"/>
    </row>
  </sheetData>
  <mergeCells count="38">
    <mergeCell ref="A167:AF167"/>
    <mergeCell ref="A130:AF130"/>
    <mergeCell ref="A137:AF137"/>
    <mergeCell ref="A142:AF142"/>
    <mergeCell ref="A147:AF147"/>
    <mergeCell ref="A157:AF157"/>
    <mergeCell ref="A86:AF86"/>
    <mergeCell ref="A96:AF96"/>
    <mergeCell ref="A101:AF101"/>
    <mergeCell ref="A118:AF118"/>
    <mergeCell ref="A124:AF124"/>
    <mergeCell ref="A6:AF6"/>
    <mergeCell ref="A9:AF9"/>
    <mergeCell ref="A15:AF15"/>
    <mergeCell ref="A35:AF35"/>
    <mergeCell ref="A80:AF80"/>
    <mergeCell ref="Y4:Z4"/>
    <mergeCell ref="AA4:AB4"/>
    <mergeCell ref="AC4:AD4"/>
    <mergeCell ref="AE4:AF4"/>
    <mergeCell ref="W4:X4"/>
    <mergeCell ref="O4:P4"/>
    <mergeCell ref="Q4:R4"/>
    <mergeCell ref="S4:T4"/>
    <mergeCell ref="U4:V4"/>
    <mergeCell ref="M4:N4"/>
    <mergeCell ref="E4:F4"/>
    <mergeCell ref="G4:H4"/>
    <mergeCell ref="I4:J4"/>
    <mergeCell ref="K4:L4"/>
    <mergeCell ref="C4:D4"/>
    <mergeCell ref="A1:AF1"/>
    <mergeCell ref="C2:L2"/>
    <mergeCell ref="M2:V2"/>
    <mergeCell ref="W2:AF2"/>
    <mergeCell ref="E3:L3"/>
    <mergeCell ref="O3:V3"/>
    <mergeCell ref="Y3:AF3"/>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85"/>
  <sheetViews>
    <sheetView showGridLines="0" topLeftCell="A70" workbookViewId="0">
      <selection activeCell="E81" sqref="E81"/>
    </sheetView>
  </sheetViews>
  <sheetFormatPr defaultColWidth="11.42578125" defaultRowHeight="15" outlineLevelRow="1" x14ac:dyDescent="0.25"/>
  <cols>
    <col min="2" max="2" width="30" customWidth="1"/>
    <col min="6" max="6" width="32.28515625" customWidth="1"/>
    <col min="8" max="8" width="35.5703125" customWidth="1"/>
  </cols>
  <sheetData>
    <row r="1" spans="1:20" x14ac:dyDescent="0.25">
      <c r="A1" s="18" t="s">
        <v>169</v>
      </c>
      <c r="B1" s="18"/>
      <c r="C1" s="18"/>
      <c r="D1" s="18"/>
      <c r="E1" s="18"/>
      <c r="F1" s="18"/>
      <c r="G1" s="18"/>
      <c r="H1" s="18"/>
      <c r="I1" s="18"/>
      <c r="J1" s="18"/>
      <c r="K1" s="18"/>
      <c r="L1" s="18"/>
      <c r="M1" s="18"/>
      <c r="N1" s="18"/>
      <c r="O1" s="18"/>
      <c r="P1" s="18"/>
      <c r="Q1" s="18"/>
      <c r="R1" s="18"/>
      <c r="S1" s="18"/>
      <c r="T1" s="18"/>
    </row>
    <row r="2" spans="1:20" x14ac:dyDescent="0.25">
      <c r="C2" s="19" t="s">
        <v>2</v>
      </c>
      <c r="D2" s="19"/>
      <c r="E2" s="19"/>
      <c r="F2" s="19"/>
      <c r="G2" s="19"/>
      <c r="H2" s="19"/>
      <c r="I2" s="19" t="s">
        <v>3</v>
      </c>
      <c r="J2" s="19"/>
      <c r="K2" s="19"/>
      <c r="L2" s="19"/>
      <c r="M2" s="19"/>
      <c r="N2" s="19"/>
      <c r="O2" s="19" t="s">
        <v>4</v>
      </c>
      <c r="P2" s="19"/>
      <c r="Q2" s="19"/>
      <c r="R2" s="19"/>
      <c r="S2" s="19"/>
      <c r="T2" s="19"/>
    </row>
    <row r="3" spans="1:20" x14ac:dyDescent="0.25">
      <c r="E3" s="19" t="s">
        <v>170</v>
      </c>
      <c r="F3" s="19"/>
      <c r="G3" s="19"/>
      <c r="H3" s="19"/>
      <c r="K3" s="19" t="s">
        <v>170</v>
      </c>
      <c r="L3" s="19"/>
      <c r="M3" s="19"/>
      <c r="N3" s="19"/>
      <c r="Q3" s="19" t="s">
        <v>170</v>
      </c>
      <c r="R3" s="19"/>
      <c r="S3" s="19"/>
      <c r="T3" s="19"/>
    </row>
    <row r="4" spans="1:20" x14ac:dyDescent="0.25">
      <c r="C4" s="19" t="s">
        <v>10</v>
      </c>
      <c r="D4" s="19"/>
      <c r="E4" s="19" t="s">
        <v>171</v>
      </c>
      <c r="F4" s="19"/>
      <c r="G4" s="19" t="s">
        <v>172</v>
      </c>
      <c r="H4" s="19"/>
      <c r="I4" s="19" t="s">
        <v>10</v>
      </c>
      <c r="J4" s="19"/>
      <c r="K4" s="19" t="s">
        <v>171</v>
      </c>
      <c r="L4" s="19"/>
      <c r="M4" s="19" t="s">
        <v>172</v>
      </c>
      <c r="N4" s="19"/>
      <c r="O4" s="19" t="s">
        <v>10</v>
      </c>
      <c r="P4" s="19"/>
      <c r="Q4" s="19" t="s">
        <v>171</v>
      </c>
      <c r="R4" s="19"/>
      <c r="S4" s="19" t="s">
        <v>172</v>
      </c>
      <c r="T4" s="19"/>
    </row>
    <row r="5" spans="1:20" x14ac:dyDescent="0.25">
      <c r="A5" s="1" t="s">
        <v>11</v>
      </c>
      <c r="B5" s="1" t="s">
        <v>12</v>
      </c>
      <c r="C5" s="1" t="s">
        <v>13</v>
      </c>
      <c r="D5" s="1" t="s">
        <v>14</v>
      </c>
      <c r="E5" s="1" t="s">
        <v>13</v>
      </c>
      <c r="F5" s="1" t="s">
        <v>14</v>
      </c>
      <c r="G5" s="1" t="s">
        <v>13</v>
      </c>
      <c r="H5" s="1" t="s">
        <v>14</v>
      </c>
      <c r="I5" s="1" t="s">
        <v>13</v>
      </c>
      <c r="J5" s="1" t="s">
        <v>14</v>
      </c>
      <c r="K5" s="1" t="s">
        <v>13</v>
      </c>
      <c r="L5" s="1" t="s">
        <v>14</v>
      </c>
      <c r="M5" s="1" t="s">
        <v>13</v>
      </c>
      <c r="N5" s="1" t="s">
        <v>14</v>
      </c>
      <c r="O5" s="1" t="s">
        <v>13</v>
      </c>
      <c r="P5" s="1" t="s">
        <v>14</v>
      </c>
      <c r="Q5" s="1" t="s">
        <v>13</v>
      </c>
      <c r="R5" s="1" t="s">
        <v>14</v>
      </c>
      <c r="S5" s="1" t="s">
        <v>13</v>
      </c>
      <c r="T5" s="1" t="s">
        <v>14</v>
      </c>
    </row>
    <row r="6" spans="1:20" x14ac:dyDescent="0.25">
      <c r="A6" s="19" t="s">
        <v>2</v>
      </c>
      <c r="B6" s="19"/>
      <c r="C6" s="20"/>
      <c r="D6" s="19"/>
      <c r="E6" s="20"/>
      <c r="F6" s="19"/>
      <c r="G6" s="20"/>
      <c r="H6" s="19"/>
      <c r="I6" s="20"/>
      <c r="J6" s="19"/>
      <c r="K6" s="20"/>
      <c r="L6" s="19"/>
      <c r="M6" s="20"/>
      <c r="N6" s="19"/>
      <c r="O6" s="20"/>
      <c r="P6" s="19"/>
      <c r="Q6" s="20"/>
      <c r="R6" s="19"/>
      <c r="S6" s="20"/>
      <c r="T6" s="19"/>
    </row>
    <row r="7" spans="1:20" outlineLevel="1" x14ac:dyDescent="0.25">
      <c r="A7" s="2" t="s">
        <v>15</v>
      </c>
      <c r="B7" s="3" t="s">
        <v>2</v>
      </c>
      <c r="C7" s="13">
        <v>0.71189039790054898</v>
      </c>
      <c r="D7" s="3">
        <v>8682</v>
      </c>
      <c r="E7" s="13">
        <v>2.9143890127440002E-2</v>
      </c>
      <c r="F7" s="3">
        <v>4795</v>
      </c>
      <c r="G7" s="13">
        <v>1.96323639422048E-2</v>
      </c>
      <c r="H7" s="3">
        <v>4795</v>
      </c>
      <c r="I7" s="13">
        <v>0.71523655190317403</v>
      </c>
      <c r="J7" s="3">
        <v>4385</v>
      </c>
      <c r="K7" s="13">
        <v>2.8140884581313301E-2</v>
      </c>
      <c r="L7" s="3">
        <v>2455</v>
      </c>
      <c r="M7" s="13">
        <v>2.0604956433823901E-2</v>
      </c>
      <c r="N7" s="3">
        <v>2455</v>
      </c>
      <c r="O7" s="13">
        <v>0.70834485062167396</v>
      </c>
      <c r="P7" s="3">
        <v>4290</v>
      </c>
      <c r="Q7" s="13">
        <v>2.97655413982565E-2</v>
      </c>
      <c r="R7" s="3">
        <v>2337</v>
      </c>
      <c r="S7" s="13">
        <v>1.86040701514864E-2</v>
      </c>
      <c r="T7" s="4">
        <v>2337</v>
      </c>
    </row>
    <row r="8" spans="1:20" x14ac:dyDescent="0.25">
      <c r="C8" s="16"/>
      <c r="E8" s="16"/>
      <c r="G8" s="16"/>
      <c r="I8" s="16"/>
      <c r="K8" s="16"/>
      <c r="M8" s="16"/>
      <c r="O8" s="16"/>
      <c r="Q8" s="16"/>
      <c r="S8" s="16"/>
    </row>
    <row r="9" spans="1:20" x14ac:dyDescent="0.25">
      <c r="A9" s="19" t="s">
        <v>16</v>
      </c>
      <c r="B9" s="19"/>
      <c r="C9" s="20"/>
      <c r="D9" s="19"/>
      <c r="E9" s="20"/>
      <c r="F9" s="19"/>
      <c r="G9" s="20"/>
      <c r="H9" s="19"/>
      <c r="I9" s="20"/>
      <c r="J9" s="19"/>
      <c r="K9" s="20"/>
      <c r="L9" s="19"/>
      <c r="M9" s="20"/>
      <c r="N9" s="19"/>
      <c r="O9" s="20"/>
      <c r="P9" s="19"/>
      <c r="Q9" s="20"/>
      <c r="R9" s="19"/>
      <c r="S9" s="20"/>
      <c r="T9" s="19"/>
    </row>
    <row r="10" spans="1:20" outlineLevel="1" x14ac:dyDescent="0.25">
      <c r="A10" s="5" t="s">
        <v>15</v>
      </c>
      <c r="B10" s="8" t="s">
        <v>17</v>
      </c>
      <c r="C10" s="14">
        <v>0.73765210182271801</v>
      </c>
      <c r="D10" s="8">
        <v>625</v>
      </c>
      <c r="E10" s="14"/>
      <c r="F10" s="8"/>
      <c r="G10" s="14"/>
      <c r="H10" s="8"/>
      <c r="I10" s="14">
        <v>0.70752550025543304</v>
      </c>
      <c r="J10" s="8">
        <v>290</v>
      </c>
      <c r="K10" s="14"/>
      <c r="L10" s="8"/>
      <c r="M10" s="14"/>
      <c r="N10" s="8"/>
      <c r="O10" s="14">
        <v>0.76341405892609804</v>
      </c>
      <c r="P10" s="8">
        <v>334</v>
      </c>
      <c r="Q10" s="14"/>
      <c r="R10" s="8"/>
      <c r="S10" s="14"/>
      <c r="T10" s="10"/>
    </row>
    <row r="11" spans="1:20" outlineLevel="1" x14ac:dyDescent="0.25">
      <c r="A11" s="6" t="s">
        <v>15</v>
      </c>
      <c r="B11" t="s">
        <v>18</v>
      </c>
      <c r="C11" s="16">
        <v>0.80332488846433003</v>
      </c>
      <c r="D11">
        <v>3410</v>
      </c>
      <c r="E11" s="16">
        <v>9.9603163764710508E-3</v>
      </c>
      <c r="F11">
        <v>2196</v>
      </c>
      <c r="G11" s="16"/>
      <c r="I11" s="16">
        <v>0.80816615371244305</v>
      </c>
      <c r="J11">
        <v>1677</v>
      </c>
      <c r="K11" s="16">
        <v>1.0949826636766699E-2</v>
      </c>
      <c r="L11">
        <v>1098</v>
      </c>
      <c r="M11" s="16"/>
      <c r="O11" s="16">
        <v>0.79829832661087297</v>
      </c>
      <c r="P11">
        <v>1731</v>
      </c>
      <c r="Q11" s="16">
        <v>8.9070686136011896E-3</v>
      </c>
      <c r="R11">
        <v>1097</v>
      </c>
      <c r="S11" s="16"/>
      <c r="T11" s="11"/>
    </row>
    <row r="12" spans="1:20" outlineLevel="1" x14ac:dyDescent="0.25">
      <c r="A12" s="6" t="s">
        <v>15</v>
      </c>
      <c r="B12" t="s">
        <v>19</v>
      </c>
      <c r="C12" s="16">
        <v>0.73077644380235696</v>
      </c>
      <c r="D12">
        <v>2775</v>
      </c>
      <c r="E12" s="16">
        <v>7.5082764628473797E-2</v>
      </c>
      <c r="F12">
        <v>1532</v>
      </c>
      <c r="G12" s="16">
        <v>1.56917892359205E-2</v>
      </c>
      <c r="H12">
        <v>1532</v>
      </c>
      <c r="I12" s="16">
        <v>0.73155181376921896</v>
      </c>
      <c r="J12">
        <v>1434</v>
      </c>
      <c r="K12" s="16">
        <v>6.9835170689804202E-2</v>
      </c>
      <c r="L12">
        <v>794</v>
      </c>
      <c r="M12" s="16">
        <v>1.3863973501496801E-2</v>
      </c>
      <c r="N12">
        <v>794</v>
      </c>
      <c r="O12" s="16">
        <v>0.72967607127842304</v>
      </c>
      <c r="P12">
        <v>1338</v>
      </c>
      <c r="Q12" s="16">
        <v>7.9582060788852604E-2</v>
      </c>
      <c r="R12">
        <v>736</v>
      </c>
      <c r="S12" s="16">
        <v>1.7753077182492801E-2</v>
      </c>
      <c r="T12" s="11">
        <v>736</v>
      </c>
    </row>
    <row r="13" spans="1:20" outlineLevel="1" x14ac:dyDescent="0.25">
      <c r="A13" s="7" t="s">
        <v>15</v>
      </c>
      <c r="B13" s="9" t="s">
        <v>20</v>
      </c>
      <c r="C13" s="15">
        <v>0.51574120968256099</v>
      </c>
      <c r="D13" s="9">
        <v>1872</v>
      </c>
      <c r="E13" s="15">
        <v>1.91451663861229E-3</v>
      </c>
      <c r="F13" s="9">
        <v>708</v>
      </c>
      <c r="G13" s="15">
        <v>9.1775800454725096E-2</v>
      </c>
      <c r="H13" s="9">
        <v>708</v>
      </c>
      <c r="I13" s="15">
        <v>0.53201425373586697</v>
      </c>
      <c r="J13" s="9">
        <v>984</v>
      </c>
      <c r="K13" s="15">
        <v>8.3475232705581604E-4</v>
      </c>
      <c r="L13" s="9">
        <v>398</v>
      </c>
      <c r="M13" s="15">
        <v>9.7771626828033698E-2</v>
      </c>
      <c r="N13" s="9">
        <v>398</v>
      </c>
      <c r="O13" s="15">
        <v>0.49810077781642598</v>
      </c>
      <c r="P13" s="9">
        <v>887</v>
      </c>
      <c r="Q13" s="15">
        <v>3.1528496805673001E-3</v>
      </c>
      <c r="R13" s="9">
        <v>310</v>
      </c>
      <c r="S13" s="15">
        <v>8.4899457319073099E-2</v>
      </c>
      <c r="T13" s="12">
        <v>310</v>
      </c>
    </row>
    <row r="14" spans="1:20" x14ac:dyDescent="0.25">
      <c r="C14" s="16"/>
      <c r="E14" s="16"/>
      <c r="G14" s="16"/>
      <c r="I14" s="16"/>
      <c r="K14" s="16"/>
      <c r="M14" s="16"/>
      <c r="O14" s="16"/>
      <c r="Q14" s="16"/>
      <c r="S14" s="16"/>
    </row>
    <row r="15" spans="1:20" x14ac:dyDescent="0.25">
      <c r="A15" s="19" t="s">
        <v>21</v>
      </c>
      <c r="B15" s="19"/>
      <c r="C15" s="20"/>
      <c r="D15" s="19"/>
      <c r="E15" s="20"/>
      <c r="F15" s="19"/>
      <c r="G15" s="20"/>
      <c r="H15" s="19"/>
      <c r="I15" s="20"/>
      <c r="J15" s="19"/>
      <c r="K15" s="20"/>
      <c r="L15" s="19"/>
      <c r="M15" s="20"/>
      <c r="N15" s="19"/>
      <c r="O15" s="20"/>
      <c r="P15" s="19"/>
      <c r="Q15" s="20"/>
      <c r="R15" s="19"/>
      <c r="S15" s="20"/>
      <c r="T15" s="19"/>
    </row>
    <row r="16" spans="1:20" outlineLevel="1" x14ac:dyDescent="0.25">
      <c r="A16" s="5" t="s">
        <v>15</v>
      </c>
      <c r="B16" s="8" t="s">
        <v>22</v>
      </c>
      <c r="C16" s="14">
        <v>0.92411556089526703</v>
      </c>
      <c r="D16" s="8">
        <v>131</v>
      </c>
      <c r="E16" s="14"/>
      <c r="F16" s="8"/>
      <c r="G16" s="14"/>
      <c r="H16" s="8"/>
      <c r="I16" s="14">
        <v>0.94215215122384299</v>
      </c>
      <c r="J16" s="8">
        <v>66</v>
      </c>
      <c r="K16" s="14"/>
      <c r="L16" s="8"/>
      <c r="M16" s="14"/>
      <c r="N16" s="8"/>
      <c r="O16" s="14">
        <v>0.90579317577088303</v>
      </c>
      <c r="P16" s="8">
        <v>65</v>
      </c>
      <c r="Q16" s="14"/>
      <c r="R16" s="8"/>
      <c r="S16" s="14"/>
      <c r="T16" s="10"/>
    </row>
    <row r="17" spans="1:20" outlineLevel="1" x14ac:dyDescent="0.25">
      <c r="A17" s="6" t="s">
        <v>15</v>
      </c>
      <c r="B17" t="s">
        <v>23</v>
      </c>
      <c r="C17" s="16">
        <v>0.78311577247181396</v>
      </c>
      <c r="D17">
        <v>546</v>
      </c>
      <c r="E17" s="16">
        <v>4.5293316620985603E-2</v>
      </c>
      <c r="F17">
        <v>386</v>
      </c>
      <c r="G17" s="16">
        <v>1.1598718480211901E-2</v>
      </c>
      <c r="H17">
        <v>386</v>
      </c>
      <c r="I17" s="16">
        <v>0.80754625998336205</v>
      </c>
      <c r="J17">
        <v>290</v>
      </c>
      <c r="K17" s="16">
        <v>3.0453941146778799E-2</v>
      </c>
      <c r="L17">
        <v>211</v>
      </c>
      <c r="M17" s="16">
        <v>5.1970892110921995E-4</v>
      </c>
      <c r="N17">
        <v>211</v>
      </c>
      <c r="O17" s="16">
        <v>0.75418341645107401</v>
      </c>
      <c r="P17">
        <v>256</v>
      </c>
      <c r="Q17" s="16">
        <v>6.4100860092743295E-2</v>
      </c>
      <c r="R17">
        <v>175</v>
      </c>
      <c r="S17" s="16">
        <v>2.56403440370973E-2</v>
      </c>
      <c r="T17" s="11">
        <v>175</v>
      </c>
    </row>
    <row r="18" spans="1:20" outlineLevel="1" x14ac:dyDescent="0.25">
      <c r="A18" s="6" t="s">
        <v>15</v>
      </c>
      <c r="B18" t="s">
        <v>24</v>
      </c>
      <c r="C18" s="16">
        <v>0.81655749309167303</v>
      </c>
      <c r="D18">
        <v>126</v>
      </c>
      <c r="E18" s="16">
        <v>3.9305770605472801E-2</v>
      </c>
      <c r="F18">
        <v>103</v>
      </c>
      <c r="G18" s="16">
        <v>9.8241268513813394E-3</v>
      </c>
      <c r="H18">
        <v>103</v>
      </c>
      <c r="I18" s="16">
        <v>0.83569795462640395</v>
      </c>
      <c r="J18">
        <v>61</v>
      </c>
      <c r="K18" s="16">
        <v>3.9529205113019203E-2</v>
      </c>
      <c r="L18">
        <v>51</v>
      </c>
      <c r="M18" s="16">
        <v>1.97552888946535E-2</v>
      </c>
      <c r="N18">
        <v>51</v>
      </c>
      <c r="O18" s="16">
        <v>0.79846685633341596</v>
      </c>
      <c r="P18">
        <v>65</v>
      </c>
      <c r="Q18" s="16">
        <v>3.9084744210419797E-2</v>
      </c>
      <c r="R18">
        <v>52</v>
      </c>
      <c r="S18" s="16"/>
      <c r="T18" s="11"/>
    </row>
    <row r="19" spans="1:20" outlineLevel="1" x14ac:dyDescent="0.25">
      <c r="A19" s="6" t="s">
        <v>15</v>
      </c>
      <c r="B19" t="s">
        <v>25</v>
      </c>
      <c r="C19" s="16">
        <v>0.337914665721185</v>
      </c>
      <c r="D19">
        <v>776</v>
      </c>
      <c r="E19" s="16">
        <v>1.7309146312900502E-2</v>
      </c>
      <c r="F19">
        <v>274</v>
      </c>
      <c r="G19" s="16">
        <v>1.6415529149748101E-2</v>
      </c>
      <c r="H19">
        <v>274</v>
      </c>
      <c r="I19" s="16">
        <v>0.34310561241660997</v>
      </c>
      <c r="J19">
        <v>400</v>
      </c>
      <c r="K19" s="16">
        <v>1.5848875778335301E-2</v>
      </c>
      <c r="L19">
        <v>145</v>
      </c>
      <c r="M19" s="16">
        <v>2.8638833309930698E-4</v>
      </c>
      <c r="N19">
        <v>145</v>
      </c>
      <c r="O19" s="16">
        <v>0.332464462147741</v>
      </c>
      <c r="P19">
        <v>376</v>
      </c>
      <c r="Q19" s="16">
        <v>1.88914216897977E-2</v>
      </c>
      <c r="R19">
        <v>129</v>
      </c>
      <c r="S19" s="16">
        <v>3.3892251278013201E-2</v>
      </c>
      <c r="T19" s="11">
        <v>129</v>
      </c>
    </row>
    <row r="20" spans="1:20" outlineLevel="1" x14ac:dyDescent="0.25">
      <c r="A20" s="6" t="s">
        <v>15</v>
      </c>
      <c r="B20" t="s">
        <v>26</v>
      </c>
      <c r="C20" s="16">
        <v>0.74679272762134097</v>
      </c>
      <c r="D20">
        <v>604</v>
      </c>
      <c r="E20" s="16">
        <v>1.10961965019444E-2</v>
      </c>
      <c r="F20">
        <v>413</v>
      </c>
      <c r="G20" s="16">
        <v>2.4285897614693502E-2</v>
      </c>
      <c r="H20">
        <v>413</v>
      </c>
      <c r="I20" s="16">
        <v>0.74647156849049801</v>
      </c>
      <c r="J20">
        <v>318</v>
      </c>
      <c r="K20" s="16">
        <v>3.0840636500039302E-3</v>
      </c>
      <c r="L20">
        <v>224</v>
      </c>
      <c r="M20" s="16">
        <v>1.76905901508935E-3</v>
      </c>
      <c r="N20">
        <v>224</v>
      </c>
      <c r="O20" s="16">
        <v>0.74713464005241403</v>
      </c>
      <c r="P20">
        <v>286</v>
      </c>
      <c r="Q20" s="16">
        <v>1.9514833636938199E-2</v>
      </c>
      <c r="R20">
        <v>189</v>
      </c>
      <c r="S20" s="16">
        <v>4.7945152534733602E-2</v>
      </c>
      <c r="T20" s="11">
        <v>189</v>
      </c>
    </row>
    <row r="21" spans="1:20" outlineLevel="1" x14ac:dyDescent="0.25">
      <c r="A21" s="6" t="s">
        <v>15</v>
      </c>
      <c r="B21" t="s">
        <v>27</v>
      </c>
      <c r="C21" s="16">
        <v>0.405775547730723</v>
      </c>
      <c r="D21">
        <v>830</v>
      </c>
      <c r="E21" s="16">
        <v>1.8678892900400802E-2</v>
      </c>
      <c r="F21">
        <v>363</v>
      </c>
      <c r="G21" s="16">
        <v>1.6147244835484801E-2</v>
      </c>
      <c r="H21">
        <v>363</v>
      </c>
      <c r="I21" s="16">
        <v>0.41029945145572699</v>
      </c>
      <c r="J21">
        <v>402</v>
      </c>
      <c r="K21" s="16">
        <v>4.9745159571276398E-3</v>
      </c>
      <c r="L21">
        <v>178</v>
      </c>
      <c r="M21" s="16">
        <v>3.1010421367176601E-2</v>
      </c>
      <c r="N21">
        <v>178</v>
      </c>
      <c r="O21" s="16">
        <v>0.39975271609271501</v>
      </c>
      <c r="P21">
        <v>426</v>
      </c>
      <c r="Q21" s="16">
        <v>3.3595671202881899E-2</v>
      </c>
      <c r="R21">
        <v>184</v>
      </c>
      <c r="S21" s="16">
        <v>1.62625427957477E-4</v>
      </c>
      <c r="T21" s="11">
        <v>184</v>
      </c>
    </row>
    <row r="22" spans="1:20" outlineLevel="1" x14ac:dyDescent="0.25">
      <c r="A22" s="6" t="s">
        <v>15</v>
      </c>
      <c r="B22" t="s">
        <v>28</v>
      </c>
      <c r="C22" s="16">
        <v>0.57837921752426802</v>
      </c>
      <c r="D22">
        <v>634</v>
      </c>
      <c r="E22" s="16">
        <v>6.0732605946353102E-2</v>
      </c>
      <c r="F22">
        <v>370</v>
      </c>
      <c r="G22" s="16">
        <v>3.2492179739907798E-2</v>
      </c>
      <c r="H22">
        <v>370</v>
      </c>
      <c r="I22" s="16">
        <v>0.54602413421701801</v>
      </c>
      <c r="J22">
        <v>320</v>
      </c>
      <c r="K22" s="16">
        <v>7.8269938992681698E-2</v>
      </c>
      <c r="L22">
        <v>190</v>
      </c>
      <c r="M22" s="16">
        <v>4.5659306270176898E-2</v>
      </c>
      <c r="N22">
        <v>190</v>
      </c>
      <c r="O22" s="16">
        <v>0.61412983939022503</v>
      </c>
      <c r="P22">
        <v>311</v>
      </c>
      <c r="Q22" s="16">
        <v>2.9274170177842899E-2</v>
      </c>
      <c r="R22">
        <v>179</v>
      </c>
      <c r="S22" s="16">
        <v>1.9152353105697399E-2</v>
      </c>
      <c r="T22" s="11">
        <v>179</v>
      </c>
    </row>
    <row r="23" spans="1:20" outlineLevel="1" x14ac:dyDescent="0.25">
      <c r="A23" s="6" t="s">
        <v>15</v>
      </c>
      <c r="B23" t="s">
        <v>29</v>
      </c>
      <c r="C23" s="16">
        <v>0.73684347224532298</v>
      </c>
      <c r="D23">
        <v>470</v>
      </c>
      <c r="E23" s="16">
        <v>3.00637151244782E-2</v>
      </c>
      <c r="F23">
        <v>253</v>
      </c>
      <c r="G23" s="16">
        <v>2.6793930289016901E-2</v>
      </c>
      <c r="H23">
        <v>253</v>
      </c>
      <c r="I23" s="16">
        <v>0.73913387726147195</v>
      </c>
      <c r="J23">
        <v>236</v>
      </c>
      <c r="K23" s="16">
        <v>1.9087696384059698E-2</v>
      </c>
      <c r="L23">
        <v>125</v>
      </c>
      <c r="M23" s="16">
        <v>1.56383071925409E-2</v>
      </c>
      <c r="N23">
        <v>125</v>
      </c>
      <c r="O23" s="16">
        <v>0.73431380402580404</v>
      </c>
      <c r="P23">
        <v>234</v>
      </c>
      <c r="Q23" s="16">
        <v>4.22658981288251E-2</v>
      </c>
      <c r="R23">
        <v>128</v>
      </c>
      <c r="S23" s="16">
        <v>3.9195781795470203E-2</v>
      </c>
      <c r="T23" s="11">
        <v>128</v>
      </c>
    </row>
    <row r="24" spans="1:20" outlineLevel="1" x14ac:dyDescent="0.25">
      <c r="A24" s="6" t="s">
        <v>15</v>
      </c>
      <c r="B24" t="s">
        <v>30</v>
      </c>
      <c r="C24" s="16">
        <v>0.86</v>
      </c>
      <c r="D24">
        <v>150</v>
      </c>
      <c r="E24" s="16">
        <v>4.6511627906976702E-2</v>
      </c>
      <c r="F24">
        <v>129</v>
      </c>
      <c r="G24" s="16">
        <v>3.8759689922480599E-2</v>
      </c>
      <c r="H24">
        <v>129</v>
      </c>
      <c r="I24" s="16">
        <v>0.85185185185185197</v>
      </c>
      <c r="J24">
        <v>81</v>
      </c>
      <c r="K24" s="16">
        <v>5.7971014492753603E-2</v>
      </c>
      <c r="L24">
        <v>69</v>
      </c>
      <c r="M24" s="16">
        <v>5.7971014492753603E-2</v>
      </c>
      <c r="N24">
        <v>69</v>
      </c>
      <c r="O24" s="16">
        <v>0.86956521739130399</v>
      </c>
      <c r="P24">
        <v>69</v>
      </c>
      <c r="Q24" s="16">
        <v>3.3333333333333298E-2</v>
      </c>
      <c r="R24">
        <v>60</v>
      </c>
      <c r="S24" s="16">
        <v>1.6666666666666701E-2</v>
      </c>
      <c r="T24" s="11">
        <v>60</v>
      </c>
    </row>
    <row r="25" spans="1:20" outlineLevel="1" x14ac:dyDescent="0.25">
      <c r="A25" s="6" t="s">
        <v>15</v>
      </c>
      <c r="B25" t="s">
        <v>31</v>
      </c>
      <c r="C25" s="16">
        <v>0.81468231290812299</v>
      </c>
      <c r="D25">
        <v>593</v>
      </c>
      <c r="E25" s="16">
        <v>2.3270110259405001E-2</v>
      </c>
      <c r="F25">
        <v>419</v>
      </c>
      <c r="G25" s="16">
        <v>1.0687092860233401E-2</v>
      </c>
      <c r="H25">
        <v>419</v>
      </c>
      <c r="I25" s="16">
        <v>0.82538089347125199</v>
      </c>
      <c r="J25">
        <v>313</v>
      </c>
      <c r="K25" s="16">
        <v>1.0574394725568601E-2</v>
      </c>
      <c r="L25">
        <v>223</v>
      </c>
      <c r="M25" s="16">
        <v>1.8132949815983901E-2</v>
      </c>
      <c r="N25">
        <v>223</v>
      </c>
      <c r="O25" s="16">
        <v>0.80096076925960003</v>
      </c>
      <c r="P25">
        <v>280</v>
      </c>
      <c r="Q25" s="16">
        <v>4.0049538539712999E-2</v>
      </c>
      <c r="R25">
        <v>196</v>
      </c>
      <c r="S25" s="16">
        <v>8.4619634349394999E-4</v>
      </c>
      <c r="T25" s="11">
        <v>196</v>
      </c>
    </row>
    <row r="26" spans="1:20" outlineLevel="1" x14ac:dyDescent="0.25">
      <c r="A26" s="6" t="s">
        <v>15</v>
      </c>
      <c r="B26" t="s">
        <v>32</v>
      </c>
      <c r="C26" s="16">
        <v>0.88157894736842102</v>
      </c>
      <c r="D26">
        <v>152</v>
      </c>
      <c r="E26" s="16">
        <v>2.2388059701492501E-2</v>
      </c>
      <c r="F26">
        <v>134</v>
      </c>
      <c r="G26" s="16">
        <v>7.4626865671641798E-3</v>
      </c>
      <c r="H26">
        <v>134</v>
      </c>
      <c r="I26" s="16">
        <v>0.88</v>
      </c>
      <c r="J26">
        <v>75</v>
      </c>
      <c r="K26" s="16">
        <v>3.03030303030303E-2</v>
      </c>
      <c r="L26">
        <v>66</v>
      </c>
      <c r="M26" s="16"/>
      <c r="O26" s="16">
        <v>0.88311688311688297</v>
      </c>
      <c r="P26">
        <v>77</v>
      </c>
      <c r="Q26" s="16">
        <v>1.4705882352941201E-2</v>
      </c>
      <c r="R26">
        <v>68</v>
      </c>
      <c r="S26" s="16">
        <v>1.4705882352941201E-2</v>
      </c>
      <c r="T26" s="11">
        <v>68</v>
      </c>
    </row>
    <row r="27" spans="1:20" outlineLevel="1" x14ac:dyDescent="0.25">
      <c r="A27" s="6" t="s">
        <v>15</v>
      </c>
      <c r="B27" t="s">
        <v>33</v>
      </c>
      <c r="C27" s="16">
        <v>0.52964064080803697</v>
      </c>
      <c r="D27">
        <v>1269</v>
      </c>
      <c r="E27" s="16">
        <v>2.5703942918854899E-2</v>
      </c>
      <c r="F27">
        <v>586</v>
      </c>
      <c r="G27" s="16">
        <v>2.5073817228391901E-2</v>
      </c>
      <c r="H27">
        <v>586</v>
      </c>
      <c r="I27" s="16">
        <v>0.54071625195833095</v>
      </c>
      <c r="J27">
        <v>641</v>
      </c>
      <c r="K27" s="16">
        <v>1.34215720896284E-2</v>
      </c>
      <c r="L27">
        <v>306</v>
      </c>
      <c r="M27" s="16">
        <v>9.7038691069314502E-3</v>
      </c>
      <c r="N27">
        <v>306</v>
      </c>
      <c r="O27" s="16">
        <v>0.51796168999640402</v>
      </c>
      <c r="P27">
        <v>627</v>
      </c>
      <c r="Q27" s="16">
        <v>4.0003422713681402E-2</v>
      </c>
      <c r="R27">
        <v>280</v>
      </c>
      <c r="S27" s="16">
        <v>4.2967940900946397E-2</v>
      </c>
      <c r="T27" s="11">
        <v>280</v>
      </c>
    </row>
    <row r="28" spans="1:20" outlineLevel="1" x14ac:dyDescent="0.25">
      <c r="A28" s="6" t="s">
        <v>15</v>
      </c>
      <c r="B28" t="s">
        <v>34</v>
      </c>
      <c r="C28" s="16">
        <v>0.23488937703267601</v>
      </c>
      <c r="D28">
        <v>536</v>
      </c>
      <c r="E28" s="16">
        <v>5.8898465139553699E-2</v>
      </c>
      <c r="F28">
        <v>86</v>
      </c>
      <c r="G28" s="16">
        <v>2.7293956586200801E-2</v>
      </c>
      <c r="H28">
        <v>86</v>
      </c>
      <c r="I28" s="16">
        <v>0.26095201610090302</v>
      </c>
      <c r="J28">
        <v>262</v>
      </c>
      <c r="K28" s="16">
        <v>6.9755109333881904E-2</v>
      </c>
      <c r="L28">
        <v>45</v>
      </c>
      <c r="M28" s="16">
        <v>3.4280405245140602E-2</v>
      </c>
      <c r="N28">
        <v>45</v>
      </c>
      <c r="O28" s="16">
        <v>0.20883786374595301</v>
      </c>
      <c r="P28">
        <v>274</v>
      </c>
      <c r="Q28" s="16">
        <v>4.4731839550309099E-2</v>
      </c>
      <c r="R28">
        <v>41</v>
      </c>
      <c r="S28" s="16">
        <v>1.81774744966995E-2</v>
      </c>
      <c r="T28" s="11">
        <v>41</v>
      </c>
    </row>
    <row r="29" spans="1:20" outlineLevel="1" x14ac:dyDescent="0.25">
      <c r="A29" s="6" t="s">
        <v>15</v>
      </c>
      <c r="B29" t="s">
        <v>35</v>
      </c>
      <c r="C29" s="16">
        <v>0.85161290322580596</v>
      </c>
      <c r="D29">
        <v>155</v>
      </c>
      <c r="E29" s="16">
        <v>1.5151515151515201E-2</v>
      </c>
      <c r="F29">
        <v>132</v>
      </c>
      <c r="G29" s="16">
        <v>7.5757575757575803E-3</v>
      </c>
      <c r="H29">
        <v>132</v>
      </c>
      <c r="I29" s="16">
        <v>0.86301369863013699</v>
      </c>
      <c r="J29">
        <v>73</v>
      </c>
      <c r="K29" s="16">
        <v>1.58730158730159E-2</v>
      </c>
      <c r="L29">
        <v>63</v>
      </c>
      <c r="M29" s="16">
        <v>1.58730158730159E-2</v>
      </c>
      <c r="N29">
        <v>63</v>
      </c>
      <c r="O29" s="16">
        <v>0.84146341463414598</v>
      </c>
      <c r="P29">
        <v>82</v>
      </c>
      <c r="Q29" s="16">
        <v>1.4492753623188401E-2</v>
      </c>
      <c r="R29">
        <v>69</v>
      </c>
      <c r="S29" s="16"/>
      <c r="T29" s="11"/>
    </row>
    <row r="30" spans="1:20" outlineLevel="1" x14ac:dyDescent="0.25">
      <c r="A30" s="6" t="s">
        <v>15</v>
      </c>
      <c r="B30" t="s">
        <v>36</v>
      </c>
      <c r="C30" s="16">
        <v>0.58664000221297596</v>
      </c>
      <c r="D30">
        <v>454</v>
      </c>
      <c r="E30" s="16">
        <v>9.1271169293270102E-2</v>
      </c>
      <c r="F30">
        <v>191</v>
      </c>
      <c r="G30" s="16">
        <v>3.0844493600821501E-2</v>
      </c>
      <c r="H30">
        <v>191</v>
      </c>
      <c r="I30" s="16">
        <v>0.57668981997127899</v>
      </c>
      <c r="J30">
        <v>256</v>
      </c>
      <c r="K30" s="16">
        <v>7.8751933667630003E-2</v>
      </c>
      <c r="L30">
        <v>99</v>
      </c>
      <c r="M30" s="16">
        <v>5.8911622036869699E-2</v>
      </c>
      <c r="N30">
        <v>99</v>
      </c>
      <c r="O30" s="16">
        <v>0.59781883995012697</v>
      </c>
      <c r="P30">
        <v>198</v>
      </c>
      <c r="Q30" s="16">
        <v>0.104577871671155</v>
      </c>
      <c r="R30">
        <v>92</v>
      </c>
      <c r="S30" s="16">
        <v>1.01192747070855E-3</v>
      </c>
      <c r="T30" s="11">
        <v>92</v>
      </c>
    </row>
    <row r="31" spans="1:20" outlineLevel="1" x14ac:dyDescent="0.25">
      <c r="A31" s="6" t="s">
        <v>15</v>
      </c>
      <c r="B31" t="s">
        <v>37</v>
      </c>
      <c r="C31" s="16">
        <v>0.86171771263100505</v>
      </c>
      <c r="D31">
        <v>458</v>
      </c>
      <c r="E31" s="16">
        <v>7.36772443893323E-3</v>
      </c>
      <c r="F31">
        <v>311</v>
      </c>
      <c r="G31" s="16">
        <v>2.1653855805391899E-2</v>
      </c>
      <c r="H31">
        <v>311</v>
      </c>
      <c r="I31" s="16">
        <v>0.87867290293635902</v>
      </c>
      <c r="J31">
        <v>216</v>
      </c>
      <c r="K31" s="16">
        <v>1.3477796699322499E-2</v>
      </c>
      <c r="L31">
        <v>147</v>
      </c>
      <c r="M31" s="16">
        <v>1.3477796699322499E-2</v>
      </c>
      <c r="N31">
        <v>147</v>
      </c>
      <c r="O31" s="16">
        <v>0.84336718322655602</v>
      </c>
      <c r="P31">
        <v>242</v>
      </c>
      <c r="Q31" s="16">
        <v>4.7798478394861E-4</v>
      </c>
      <c r="R31">
        <v>164</v>
      </c>
      <c r="S31" s="16">
        <v>3.08732097252742E-2</v>
      </c>
      <c r="T31" s="11">
        <v>164</v>
      </c>
    </row>
    <row r="32" spans="1:20" outlineLevel="1" x14ac:dyDescent="0.25">
      <c r="A32" s="6" t="s">
        <v>15</v>
      </c>
      <c r="B32" t="s">
        <v>38</v>
      </c>
      <c r="C32" s="16">
        <v>0.74170132811690703</v>
      </c>
      <c r="D32">
        <v>333</v>
      </c>
      <c r="E32" s="16">
        <v>5.3627129294044097E-2</v>
      </c>
      <c r="F32">
        <v>216</v>
      </c>
      <c r="G32" s="16">
        <v>3.1545205142131903E-2</v>
      </c>
      <c r="H32">
        <v>216</v>
      </c>
      <c r="I32" s="16">
        <v>0.69216117644221997</v>
      </c>
      <c r="J32">
        <v>160</v>
      </c>
      <c r="K32" s="16">
        <v>1.7660605307698401E-2</v>
      </c>
      <c r="L32">
        <v>103</v>
      </c>
      <c r="M32" s="16">
        <v>1.5774575223673801E-2</v>
      </c>
      <c r="N32">
        <v>103</v>
      </c>
      <c r="O32" s="16">
        <v>0.79021051146291299</v>
      </c>
      <c r="P32">
        <v>172</v>
      </c>
      <c r="Q32" s="16">
        <v>8.5127346526177802E-2</v>
      </c>
      <c r="R32">
        <v>112</v>
      </c>
      <c r="S32" s="16">
        <v>4.5370673504178997E-2</v>
      </c>
      <c r="T32" s="11">
        <v>112</v>
      </c>
    </row>
    <row r="33" spans="1:20" outlineLevel="1" x14ac:dyDescent="0.25">
      <c r="A33" s="7" t="s">
        <v>15</v>
      </c>
      <c r="B33" s="9" t="s">
        <v>39</v>
      </c>
      <c r="C33" s="15">
        <v>0.87136934555369205</v>
      </c>
      <c r="D33" s="9">
        <v>465</v>
      </c>
      <c r="E33" s="15">
        <v>1.0393433435468001E-2</v>
      </c>
      <c r="F33" s="9">
        <v>309</v>
      </c>
      <c r="G33" s="15">
        <v>1.46080085263703E-2</v>
      </c>
      <c r="H33" s="9">
        <v>309</v>
      </c>
      <c r="I33" s="15">
        <v>0.86301599581399902</v>
      </c>
      <c r="J33" s="9">
        <v>215</v>
      </c>
      <c r="K33" s="15">
        <v>1.71645248254612E-2</v>
      </c>
      <c r="L33" s="9">
        <v>149</v>
      </c>
      <c r="M33" s="15">
        <v>1.5500923997937101E-2</v>
      </c>
      <c r="N33" s="9">
        <v>149</v>
      </c>
      <c r="O33" s="15">
        <v>0.87895854285384001</v>
      </c>
      <c r="P33" s="9">
        <v>250</v>
      </c>
      <c r="Q33" s="15">
        <v>4.35592186801798E-3</v>
      </c>
      <c r="R33" s="9">
        <v>160</v>
      </c>
      <c r="S33" s="15">
        <v>1.3811831488159501E-2</v>
      </c>
      <c r="T33" s="12">
        <v>160</v>
      </c>
    </row>
    <row r="34" spans="1:20" x14ac:dyDescent="0.25">
      <c r="C34" s="16"/>
      <c r="E34" s="16"/>
      <c r="G34" s="16"/>
      <c r="I34" s="16"/>
      <c r="K34" s="16"/>
      <c r="M34" s="16"/>
      <c r="O34" s="16"/>
      <c r="Q34" s="16"/>
      <c r="S34" s="16"/>
    </row>
    <row r="35" spans="1:20" x14ac:dyDescent="0.25">
      <c r="A35" s="19" t="s">
        <v>40</v>
      </c>
      <c r="B35" s="19"/>
      <c r="C35" s="20"/>
      <c r="D35" s="19"/>
      <c r="E35" s="20"/>
      <c r="F35" s="19"/>
      <c r="G35" s="20"/>
      <c r="H35" s="19"/>
      <c r="I35" s="20"/>
      <c r="J35" s="19"/>
      <c r="K35" s="20"/>
      <c r="L35" s="19"/>
      <c r="M35" s="20"/>
      <c r="N35" s="19"/>
      <c r="O35" s="20"/>
      <c r="P35" s="19"/>
      <c r="Q35" s="20"/>
      <c r="R35" s="19"/>
      <c r="S35" s="20"/>
      <c r="T35" s="19"/>
    </row>
    <row r="36" spans="1:20" outlineLevel="1" x14ac:dyDescent="0.25">
      <c r="A36" s="5" t="s">
        <v>15</v>
      </c>
      <c r="B36" s="8" t="s">
        <v>41</v>
      </c>
      <c r="C36" s="14">
        <v>0.92411556089526703</v>
      </c>
      <c r="D36" s="8">
        <v>131</v>
      </c>
      <c r="E36" s="14"/>
      <c r="F36" s="8"/>
      <c r="G36" s="14"/>
      <c r="H36" s="8"/>
      <c r="I36" s="14">
        <v>0.94215215122384299</v>
      </c>
      <c r="J36" s="8">
        <v>66</v>
      </c>
      <c r="K36" s="14"/>
      <c r="L36" s="8"/>
      <c r="M36" s="14"/>
      <c r="N36" s="8"/>
      <c r="O36" s="14">
        <v>0.90579317577088303</v>
      </c>
      <c r="P36" s="8">
        <v>65</v>
      </c>
      <c r="Q36" s="14"/>
      <c r="R36" s="8"/>
      <c r="S36" s="14"/>
      <c r="T36" s="10"/>
    </row>
    <row r="37" spans="1:20" outlineLevel="1" x14ac:dyDescent="0.25">
      <c r="A37" s="6" t="s">
        <v>15</v>
      </c>
      <c r="B37" t="s">
        <v>42</v>
      </c>
      <c r="C37" s="16">
        <v>0.70319634703196299</v>
      </c>
      <c r="D37">
        <v>219</v>
      </c>
      <c r="E37" s="16">
        <v>5.22875816993464E-2</v>
      </c>
      <c r="F37">
        <v>153</v>
      </c>
      <c r="G37" s="16">
        <v>1.9607843137254902E-2</v>
      </c>
      <c r="H37">
        <v>153</v>
      </c>
      <c r="I37" s="16">
        <v>0.7</v>
      </c>
      <c r="J37">
        <v>110</v>
      </c>
      <c r="K37" s="16">
        <v>3.94736842105263E-2</v>
      </c>
      <c r="L37">
        <v>76</v>
      </c>
      <c r="M37" s="16">
        <v>1.3157894736842099E-2</v>
      </c>
      <c r="N37">
        <v>76</v>
      </c>
      <c r="O37" s="16">
        <v>0.70642201834862395</v>
      </c>
      <c r="P37">
        <v>109</v>
      </c>
      <c r="Q37" s="16">
        <v>6.4935064935064901E-2</v>
      </c>
      <c r="R37">
        <v>77</v>
      </c>
      <c r="S37" s="16">
        <v>2.5974025974026E-2</v>
      </c>
      <c r="T37" s="11">
        <v>77</v>
      </c>
    </row>
    <row r="38" spans="1:20" outlineLevel="1" x14ac:dyDescent="0.25">
      <c r="A38" s="6" t="s">
        <v>15</v>
      </c>
      <c r="B38" t="s">
        <v>43</v>
      </c>
      <c r="C38" s="16">
        <v>0.787610619469027</v>
      </c>
      <c r="D38">
        <v>226</v>
      </c>
      <c r="E38" s="16">
        <v>4.49438202247191E-2</v>
      </c>
      <c r="F38">
        <v>178</v>
      </c>
      <c r="G38" s="16">
        <v>1.1235955056179799E-2</v>
      </c>
      <c r="H38">
        <v>178</v>
      </c>
      <c r="I38" s="16">
        <v>0.81300813008130102</v>
      </c>
      <c r="J38">
        <v>123</v>
      </c>
      <c r="K38" s="16">
        <v>0.03</v>
      </c>
      <c r="L38">
        <v>100</v>
      </c>
      <c r="M38" s="16"/>
      <c r="O38" s="16">
        <v>0.75728155339805803</v>
      </c>
      <c r="P38">
        <v>103</v>
      </c>
      <c r="Q38" s="16">
        <v>6.4102564102564097E-2</v>
      </c>
      <c r="R38">
        <v>78</v>
      </c>
      <c r="S38" s="16">
        <v>2.5641025641025599E-2</v>
      </c>
      <c r="T38" s="11">
        <v>78</v>
      </c>
    </row>
    <row r="39" spans="1:20" outlineLevel="1" x14ac:dyDescent="0.25">
      <c r="A39" s="6" t="s">
        <v>15</v>
      </c>
      <c r="B39" t="s">
        <v>44</v>
      </c>
      <c r="C39" s="16">
        <v>0.54455445544554504</v>
      </c>
      <c r="D39">
        <v>101</v>
      </c>
      <c r="E39" s="16">
        <v>7.2727272727272696E-2</v>
      </c>
      <c r="F39">
        <v>55</v>
      </c>
      <c r="G39" s="16"/>
      <c r="I39" s="16">
        <v>0.61403508771929804</v>
      </c>
      <c r="J39">
        <v>57</v>
      </c>
      <c r="K39" s="16">
        <v>0.114285714285714</v>
      </c>
      <c r="L39">
        <v>35</v>
      </c>
      <c r="M39" s="16"/>
      <c r="O39" s="16">
        <v>0.45454545454545497</v>
      </c>
      <c r="P39">
        <v>44</v>
      </c>
      <c r="Q39" s="16"/>
      <c r="S39" s="16"/>
      <c r="T39" s="11"/>
    </row>
    <row r="40" spans="1:20" outlineLevel="1" x14ac:dyDescent="0.25">
      <c r="A40" s="6" t="s">
        <v>15</v>
      </c>
      <c r="B40" t="s">
        <v>45</v>
      </c>
      <c r="C40" s="16">
        <v>0.81655749309167303</v>
      </c>
      <c r="D40">
        <v>126</v>
      </c>
      <c r="E40" s="16">
        <v>3.9305770605472801E-2</v>
      </c>
      <c r="F40">
        <v>103</v>
      </c>
      <c r="G40" s="16">
        <v>9.8241268513813394E-3</v>
      </c>
      <c r="H40">
        <v>103</v>
      </c>
      <c r="I40" s="16">
        <v>0.83569795462640395</v>
      </c>
      <c r="J40">
        <v>61</v>
      </c>
      <c r="K40" s="16">
        <v>3.9529205113019203E-2</v>
      </c>
      <c r="L40">
        <v>51</v>
      </c>
      <c r="M40" s="16">
        <v>1.97552888946535E-2</v>
      </c>
      <c r="N40">
        <v>51</v>
      </c>
      <c r="O40" s="16">
        <v>0.79846685633341596</v>
      </c>
      <c r="P40">
        <v>65</v>
      </c>
      <c r="Q40" s="16">
        <v>3.9084744210419797E-2</v>
      </c>
      <c r="R40">
        <v>52</v>
      </c>
      <c r="S40" s="16"/>
      <c r="T40" s="11"/>
    </row>
    <row r="41" spans="1:20" outlineLevel="1" x14ac:dyDescent="0.25">
      <c r="A41" s="6" t="s">
        <v>15</v>
      </c>
      <c r="B41" t="s">
        <v>46</v>
      </c>
      <c r="C41" s="16">
        <v>0.32954545454545497</v>
      </c>
      <c r="D41">
        <v>264</v>
      </c>
      <c r="E41" s="16">
        <v>1.1494252873563199E-2</v>
      </c>
      <c r="F41">
        <v>87</v>
      </c>
      <c r="G41" s="16">
        <v>1.1494252873563199E-2</v>
      </c>
      <c r="H41">
        <v>87</v>
      </c>
      <c r="I41" s="16">
        <v>0.321167883211679</v>
      </c>
      <c r="J41">
        <v>137</v>
      </c>
      <c r="K41" s="16"/>
      <c r="M41" s="16"/>
      <c r="O41" s="16">
        <v>0.33858267716535401</v>
      </c>
      <c r="P41">
        <v>127</v>
      </c>
      <c r="Q41" s="16">
        <v>2.32558139534884E-2</v>
      </c>
      <c r="R41">
        <v>43</v>
      </c>
      <c r="S41" s="16">
        <v>2.32558139534884E-2</v>
      </c>
      <c r="T41" s="11">
        <v>43</v>
      </c>
    </row>
    <row r="42" spans="1:20" outlineLevel="1" x14ac:dyDescent="0.25">
      <c r="A42" s="6" t="s">
        <v>15</v>
      </c>
      <c r="B42" t="s">
        <v>47</v>
      </c>
      <c r="C42" s="16">
        <v>0.33806818181818199</v>
      </c>
      <c r="D42">
        <v>352</v>
      </c>
      <c r="E42" s="16">
        <v>1.6806722689075598E-2</v>
      </c>
      <c r="F42">
        <v>119</v>
      </c>
      <c r="G42" s="16">
        <v>1.6806722689075598E-2</v>
      </c>
      <c r="H42">
        <v>119</v>
      </c>
      <c r="I42" s="16">
        <v>0.344444444444444</v>
      </c>
      <c r="J42">
        <v>180</v>
      </c>
      <c r="K42" s="16">
        <v>1.6129032258064498E-2</v>
      </c>
      <c r="L42">
        <v>62</v>
      </c>
      <c r="M42" s="16"/>
      <c r="O42" s="16">
        <v>0.331395348837209</v>
      </c>
      <c r="P42">
        <v>172</v>
      </c>
      <c r="Q42" s="16">
        <v>1.7543859649122799E-2</v>
      </c>
      <c r="R42">
        <v>57</v>
      </c>
      <c r="S42" s="16">
        <v>3.5087719298245598E-2</v>
      </c>
      <c r="T42" s="11">
        <v>57</v>
      </c>
    </row>
    <row r="43" spans="1:20" outlineLevel="1" x14ac:dyDescent="0.25">
      <c r="A43" s="6" t="s">
        <v>15</v>
      </c>
      <c r="B43" t="s">
        <v>48</v>
      </c>
      <c r="C43" s="16">
        <v>0.42499999999999999</v>
      </c>
      <c r="D43">
        <v>160</v>
      </c>
      <c r="E43" s="16">
        <v>0.11764705882352899</v>
      </c>
      <c r="F43">
        <v>68</v>
      </c>
      <c r="G43" s="16">
        <v>2.9411764705882401E-2</v>
      </c>
      <c r="H43">
        <v>68</v>
      </c>
      <c r="I43" s="16">
        <v>0.469879518072289</v>
      </c>
      <c r="J43">
        <v>83</v>
      </c>
      <c r="K43" s="16">
        <v>0.128205128205128</v>
      </c>
      <c r="L43">
        <v>39</v>
      </c>
      <c r="M43" s="16">
        <v>2.5641025641025599E-2</v>
      </c>
      <c r="N43">
        <v>39</v>
      </c>
      <c r="O43" s="16">
        <v>0.37662337662337703</v>
      </c>
      <c r="P43">
        <v>77</v>
      </c>
      <c r="Q43" s="16">
        <v>0.10344827586206901</v>
      </c>
      <c r="R43">
        <v>29</v>
      </c>
      <c r="S43" s="16">
        <v>3.4482758620689703E-2</v>
      </c>
      <c r="T43" s="11">
        <v>29</v>
      </c>
    </row>
    <row r="44" spans="1:20" outlineLevel="1" x14ac:dyDescent="0.25">
      <c r="A44" s="6" t="s">
        <v>15</v>
      </c>
      <c r="B44" t="s">
        <v>49</v>
      </c>
      <c r="C44" s="16">
        <v>0.72156862745098005</v>
      </c>
      <c r="D44">
        <v>255</v>
      </c>
      <c r="E44" s="16">
        <v>4.3478260869565202E-2</v>
      </c>
      <c r="F44">
        <v>184</v>
      </c>
      <c r="G44" s="16">
        <v>1.6304347826087001E-2</v>
      </c>
      <c r="H44">
        <v>184</v>
      </c>
      <c r="I44" s="16">
        <v>0.77272727272727304</v>
      </c>
      <c r="J44">
        <v>132</v>
      </c>
      <c r="K44" s="16">
        <v>2.9411764705882401E-2</v>
      </c>
      <c r="L44">
        <v>102</v>
      </c>
      <c r="M44" s="16">
        <v>1.9607843137254902E-2</v>
      </c>
      <c r="N44">
        <v>102</v>
      </c>
      <c r="O44" s="16">
        <v>0.66666666666666696</v>
      </c>
      <c r="P44">
        <v>123</v>
      </c>
      <c r="Q44" s="16">
        <v>6.0975609756097601E-2</v>
      </c>
      <c r="R44">
        <v>82</v>
      </c>
      <c r="S44" s="16">
        <v>1.21951219512195E-2</v>
      </c>
      <c r="T44" s="11">
        <v>82</v>
      </c>
    </row>
    <row r="45" spans="1:20" outlineLevel="1" x14ac:dyDescent="0.25">
      <c r="A45" s="6" t="s">
        <v>15</v>
      </c>
      <c r="B45" t="s">
        <v>50</v>
      </c>
      <c r="C45" s="16">
        <v>0.75147928994082802</v>
      </c>
      <c r="D45">
        <v>169</v>
      </c>
      <c r="E45" s="16">
        <v>8.3333333333333297E-3</v>
      </c>
      <c r="F45">
        <v>120</v>
      </c>
      <c r="G45" s="16">
        <v>2.5000000000000001E-2</v>
      </c>
      <c r="H45">
        <v>120</v>
      </c>
      <c r="I45" s="16">
        <v>0.74712643678160895</v>
      </c>
      <c r="J45">
        <v>87</v>
      </c>
      <c r="K45" s="16"/>
      <c r="M45" s="16"/>
      <c r="O45" s="16">
        <v>0.75609756097560998</v>
      </c>
      <c r="P45">
        <v>82</v>
      </c>
      <c r="Q45" s="16">
        <v>1.6949152542372899E-2</v>
      </c>
      <c r="R45">
        <v>59</v>
      </c>
      <c r="S45" s="16">
        <v>5.0847457627118599E-2</v>
      </c>
      <c r="T45" s="11">
        <v>59</v>
      </c>
    </row>
    <row r="46" spans="1:20" outlineLevel="1" x14ac:dyDescent="0.25">
      <c r="A46" s="6" t="s">
        <v>15</v>
      </c>
      <c r="B46" t="s">
        <v>51</v>
      </c>
      <c r="C46" s="16">
        <v>0.61111111111111105</v>
      </c>
      <c r="D46">
        <v>180</v>
      </c>
      <c r="E46" s="16">
        <v>2.7522935779816501E-2</v>
      </c>
      <c r="F46">
        <v>109</v>
      </c>
      <c r="G46" s="16">
        <v>1.8348623853211E-2</v>
      </c>
      <c r="H46">
        <v>109</v>
      </c>
      <c r="I46" s="16">
        <v>0.62626262626262597</v>
      </c>
      <c r="J46">
        <v>99</v>
      </c>
      <c r="K46" s="16">
        <v>4.91803278688525E-2</v>
      </c>
      <c r="L46">
        <v>61</v>
      </c>
      <c r="M46" s="16">
        <v>1.63934426229508E-2</v>
      </c>
      <c r="N46">
        <v>61</v>
      </c>
      <c r="O46" s="16">
        <v>0.592592592592593</v>
      </c>
      <c r="P46">
        <v>81</v>
      </c>
      <c r="Q46" s="16"/>
      <c r="S46" s="16">
        <v>2.0833333333333301E-2</v>
      </c>
      <c r="T46" s="11">
        <v>48</v>
      </c>
    </row>
    <row r="47" spans="1:20" outlineLevel="1" x14ac:dyDescent="0.25">
      <c r="A47" s="6" t="s">
        <v>15</v>
      </c>
      <c r="B47" t="s">
        <v>52</v>
      </c>
      <c r="C47" s="16">
        <v>0.51101297194406003</v>
      </c>
      <c r="D47">
        <v>265</v>
      </c>
      <c r="E47" s="16">
        <v>1.5678806195142E-2</v>
      </c>
      <c r="F47">
        <v>133</v>
      </c>
      <c r="G47" s="16">
        <v>7.8394030975709808E-3</v>
      </c>
      <c r="H47">
        <v>133</v>
      </c>
      <c r="I47" s="16">
        <v>0.52739645998576501</v>
      </c>
      <c r="J47">
        <v>121</v>
      </c>
      <c r="K47" s="16">
        <v>1.6562141288878299E-2</v>
      </c>
      <c r="L47">
        <v>63</v>
      </c>
      <c r="M47" s="16">
        <v>1.6562141288878299E-2</v>
      </c>
      <c r="N47">
        <v>63</v>
      </c>
      <c r="O47" s="16">
        <v>0.493384668954582</v>
      </c>
      <c r="P47">
        <v>143</v>
      </c>
      <c r="Q47" s="16">
        <v>1.51098334998616E-2</v>
      </c>
      <c r="R47">
        <v>69</v>
      </c>
      <c r="S47" s="16"/>
      <c r="T47" s="11"/>
    </row>
    <row r="48" spans="1:20" outlineLevel="1" x14ac:dyDescent="0.25">
      <c r="A48" s="6" t="s">
        <v>15</v>
      </c>
      <c r="B48" t="s">
        <v>53</v>
      </c>
      <c r="C48" s="16">
        <v>0.36900369003689998</v>
      </c>
      <c r="D48">
        <v>271</v>
      </c>
      <c r="E48" s="16">
        <v>0.02</v>
      </c>
      <c r="F48">
        <v>100</v>
      </c>
      <c r="G48" s="16">
        <v>0.02</v>
      </c>
      <c r="H48">
        <v>100</v>
      </c>
      <c r="I48" s="16">
        <v>0.375</v>
      </c>
      <c r="J48">
        <v>144</v>
      </c>
      <c r="K48" s="16"/>
      <c r="M48" s="16">
        <v>3.7037037037037E-2</v>
      </c>
      <c r="N48">
        <v>54</v>
      </c>
      <c r="O48" s="16">
        <v>0.36220472440944901</v>
      </c>
      <c r="P48">
        <v>127</v>
      </c>
      <c r="Q48" s="16">
        <v>4.3478260869565202E-2</v>
      </c>
      <c r="R48">
        <v>46</v>
      </c>
      <c r="S48" s="16"/>
      <c r="T48" s="11"/>
    </row>
    <row r="49" spans="1:20" outlineLevel="1" x14ac:dyDescent="0.25">
      <c r="A49" s="6" t="s">
        <v>15</v>
      </c>
      <c r="B49" t="s">
        <v>54</v>
      </c>
      <c r="C49" s="16">
        <v>0.44004415700009802</v>
      </c>
      <c r="D49">
        <v>294</v>
      </c>
      <c r="E49" s="16">
        <v>6.0221183145949403E-2</v>
      </c>
      <c r="F49">
        <v>130</v>
      </c>
      <c r="G49" s="16">
        <v>6.7681517284858703E-2</v>
      </c>
      <c r="H49">
        <v>130</v>
      </c>
      <c r="I49" s="16">
        <v>0.440880993967322</v>
      </c>
      <c r="J49">
        <v>137</v>
      </c>
      <c r="K49" s="16">
        <v>3.1918181562754597E-2</v>
      </c>
      <c r="L49">
        <v>61</v>
      </c>
      <c r="M49" s="16">
        <v>6.3836363125509304E-2</v>
      </c>
      <c r="N49">
        <v>61</v>
      </c>
      <c r="O49" s="16">
        <v>0.442032619597924</v>
      </c>
      <c r="P49">
        <v>156</v>
      </c>
      <c r="Q49" s="16">
        <v>8.5065976075965E-2</v>
      </c>
      <c r="R49">
        <v>69</v>
      </c>
      <c r="S49" s="16">
        <v>7.1056850413121195E-2</v>
      </c>
      <c r="T49" s="11">
        <v>69</v>
      </c>
    </row>
    <row r="50" spans="1:20" outlineLevel="1" x14ac:dyDescent="0.25">
      <c r="A50" s="6" t="s">
        <v>15</v>
      </c>
      <c r="B50" t="s">
        <v>55</v>
      </c>
      <c r="C50" s="16">
        <v>0.67634433718270004</v>
      </c>
      <c r="D50">
        <v>235</v>
      </c>
      <c r="E50" s="16">
        <v>7.8819793564749302E-2</v>
      </c>
      <c r="F50">
        <v>155</v>
      </c>
      <c r="G50" s="16">
        <v>2.4319130337476999E-2</v>
      </c>
      <c r="H50">
        <v>155</v>
      </c>
      <c r="I50" s="16">
        <v>0.719815242332289</v>
      </c>
      <c r="J50">
        <v>112</v>
      </c>
      <c r="K50" s="16">
        <v>5.6659893646721401E-2</v>
      </c>
      <c r="L50">
        <v>79</v>
      </c>
      <c r="M50" s="16">
        <v>2.4240124442342598E-2</v>
      </c>
      <c r="N50">
        <v>79</v>
      </c>
      <c r="O50" s="16">
        <v>0.64684835549635999</v>
      </c>
      <c r="P50">
        <v>121</v>
      </c>
      <c r="Q50" s="16">
        <v>0.101124617462658</v>
      </c>
      <c r="R50">
        <v>76</v>
      </c>
      <c r="S50" s="16">
        <v>2.4398652924870801E-2</v>
      </c>
      <c r="T50" s="11">
        <v>76</v>
      </c>
    </row>
    <row r="51" spans="1:20" outlineLevel="1" x14ac:dyDescent="0.25">
      <c r="A51" s="6" t="s">
        <v>15</v>
      </c>
      <c r="B51" t="s">
        <v>56</v>
      </c>
      <c r="C51" s="16">
        <v>0.56581912497188502</v>
      </c>
      <c r="D51">
        <v>208</v>
      </c>
      <c r="E51" s="16">
        <v>5.7925070879033001E-2</v>
      </c>
      <c r="F51">
        <v>118</v>
      </c>
      <c r="G51" s="16">
        <v>3.4002289911368701E-2</v>
      </c>
      <c r="H51">
        <v>118</v>
      </c>
      <c r="I51" s="16">
        <v>0.52565828929310598</v>
      </c>
      <c r="J51">
        <v>114</v>
      </c>
      <c r="K51" s="16">
        <v>8.1858227624304197E-2</v>
      </c>
      <c r="L51">
        <v>60</v>
      </c>
      <c r="M51" s="16">
        <v>4.9466016989897402E-2</v>
      </c>
      <c r="N51">
        <v>60</v>
      </c>
      <c r="O51" s="16">
        <v>0.61064362990792898</v>
      </c>
      <c r="P51">
        <v>93</v>
      </c>
      <c r="Q51" s="16">
        <v>1.7294310741250499E-2</v>
      </c>
      <c r="R51">
        <v>57</v>
      </c>
      <c r="S51" s="16">
        <v>1.8263544152862399E-2</v>
      </c>
      <c r="T51" s="11">
        <v>57</v>
      </c>
    </row>
    <row r="52" spans="1:20" outlineLevel="1" x14ac:dyDescent="0.25">
      <c r="A52" s="6" t="s">
        <v>15</v>
      </c>
      <c r="B52" t="s">
        <v>57</v>
      </c>
      <c r="C52" s="16">
        <v>0.504643904674002</v>
      </c>
      <c r="D52">
        <v>191</v>
      </c>
      <c r="E52" s="16">
        <v>5.1561174773068E-2</v>
      </c>
      <c r="F52">
        <v>97</v>
      </c>
      <c r="G52" s="16">
        <v>1.0340811645794701E-2</v>
      </c>
      <c r="H52">
        <v>97</v>
      </c>
      <c r="I52" s="16">
        <v>0.53860559123078899</v>
      </c>
      <c r="J52">
        <v>94</v>
      </c>
      <c r="K52" s="16">
        <v>5.8872054191361302E-2</v>
      </c>
      <c r="L52">
        <v>51</v>
      </c>
      <c r="M52" s="16"/>
      <c r="O52" s="16">
        <v>0.47182468115023801</v>
      </c>
      <c r="P52">
        <v>97</v>
      </c>
      <c r="Q52" s="16">
        <v>4.3496276835508101E-2</v>
      </c>
      <c r="R52">
        <v>46</v>
      </c>
      <c r="S52" s="16">
        <v>2.1748138417754099E-2</v>
      </c>
      <c r="T52" s="11">
        <v>46</v>
      </c>
    </row>
    <row r="53" spans="1:20" outlineLevel="1" x14ac:dyDescent="0.25">
      <c r="A53" s="6" t="s">
        <v>15</v>
      </c>
      <c r="B53" t="s">
        <v>58</v>
      </c>
      <c r="C53" s="16">
        <v>0.46198227884010001</v>
      </c>
      <c r="D53">
        <v>152</v>
      </c>
      <c r="E53" s="16">
        <v>0.16022488568712701</v>
      </c>
      <c r="F53">
        <v>70</v>
      </c>
      <c r="G53" s="16">
        <v>6.0159065132665203E-2</v>
      </c>
      <c r="H53">
        <v>70</v>
      </c>
      <c r="I53" s="16">
        <v>0.454075771883864</v>
      </c>
      <c r="J53">
        <v>73</v>
      </c>
      <c r="K53" s="16">
        <v>0.119485932262013</v>
      </c>
      <c r="L53">
        <v>33</v>
      </c>
      <c r="M53" s="16"/>
      <c r="O53" s="16">
        <v>0.46894916784023599</v>
      </c>
      <c r="P53">
        <v>79</v>
      </c>
      <c r="Q53" s="16">
        <v>0.19498383674852701</v>
      </c>
      <c r="R53">
        <v>37</v>
      </c>
      <c r="S53" s="16">
        <v>0.111487482409995</v>
      </c>
      <c r="T53" s="11">
        <v>37</v>
      </c>
    </row>
    <row r="54" spans="1:20" outlineLevel="1" x14ac:dyDescent="0.25">
      <c r="A54" s="6" t="s">
        <v>15</v>
      </c>
      <c r="B54" t="s">
        <v>59</v>
      </c>
      <c r="C54" s="16">
        <v>0.75796178343948994</v>
      </c>
      <c r="D54">
        <v>157</v>
      </c>
      <c r="E54" s="16">
        <v>2.5210084033613401E-2</v>
      </c>
      <c r="F54">
        <v>119</v>
      </c>
      <c r="G54" s="16">
        <v>2.5210084033613401E-2</v>
      </c>
      <c r="H54">
        <v>119</v>
      </c>
      <c r="I54" s="16">
        <v>0.75903614457831303</v>
      </c>
      <c r="J54">
        <v>83</v>
      </c>
      <c r="K54" s="16">
        <v>1.58730158730159E-2</v>
      </c>
      <c r="L54">
        <v>63</v>
      </c>
      <c r="M54" s="16">
        <v>1.58730158730159E-2</v>
      </c>
      <c r="N54">
        <v>63</v>
      </c>
      <c r="O54" s="16">
        <v>0.75675675675675702</v>
      </c>
      <c r="P54">
        <v>74</v>
      </c>
      <c r="Q54" s="16">
        <v>3.5714285714285698E-2</v>
      </c>
      <c r="R54">
        <v>56</v>
      </c>
      <c r="S54" s="16">
        <v>3.5714285714285698E-2</v>
      </c>
      <c r="T54" s="11">
        <v>56</v>
      </c>
    </row>
    <row r="55" spans="1:20" outlineLevel="1" x14ac:dyDescent="0.25">
      <c r="A55" s="6" t="s">
        <v>15</v>
      </c>
      <c r="B55" t="s">
        <v>60</v>
      </c>
      <c r="C55" s="16">
        <v>0.39751552795031098</v>
      </c>
      <c r="D55">
        <v>161</v>
      </c>
      <c r="E55" s="16">
        <v>1.5625E-2</v>
      </c>
      <c r="F55">
        <v>64</v>
      </c>
      <c r="G55" s="16">
        <v>7.8125E-2</v>
      </c>
      <c r="H55">
        <v>64</v>
      </c>
      <c r="I55" s="16">
        <v>0.36249999999999999</v>
      </c>
      <c r="J55">
        <v>80</v>
      </c>
      <c r="K55" s="16"/>
      <c r="M55" s="16">
        <v>6.8965517241379296E-2</v>
      </c>
      <c r="N55">
        <v>29</v>
      </c>
      <c r="O55" s="16">
        <v>0.43209876543209902</v>
      </c>
      <c r="P55">
        <v>81</v>
      </c>
      <c r="Q55" s="16">
        <v>2.8571428571428598E-2</v>
      </c>
      <c r="R55">
        <v>35</v>
      </c>
      <c r="S55" s="16">
        <v>8.5714285714285701E-2</v>
      </c>
      <c r="T55" s="11">
        <v>35</v>
      </c>
    </row>
    <row r="56" spans="1:20" outlineLevel="1" x14ac:dyDescent="0.25">
      <c r="A56" s="6" t="s">
        <v>15</v>
      </c>
      <c r="B56" t="s">
        <v>61</v>
      </c>
      <c r="C56" s="16">
        <v>0.86</v>
      </c>
      <c r="D56">
        <v>150</v>
      </c>
      <c r="E56" s="16">
        <v>4.6511627906976702E-2</v>
      </c>
      <c r="F56">
        <v>129</v>
      </c>
      <c r="G56" s="16">
        <v>3.8759689922480599E-2</v>
      </c>
      <c r="H56">
        <v>129</v>
      </c>
      <c r="I56" s="16">
        <v>0.85185185185185197</v>
      </c>
      <c r="J56">
        <v>81</v>
      </c>
      <c r="K56" s="16">
        <v>5.7971014492753603E-2</v>
      </c>
      <c r="L56">
        <v>69</v>
      </c>
      <c r="M56" s="16">
        <v>5.7971014492753603E-2</v>
      </c>
      <c r="N56">
        <v>69</v>
      </c>
      <c r="O56" s="16">
        <v>0.86956521739130399</v>
      </c>
      <c r="P56">
        <v>69</v>
      </c>
      <c r="Q56" s="16">
        <v>3.3333333333333298E-2</v>
      </c>
      <c r="R56">
        <v>60</v>
      </c>
      <c r="S56" s="16">
        <v>1.6666666666666701E-2</v>
      </c>
      <c r="T56" s="11">
        <v>60</v>
      </c>
    </row>
    <row r="57" spans="1:20" outlineLevel="1" x14ac:dyDescent="0.25">
      <c r="A57" s="6" t="s">
        <v>15</v>
      </c>
      <c r="B57" t="s">
        <v>62</v>
      </c>
      <c r="C57" s="16">
        <v>0.66399466944936802</v>
      </c>
      <c r="D57">
        <v>195</v>
      </c>
      <c r="E57" s="16">
        <v>3.0421267918027899E-2</v>
      </c>
      <c r="F57">
        <v>130</v>
      </c>
      <c r="G57" s="16">
        <v>1.36027331657721E-2</v>
      </c>
      <c r="H57">
        <v>130</v>
      </c>
      <c r="I57" s="16">
        <v>0.62258194123102495</v>
      </c>
      <c r="J57">
        <v>91</v>
      </c>
      <c r="K57" s="16">
        <v>3.0827332808966799E-2</v>
      </c>
      <c r="L57">
        <v>57</v>
      </c>
      <c r="M57" s="16"/>
      <c r="O57" s="16">
        <v>0.70080874311030406</v>
      </c>
      <c r="P57">
        <v>104</v>
      </c>
      <c r="Q57" s="16">
        <v>3.01005874683309E-2</v>
      </c>
      <c r="R57">
        <v>73</v>
      </c>
      <c r="S57" s="16">
        <v>2.4345180213143799E-2</v>
      </c>
      <c r="T57" s="11">
        <v>73</v>
      </c>
    </row>
    <row r="58" spans="1:20" outlineLevel="1" x14ac:dyDescent="0.25">
      <c r="A58" s="6" t="s">
        <v>15</v>
      </c>
      <c r="B58" t="s">
        <v>63</v>
      </c>
      <c r="C58" s="16">
        <v>0.82029153626788298</v>
      </c>
      <c r="D58">
        <v>216</v>
      </c>
      <c r="E58" s="16">
        <v>2.3046704840113799E-2</v>
      </c>
      <c r="F58">
        <v>176</v>
      </c>
      <c r="G58" s="16">
        <v>1.06199089571135E-2</v>
      </c>
      <c r="H58">
        <v>176</v>
      </c>
      <c r="I58" s="16">
        <v>0.83145471424721595</v>
      </c>
      <c r="J58">
        <v>122</v>
      </c>
      <c r="K58" s="16">
        <v>1.01080768372063E-2</v>
      </c>
      <c r="L58">
        <v>101</v>
      </c>
      <c r="M58" s="16">
        <v>1.8550391459210398E-2</v>
      </c>
      <c r="N58">
        <v>101</v>
      </c>
      <c r="O58" s="16">
        <v>0.80580382586160604</v>
      </c>
      <c r="P58">
        <v>94</v>
      </c>
      <c r="Q58" s="16">
        <v>4.0373147636564598E-2</v>
      </c>
      <c r="R58">
        <v>75</v>
      </c>
      <c r="S58" s="16"/>
      <c r="T58" s="11"/>
    </row>
    <row r="59" spans="1:20" outlineLevel="1" x14ac:dyDescent="0.25">
      <c r="A59" s="6" t="s">
        <v>15</v>
      </c>
      <c r="B59" t="s">
        <v>64</v>
      </c>
      <c r="C59" s="16">
        <v>0.62080084847976202</v>
      </c>
      <c r="D59">
        <v>182</v>
      </c>
      <c r="E59" s="16">
        <v>3.5352136548883702E-2</v>
      </c>
      <c r="F59">
        <v>113</v>
      </c>
      <c r="G59" s="16">
        <v>8.8589082891162504E-3</v>
      </c>
      <c r="H59">
        <v>113</v>
      </c>
      <c r="I59" s="16">
        <v>0.64932044494907004</v>
      </c>
      <c r="J59">
        <v>100</v>
      </c>
      <c r="K59" s="16">
        <v>3.0847511681657402E-2</v>
      </c>
      <c r="L59">
        <v>65</v>
      </c>
      <c r="M59" s="16"/>
      <c r="O59" s="16">
        <v>0.58606441607875104</v>
      </c>
      <c r="P59">
        <v>82</v>
      </c>
      <c r="Q59" s="16">
        <v>4.1430885257255599E-2</v>
      </c>
      <c r="R59">
        <v>48</v>
      </c>
      <c r="S59" s="16">
        <v>2.0813528020461099E-2</v>
      </c>
      <c r="T59" s="11">
        <v>48</v>
      </c>
    </row>
    <row r="60" spans="1:20" outlineLevel="1" x14ac:dyDescent="0.25">
      <c r="A60" s="6" t="s">
        <v>15</v>
      </c>
      <c r="B60" t="s">
        <v>65</v>
      </c>
      <c r="C60" s="16">
        <v>0.88157894736842102</v>
      </c>
      <c r="D60">
        <v>152</v>
      </c>
      <c r="E60" s="16">
        <v>2.2388059701492501E-2</v>
      </c>
      <c r="F60">
        <v>134</v>
      </c>
      <c r="G60" s="16">
        <v>7.4626865671641798E-3</v>
      </c>
      <c r="H60">
        <v>134</v>
      </c>
      <c r="I60" s="16">
        <v>0.88</v>
      </c>
      <c r="J60">
        <v>75</v>
      </c>
      <c r="K60" s="16">
        <v>3.03030303030303E-2</v>
      </c>
      <c r="L60">
        <v>66</v>
      </c>
      <c r="M60" s="16"/>
      <c r="O60" s="16">
        <v>0.88311688311688297</v>
      </c>
      <c r="P60">
        <v>77</v>
      </c>
      <c r="Q60" s="16">
        <v>1.4705882352941201E-2</v>
      </c>
      <c r="R60">
        <v>68</v>
      </c>
      <c r="S60" s="16">
        <v>1.4705882352941201E-2</v>
      </c>
      <c r="T60" s="11">
        <v>68</v>
      </c>
    </row>
    <row r="61" spans="1:20" outlineLevel="1" x14ac:dyDescent="0.25">
      <c r="A61" s="6" t="s">
        <v>15</v>
      </c>
      <c r="B61" t="s">
        <v>66</v>
      </c>
      <c r="C61" s="16">
        <v>0.47839506172839502</v>
      </c>
      <c r="D61">
        <v>324</v>
      </c>
      <c r="E61" s="16">
        <v>5.16129032258065E-2</v>
      </c>
      <c r="F61">
        <v>155</v>
      </c>
      <c r="G61" s="16">
        <v>5.8064516129032302E-2</v>
      </c>
      <c r="H61">
        <v>155</v>
      </c>
      <c r="I61" s="16">
        <v>0.45512820512820501</v>
      </c>
      <c r="J61">
        <v>156</v>
      </c>
      <c r="K61" s="16">
        <v>5.63380281690141E-2</v>
      </c>
      <c r="L61">
        <v>71</v>
      </c>
      <c r="M61" s="16">
        <v>1.4084507042253501E-2</v>
      </c>
      <c r="N61">
        <v>71</v>
      </c>
      <c r="O61" s="16">
        <v>0.5</v>
      </c>
      <c r="P61">
        <v>168</v>
      </c>
      <c r="Q61" s="16">
        <v>4.7619047619047603E-2</v>
      </c>
      <c r="R61">
        <v>84</v>
      </c>
      <c r="S61" s="16">
        <v>9.5238095238095205E-2</v>
      </c>
      <c r="T61" s="11">
        <v>84</v>
      </c>
    </row>
    <row r="62" spans="1:20" outlineLevel="1" x14ac:dyDescent="0.25">
      <c r="A62" s="6" t="s">
        <v>15</v>
      </c>
      <c r="B62" t="s">
        <v>67</v>
      </c>
      <c r="C62" s="16">
        <v>0.38202247191011202</v>
      </c>
      <c r="D62">
        <v>356</v>
      </c>
      <c r="E62" s="16">
        <v>7.3529411764705899E-2</v>
      </c>
      <c r="F62">
        <v>136</v>
      </c>
      <c r="G62" s="16">
        <v>6.6176470588235295E-2</v>
      </c>
      <c r="H62">
        <v>136</v>
      </c>
      <c r="I62" s="16">
        <v>0.42134831460674199</v>
      </c>
      <c r="J62">
        <v>178</v>
      </c>
      <c r="K62" s="16">
        <v>5.3333333333333302E-2</v>
      </c>
      <c r="L62">
        <v>75</v>
      </c>
      <c r="M62" s="16">
        <v>5.3333333333333302E-2</v>
      </c>
      <c r="N62">
        <v>75</v>
      </c>
      <c r="O62" s="16">
        <v>0.34463276836158202</v>
      </c>
      <c r="P62">
        <v>177</v>
      </c>
      <c r="Q62" s="16">
        <v>9.8360655737704902E-2</v>
      </c>
      <c r="R62">
        <v>61</v>
      </c>
      <c r="S62" s="16">
        <v>8.1967213114754106E-2</v>
      </c>
      <c r="T62" s="11">
        <v>61</v>
      </c>
    </row>
    <row r="63" spans="1:20" outlineLevel="1" x14ac:dyDescent="0.25">
      <c r="A63" s="6" t="s">
        <v>15</v>
      </c>
      <c r="B63" t="s">
        <v>68</v>
      </c>
      <c r="C63" s="16">
        <v>0.58510638297872297</v>
      </c>
      <c r="D63">
        <v>282</v>
      </c>
      <c r="E63" s="16">
        <v>1.22699386503067E-2</v>
      </c>
      <c r="F63">
        <v>163</v>
      </c>
      <c r="G63" s="16">
        <v>1.22699386503067E-2</v>
      </c>
      <c r="H63">
        <v>163</v>
      </c>
      <c r="I63" s="16">
        <v>0.58823529411764697</v>
      </c>
      <c r="J63">
        <v>153</v>
      </c>
      <c r="K63" s="16"/>
      <c r="M63" s="16"/>
      <c r="O63" s="16">
        <v>0.581395348837209</v>
      </c>
      <c r="P63">
        <v>129</v>
      </c>
      <c r="Q63" s="16">
        <v>2.7027027027027001E-2</v>
      </c>
      <c r="R63">
        <v>74</v>
      </c>
      <c r="S63" s="16">
        <v>2.7027027027027001E-2</v>
      </c>
      <c r="T63" s="11">
        <v>74</v>
      </c>
    </row>
    <row r="64" spans="1:20" outlineLevel="1" x14ac:dyDescent="0.25">
      <c r="A64" s="6" t="s">
        <v>15</v>
      </c>
      <c r="B64" t="s">
        <v>69</v>
      </c>
      <c r="C64" s="16">
        <v>0.42996742671009802</v>
      </c>
      <c r="D64">
        <v>307</v>
      </c>
      <c r="E64" s="16">
        <v>3.7878787878787901E-2</v>
      </c>
      <c r="F64">
        <v>132</v>
      </c>
      <c r="G64" s="16">
        <v>1.5151515151515201E-2</v>
      </c>
      <c r="H64">
        <v>132</v>
      </c>
      <c r="I64" s="16">
        <v>0.46103896103896103</v>
      </c>
      <c r="J64">
        <v>154</v>
      </c>
      <c r="K64" s="16">
        <v>4.2253521126760597E-2</v>
      </c>
      <c r="L64">
        <v>71</v>
      </c>
      <c r="M64" s="16">
        <v>2.8169014084507001E-2</v>
      </c>
      <c r="N64">
        <v>71</v>
      </c>
      <c r="O64" s="16">
        <v>0.39869281045751598</v>
      </c>
      <c r="P64">
        <v>153</v>
      </c>
      <c r="Q64" s="16">
        <v>3.2786885245901599E-2</v>
      </c>
      <c r="R64">
        <v>61</v>
      </c>
      <c r="S64" s="16"/>
      <c r="T64" s="11"/>
    </row>
    <row r="65" spans="1:20" outlineLevel="1" x14ac:dyDescent="0.25">
      <c r="A65" s="6" t="s">
        <v>15</v>
      </c>
      <c r="B65" t="s">
        <v>70</v>
      </c>
      <c r="C65" s="16">
        <v>0.14857142857142899</v>
      </c>
      <c r="D65">
        <v>175</v>
      </c>
      <c r="E65" s="16"/>
      <c r="G65" s="16">
        <v>7.69230769230769E-2</v>
      </c>
      <c r="H65">
        <v>26</v>
      </c>
      <c r="I65" s="16">
        <v>0.125</v>
      </c>
      <c r="J65">
        <v>80</v>
      </c>
      <c r="K65" s="16"/>
      <c r="M65" s="16"/>
      <c r="O65" s="16">
        <v>0.168421052631579</v>
      </c>
      <c r="P65">
        <v>95</v>
      </c>
      <c r="Q65" s="16"/>
      <c r="S65" s="16">
        <v>0.125</v>
      </c>
      <c r="T65" s="11">
        <v>16</v>
      </c>
    </row>
    <row r="66" spans="1:20" outlineLevel="1" x14ac:dyDescent="0.25">
      <c r="A66" s="6" t="s">
        <v>15</v>
      </c>
      <c r="B66" t="s">
        <v>71</v>
      </c>
      <c r="C66" s="16">
        <v>0.25405405405405401</v>
      </c>
      <c r="D66">
        <v>185</v>
      </c>
      <c r="E66" s="16">
        <v>6.5217391304347797E-2</v>
      </c>
      <c r="F66">
        <v>46</v>
      </c>
      <c r="G66" s="16">
        <v>2.1739130434782601E-2</v>
      </c>
      <c r="H66">
        <v>46</v>
      </c>
      <c r="I66" s="16">
        <v>0.28723404255319102</v>
      </c>
      <c r="J66">
        <v>94</v>
      </c>
      <c r="K66" s="16">
        <v>7.4074074074074098E-2</v>
      </c>
      <c r="L66">
        <v>27</v>
      </c>
      <c r="M66" s="16">
        <v>3.7037037037037E-2</v>
      </c>
      <c r="N66">
        <v>27</v>
      </c>
      <c r="O66" s="16">
        <v>0.21978021978022</v>
      </c>
      <c r="P66">
        <v>91</v>
      </c>
      <c r="Q66" s="16">
        <v>5.2631578947368397E-2</v>
      </c>
      <c r="R66">
        <v>19</v>
      </c>
      <c r="S66" s="16"/>
      <c r="T66" s="11"/>
    </row>
    <row r="67" spans="1:20" outlineLevel="1" x14ac:dyDescent="0.25">
      <c r="A67" s="6" t="s">
        <v>15</v>
      </c>
      <c r="B67" t="s">
        <v>72</v>
      </c>
      <c r="C67" s="16">
        <v>7.9545454545454503E-2</v>
      </c>
      <c r="D67">
        <v>176</v>
      </c>
      <c r="E67" s="16">
        <v>0.14285714285714299</v>
      </c>
      <c r="F67">
        <v>14</v>
      </c>
      <c r="G67" s="16"/>
      <c r="I67" s="16">
        <v>9.0909090909090898E-2</v>
      </c>
      <c r="J67">
        <v>88</v>
      </c>
      <c r="K67" s="16">
        <v>0.25</v>
      </c>
      <c r="L67">
        <v>8</v>
      </c>
      <c r="M67" s="16"/>
      <c r="O67" s="16">
        <v>6.8181818181818205E-2</v>
      </c>
      <c r="P67">
        <v>88</v>
      </c>
      <c r="Q67" s="16"/>
      <c r="S67" s="16"/>
      <c r="T67" s="11"/>
    </row>
    <row r="68" spans="1:20" outlineLevel="1" x14ac:dyDescent="0.25">
      <c r="A68" s="6" t="s">
        <v>15</v>
      </c>
      <c r="B68" t="s">
        <v>73</v>
      </c>
      <c r="C68" s="16">
        <v>0.85161290322580596</v>
      </c>
      <c r="D68">
        <v>155</v>
      </c>
      <c r="E68" s="16">
        <v>1.5151515151515201E-2</v>
      </c>
      <c r="F68">
        <v>132</v>
      </c>
      <c r="G68" s="16">
        <v>7.5757575757575803E-3</v>
      </c>
      <c r="H68">
        <v>132</v>
      </c>
      <c r="I68" s="16">
        <v>0.86301369863013699</v>
      </c>
      <c r="J68">
        <v>73</v>
      </c>
      <c r="K68" s="16">
        <v>1.58730158730159E-2</v>
      </c>
      <c r="L68">
        <v>63</v>
      </c>
      <c r="M68" s="16">
        <v>1.58730158730159E-2</v>
      </c>
      <c r="N68">
        <v>63</v>
      </c>
      <c r="O68" s="16">
        <v>0.84146341463414598</v>
      </c>
      <c r="P68">
        <v>82</v>
      </c>
      <c r="Q68" s="16">
        <v>1.4492753623188401E-2</v>
      </c>
      <c r="R68">
        <v>69</v>
      </c>
      <c r="S68" s="16"/>
      <c r="T68" s="11"/>
    </row>
    <row r="69" spans="1:20" outlineLevel="1" x14ac:dyDescent="0.25">
      <c r="A69" s="6" t="s">
        <v>15</v>
      </c>
      <c r="B69" t="s">
        <v>74</v>
      </c>
      <c r="C69" s="16">
        <v>0.206666666666667</v>
      </c>
      <c r="D69">
        <v>150</v>
      </c>
      <c r="E69" s="16"/>
      <c r="G69" s="16">
        <v>3.2258064516128997E-2</v>
      </c>
      <c r="H69">
        <v>31</v>
      </c>
      <c r="I69" s="16">
        <v>0.18292682926829301</v>
      </c>
      <c r="J69">
        <v>82</v>
      </c>
      <c r="K69" s="16"/>
      <c r="M69" s="16"/>
      <c r="O69" s="16">
        <v>0.23529411764705899</v>
      </c>
      <c r="P69">
        <v>68</v>
      </c>
      <c r="Q69" s="16"/>
      <c r="S69" s="16">
        <v>6.25E-2</v>
      </c>
      <c r="T69" s="11">
        <v>16</v>
      </c>
    </row>
    <row r="70" spans="1:20" outlineLevel="1" x14ac:dyDescent="0.25">
      <c r="A70" s="6" t="s">
        <v>15</v>
      </c>
      <c r="B70" t="s">
        <v>75</v>
      </c>
      <c r="C70" s="16">
        <v>0.60122699386503098</v>
      </c>
      <c r="D70">
        <v>163</v>
      </c>
      <c r="E70" s="16">
        <v>9.2783505154639206E-2</v>
      </c>
      <c r="F70">
        <v>97</v>
      </c>
      <c r="G70" s="16">
        <v>3.09278350515464E-2</v>
      </c>
      <c r="H70">
        <v>97</v>
      </c>
      <c r="I70" s="16">
        <v>0.59302325581395299</v>
      </c>
      <c r="J70">
        <v>86</v>
      </c>
      <c r="K70" s="16">
        <v>0.08</v>
      </c>
      <c r="L70">
        <v>50</v>
      </c>
      <c r="M70" s="16">
        <v>0.06</v>
      </c>
      <c r="N70">
        <v>50</v>
      </c>
      <c r="O70" s="16">
        <v>0.61038961038961004</v>
      </c>
      <c r="P70">
        <v>77</v>
      </c>
      <c r="Q70" s="16">
        <v>0.10638297872340401</v>
      </c>
      <c r="R70">
        <v>47</v>
      </c>
      <c r="S70" s="16"/>
      <c r="T70" s="11"/>
    </row>
    <row r="71" spans="1:20" outlineLevel="1" x14ac:dyDescent="0.25">
      <c r="A71" s="6" t="s">
        <v>15</v>
      </c>
      <c r="B71" t="s">
        <v>76</v>
      </c>
      <c r="C71" s="16">
        <v>0.44680851063829802</v>
      </c>
      <c r="D71">
        <v>141</v>
      </c>
      <c r="E71" s="16">
        <v>3.1746031746031703E-2</v>
      </c>
      <c r="F71">
        <v>63</v>
      </c>
      <c r="G71" s="16">
        <v>1.58730158730159E-2</v>
      </c>
      <c r="H71">
        <v>63</v>
      </c>
      <c r="I71" s="16">
        <v>0.38636363636363602</v>
      </c>
      <c r="J71">
        <v>88</v>
      </c>
      <c r="K71" s="16">
        <v>2.9411764705882401E-2</v>
      </c>
      <c r="L71">
        <v>34</v>
      </c>
      <c r="M71" s="16"/>
      <c r="O71" s="16">
        <v>0.54716981132075504</v>
      </c>
      <c r="P71">
        <v>53</v>
      </c>
      <c r="Q71" s="16">
        <v>3.4482758620689703E-2</v>
      </c>
      <c r="R71">
        <v>29</v>
      </c>
      <c r="S71" s="16">
        <v>3.4482758620689703E-2</v>
      </c>
      <c r="T71" s="11">
        <v>29</v>
      </c>
    </row>
    <row r="72" spans="1:20" outlineLevel="1" x14ac:dyDescent="0.25">
      <c r="A72" s="6" t="s">
        <v>15</v>
      </c>
      <c r="B72" t="s">
        <v>77</v>
      </c>
      <c r="C72" s="16">
        <v>0.54705882352941204</v>
      </c>
      <c r="D72">
        <v>170</v>
      </c>
      <c r="E72" s="16">
        <v>1.0752688172042999E-2</v>
      </c>
      <c r="F72">
        <v>93</v>
      </c>
      <c r="G72" s="16">
        <v>1.0752688172042999E-2</v>
      </c>
      <c r="H72">
        <v>93</v>
      </c>
      <c r="I72" s="16">
        <v>0.48684210526315802</v>
      </c>
      <c r="J72">
        <v>76</v>
      </c>
      <c r="K72" s="16"/>
      <c r="M72" s="16"/>
      <c r="O72" s="16">
        <v>0.59574468085106402</v>
      </c>
      <c r="P72">
        <v>94</v>
      </c>
      <c r="Q72" s="16">
        <v>1.7857142857142901E-2</v>
      </c>
      <c r="R72">
        <v>56</v>
      </c>
      <c r="S72" s="16">
        <v>1.7857142857142901E-2</v>
      </c>
      <c r="T72" s="11">
        <v>56</v>
      </c>
    </row>
    <row r="73" spans="1:20" outlineLevel="1" x14ac:dyDescent="0.25">
      <c r="A73" s="6" t="s">
        <v>15</v>
      </c>
      <c r="B73" t="s">
        <v>78</v>
      </c>
      <c r="C73" s="16">
        <v>0.87261146496815301</v>
      </c>
      <c r="D73">
        <v>157</v>
      </c>
      <c r="E73" s="16">
        <v>7.2992700729926996E-3</v>
      </c>
      <c r="F73">
        <v>137</v>
      </c>
      <c r="G73" s="16">
        <v>2.18978102189781E-2</v>
      </c>
      <c r="H73">
        <v>137</v>
      </c>
      <c r="I73" s="16">
        <v>0.89024390243902396</v>
      </c>
      <c r="J73">
        <v>82</v>
      </c>
      <c r="K73" s="16">
        <v>1.3698630136986301E-2</v>
      </c>
      <c r="L73">
        <v>73</v>
      </c>
      <c r="M73" s="16">
        <v>1.3698630136986301E-2</v>
      </c>
      <c r="N73">
        <v>73</v>
      </c>
      <c r="O73" s="16">
        <v>0.85333333333333306</v>
      </c>
      <c r="P73">
        <v>75</v>
      </c>
      <c r="Q73" s="16"/>
      <c r="S73" s="16">
        <v>3.125E-2</v>
      </c>
      <c r="T73" s="11">
        <v>64</v>
      </c>
    </row>
    <row r="74" spans="1:20" outlineLevel="1" x14ac:dyDescent="0.25">
      <c r="A74" s="6" t="s">
        <v>15</v>
      </c>
      <c r="B74" t="s">
        <v>79</v>
      </c>
      <c r="C74" s="16">
        <v>0.61832061068702304</v>
      </c>
      <c r="D74">
        <v>131</v>
      </c>
      <c r="E74" s="16"/>
      <c r="G74" s="16"/>
      <c r="I74" s="16">
        <v>0.63793103448275901</v>
      </c>
      <c r="J74">
        <v>58</v>
      </c>
      <c r="K74" s="16"/>
      <c r="M74" s="16"/>
      <c r="O74" s="16">
        <v>0.602739726027397</v>
      </c>
      <c r="P74">
        <v>73</v>
      </c>
      <c r="Q74" s="16"/>
      <c r="S74" s="16"/>
      <c r="T74" s="11"/>
    </row>
    <row r="75" spans="1:20" outlineLevel="1" x14ac:dyDescent="0.25">
      <c r="A75" s="6" t="s">
        <v>15</v>
      </c>
      <c r="B75" t="s">
        <v>80</v>
      </c>
      <c r="C75" s="16">
        <v>0.413333333333333</v>
      </c>
      <c r="D75">
        <v>75</v>
      </c>
      <c r="E75" s="16">
        <v>0.16129032258064499</v>
      </c>
      <c r="F75">
        <v>31</v>
      </c>
      <c r="G75" s="16">
        <v>3.2258064516128997E-2</v>
      </c>
      <c r="H75">
        <v>31</v>
      </c>
      <c r="I75" s="16">
        <v>0.40625</v>
      </c>
      <c r="J75">
        <v>32</v>
      </c>
      <c r="K75" s="16">
        <v>0.15384615384615399</v>
      </c>
      <c r="L75">
        <v>13</v>
      </c>
      <c r="M75" s="16">
        <v>7.69230769230769E-2</v>
      </c>
      <c r="N75">
        <v>13</v>
      </c>
      <c r="O75" s="16">
        <v>0.40476190476190499</v>
      </c>
      <c r="P75">
        <v>42</v>
      </c>
      <c r="Q75" s="16">
        <v>0.17647058823529399</v>
      </c>
      <c r="R75">
        <v>17</v>
      </c>
      <c r="S75" s="16"/>
      <c r="T75" s="11"/>
    </row>
    <row r="76" spans="1:20" outlineLevel="1" x14ac:dyDescent="0.25">
      <c r="A76" s="6" t="s">
        <v>15</v>
      </c>
      <c r="B76" t="s">
        <v>81</v>
      </c>
      <c r="C76" s="16">
        <v>0.76190476190476197</v>
      </c>
      <c r="D76">
        <v>210</v>
      </c>
      <c r="E76" s="16">
        <v>5.0314465408804999E-2</v>
      </c>
      <c r="F76">
        <v>159</v>
      </c>
      <c r="G76" s="16">
        <v>3.1446540880503103E-2</v>
      </c>
      <c r="H76">
        <v>159</v>
      </c>
      <c r="I76" s="16">
        <v>0.70476190476190503</v>
      </c>
      <c r="J76">
        <v>105</v>
      </c>
      <c r="K76" s="16">
        <v>1.35135135135135E-2</v>
      </c>
      <c r="L76">
        <v>74</v>
      </c>
      <c r="M76" s="16">
        <v>1.35135135135135E-2</v>
      </c>
      <c r="N76">
        <v>74</v>
      </c>
      <c r="O76" s="16">
        <v>0.81904761904761902</v>
      </c>
      <c r="P76">
        <v>105</v>
      </c>
      <c r="Q76" s="16">
        <v>8.2352941176470601E-2</v>
      </c>
      <c r="R76">
        <v>85</v>
      </c>
      <c r="S76" s="16">
        <v>4.7058823529411799E-2</v>
      </c>
      <c r="T76" s="11">
        <v>85</v>
      </c>
    </row>
    <row r="77" spans="1:20" outlineLevel="1" x14ac:dyDescent="0.25">
      <c r="A77" s="6" t="s">
        <v>15</v>
      </c>
      <c r="B77" t="s">
        <v>82</v>
      </c>
      <c r="C77" s="16">
        <v>0.54166666666666696</v>
      </c>
      <c r="D77">
        <v>48</v>
      </c>
      <c r="E77" s="16">
        <v>7.69230769230769E-2</v>
      </c>
      <c r="F77">
        <v>26</v>
      </c>
      <c r="G77" s="16">
        <v>3.8461538461538498E-2</v>
      </c>
      <c r="H77">
        <v>26</v>
      </c>
      <c r="I77" s="16">
        <v>0.69565217391304301</v>
      </c>
      <c r="J77">
        <v>23</v>
      </c>
      <c r="K77" s="16">
        <v>6.25E-2</v>
      </c>
      <c r="L77">
        <v>16</v>
      </c>
      <c r="M77" s="16">
        <v>6.25E-2</v>
      </c>
      <c r="N77">
        <v>16</v>
      </c>
      <c r="O77" s="16">
        <v>0.4</v>
      </c>
      <c r="P77">
        <v>25</v>
      </c>
      <c r="Q77" s="16">
        <v>0.1</v>
      </c>
      <c r="R77">
        <v>10</v>
      </c>
      <c r="S77" s="16"/>
      <c r="T77" s="11"/>
    </row>
    <row r="78" spans="1:20" outlineLevel="1" x14ac:dyDescent="0.25">
      <c r="A78" s="7" t="s">
        <v>15</v>
      </c>
      <c r="B78" s="9" t="s">
        <v>83</v>
      </c>
      <c r="C78" s="15">
        <v>0.87136934555369205</v>
      </c>
      <c r="D78" s="9">
        <v>465</v>
      </c>
      <c r="E78" s="15">
        <v>1.0393433435468001E-2</v>
      </c>
      <c r="F78" s="9">
        <v>309</v>
      </c>
      <c r="G78" s="15">
        <v>1.46080085263703E-2</v>
      </c>
      <c r="H78" s="9">
        <v>309</v>
      </c>
      <c r="I78" s="15">
        <v>0.86301599581399902</v>
      </c>
      <c r="J78" s="9">
        <v>215</v>
      </c>
      <c r="K78" s="15">
        <v>1.71645248254612E-2</v>
      </c>
      <c r="L78" s="9">
        <v>149</v>
      </c>
      <c r="M78" s="15">
        <v>1.5500923997937101E-2</v>
      </c>
      <c r="N78" s="9">
        <v>149</v>
      </c>
      <c r="O78" s="15">
        <v>0.87895854285384001</v>
      </c>
      <c r="P78" s="9">
        <v>250</v>
      </c>
      <c r="Q78" s="15">
        <v>4.35592186801798E-3</v>
      </c>
      <c r="R78" s="9">
        <v>160</v>
      </c>
      <c r="S78" s="15">
        <v>1.3811831488159501E-2</v>
      </c>
      <c r="T78" s="12">
        <v>160</v>
      </c>
    </row>
    <row r="79" spans="1:20" x14ac:dyDescent="0.25">
      <c r="C79" s="16"/>
      <c r="E79" s="16"/>
      <c r="G79" s="16"/>
      <c r="I79" s="16"/>
      <c r="K79" s="16"/>
      <c r="M79" s="16"/>
      <c r="O79" s="16"/>
      <c r="Q79" s="16"/>
      <c r="S79" s="16"/>
    </row>
    <row r="80" spans="1:20" x14ac:dyDescent="0.25">
      <c r="A80" s="19" t="s">
        <v>84</v>
      </c>
      <c r="B80" s="19"/>
      <c r="C80" s="20"/>
      <c r="D80" s="19"/>
      <c r="E80" s="20"/>
      <c r="F80" s="19"/>
      <c r="G80" s="20"/>
      <c r="H80" s="19"/>
      <c r="I80" s="20"/>
      <c r="J80" s="19"/>
      <c r="K80" s="20"/>
      <c r="L80" s="19"/>
      <c r="M80" s="20"/>
      <c r="N80" s="19"/>
      <c r="O80" s="20"/>
      <c r="P80" s="19"/>
      <c r="Q80" s="20"/>
      <c r="R80" s="19"/>
      <c r="S80" s="20"/>
      <c r="T80" s="19"/>
    </row>
    <row r="81" spans="1:20" outlineLevel="1" x14ac:dyDescent="0.25">
      <c r="A81" s="5" t="s">
        <v>15</v>
      </c>
      <c r="B81" s="8" t="s">
        <v>85</v>
      </c>
      <c r="C81" s="14">
        <v>0.40568603740422299</v>
      </c>
      <c r="D81" s="8">
        <v>2479</v>
      </c>
      <c r="E81" s="14">
        <v>5.44814409827638E-2</v>
      </c>
      <c r="F81" s="8">
        <v>1248</v>
      </c>
      <c r="G81" s="14">
        <v>3.6488878002777302E-2</v>
      </c>
      <c r="H81" s="8">
        <v>1248</v>
      </c>
      <c r="I81" s="14">
        <v>0.40139429666194498</v>
      </c>
      <c r="J81" s="8">
        <v>1202</v>
      </c>
      <c r="K81" s="14">
        <v>4.5182391514079601E-2</v>
      </c>
      <c r="L81" s="8">
        <v>600</v>
      </c>
      <c r="M81" s="14">
        <v>1.4238244507062899E-2</v>
      </c>
      <c r="N81" s="8">
        <v>600</v>
      </c>
      <c r="O81" s="14">
        <v>0.40932940569238402</v>
      </c>
      <c r="P81" s="8">
        <v>1273</v>
      </c>
      <c r="Q81" s="14">
        <v>6.2865366796060904E-2</v>
      </c>
      <c r="R81" s="8">
        <v>646</v>
      </c>
      <c r="S81" s="14">
        <v>5.62357534004801E-2</v>
      </c>
      <c r="T81" s="10">
        <v>646</v>
      </c>
    </row>
    <row r="82" spans="1:20" outlineLevel="1" x14ac:dyDescent="0.25">
      <c r="A82" s="6" t="s">
        <v>15</v>
      </c>
      <c r="B82" t="s">
        <v>86</v>
      </c>
      <c r="C82" s="16">
        <v>0.38202247191011202</v>
      </c>
      <c r="D82">
        <v>356</v>
      </c>
      <c r="E82" s="16">
        <v>7.3529411764705899E-2</v>
      </c>
      <c r="F82">
        <v>136</v>
      </c>
      <c r="G82" s="16">
        <v>6.6176470588235295E-2</v>
      </c>
      <c r="H82">
        <v>136</v>
      </c>
      <c r="I82" s="16">
        <v>0.42134831460674199</v>
      </c>
      <c r="J82">
        <v>178</v>
      </c>
      <c r="K82" s="16">
        <v>5.3333333333333302E-2</v>
      </c>
      <c r="L82">
        <v>75</v>
      </c>
      <c r="M82" s="16">
        <v>5.3333333333333302E-2</v>
      </c>
      <c r="N82">
        <v>75</v>
      </c>
      <c r="O82" s="16">
        <v>0.34463276836158202</v>
      </c>
      <c r="P82">
        <v>177</v>
      </c>
      <c r="Q82" s="16">
        <v>9.8360655737704902E-2</v>
      </c>
      <c r="R82">
        <v>61</v>
      </c>
      <c r="S82" s="16">
        <v>8.1967213114754106E-2</v>
      </c>
      <c r="T82" s="11">
        <v>61</v>
      </c>
    </row>
    <row r="83" spans="1:20" outlineLevel="1" x14ac:dyDescent="0.25">
      <c r="A83" s="6" t="s">
        <v>15</v>
      </c>
      <c r="B83" t="s">
        <v>87</v>
      </c>
      <c r="C83" s="16">
        <v>0.73584826107943901</v>
      </c>
      <c r="D83">
        <v>3775</v>
      </c>
      <c r="E83" s="16">
        <v>2.7948636711173602E-2</v>
      </c>
      <c r="F83">
        <v>2459</v>
      </c>
      <c r="G83" s="16">
        <v>1.87118967124584E-2</v>
      </c>
      <c r="H83">
        <v>2459</v>
      </c>
      <c r="I83" s="16">
        <v>0.73732537810376197</v>
      </c>
      <c r="J83">
        <v>1944</v>
      </c>
      <c r="K83" s="16">
        <v>2.7352968561597898E-2</v>
      </c>
      <c r="L83">
        <v>1273</v>
      </c>
      <c r="M83" s="16">
        <v>2.046672716365E-2</v>
      </c>
      <c r="N83">
        <v>1273</v>
      </c>
      <c r="O83" s="16">
        <v>0.734173338586666</v>
      </c>
      <c r="P83">
        <v>1830</v>
      </c>
      <c r="Q83" s="16">
        <v>2.81140476763489E-2</v>
      </c>
      <c r="R83">
        <v>1185</v>
      </c>
      <c r="S83" s="16">
        <v>1.68374022935712E-2</v>
      </c>
      <c r="T83" s="11">
        <v>1185</v>
      </c>
    </row>
    <row r="84" spans="1:20" outlineLevel="1" x14ac:dyDescent="0.25">
      <c r="A84" s="7" t="s">
        <v>15</v>
      </c>
      <c r="B84" s="9" t="s">
        <v>88</v>
      </c>
      <c r="C84" s="15">
        <v>0.38152984311592802</v>
      </c>
      <c r="D84" s="9">
        <v>2072</v>
      </c>
      <c r="E84" s="15">
        <v>4.8141802521176398E-2</v>
      </c>
      <c r="F84" s="9">
        <v>952</v>
      </c>
      <c r="G84" s="15">
        <v>2.6260824458315901E-2</v>
      </c>
      <c r="H84" s="9">
        <v>952</v>
      </c>
      <c r="I84" s="15">
        <v>0.40565323017211702</v>
      </c>
      <c r="J84" s="9">
        <v>1061</v>
      </c>
      <c r="K84" s="15">
        <v>5.8794669041545497E-2</v>
      </c>
      <c r="L84" s="9">
        <v>507</v>
      </c>
      <c r="M84" s="15">
        <v>2.64107564031879E-2</v>
      </c>
      <c r="N84" s="9">
        <v>507</v>
      </c>
      <c r="O84" s="15">
        <v>0.35577862058332799</v>
      </c>
      <c r="P84" s="9">
        <v>1010</v>
      </c>
      <c r="Q84" s="15">
        <v>3.5216163978746898E-2</v>
      </c>
      <c r="R84" s="9">
        <v>445</v>
      </c>
      <c r="S84" s="15">
        <v>2.6078904772973598E-2</v>
      </c>
      <c r="T84" s="12">
        <v>445</v>
      </c>
    </row>
    <row r="85" spans="1:20" x14ac:dyDescent="0.25">
      <c r="C85" s="16"/>
      <c r="E85" s="16"/>
      <c r="G85" s="16"/>
      <c r="I85" s="16"/>
      <c r="K85" s="16"/>
      <c r="M85" s="16"/>
      <c r="O85" s="16"/>
      <c r="Q85" s="16"/>
      <c r="S85" s="16"/>
    </row>
    <row r="86" spans="1:20" x14ac:dyDescent="0.25">
      <c r="A86" s="19" t="s">
        <v>89</v>
      </c>
      <c r="B86" s="19"/>
      <c r="C86" s="20"/>
      <c r="D86" s="19"/>
      <c r="E86" s="20"/>
      <c r="F86" s="19"/>
      <c r="G86" s="20"/>
      <c r="H86" s="19"/>
      <c r="I86" s="20"/>
      <c r="J86" s="19"/>
      <c r="K86" s="20"/>
      <c r="L86" s="19"/>
      <c r="M86" s="20"/>
      <c r="N86" s="19"/>
      <c r="O86" s="20"/>
      <c r="P86" s="19"/>
      <c r="Q86" s="20"/>
      <c r="R86" s="19"/>
      <c r="S86" s="20"/>
      <c r="T86" s="19"/>
    </row>
    <row r="87" spans="1:20" outlineLevel="1" x14ac:dyDescent="0.25">
      <c r="A87" s="5" t="s">
        <v>15</v>
      </c>
      <c r="B87" s="8" t="s">
        <v>90</v>
      </c>
      <c r="C87" s="14">
        <v>0.350971109544788</v>
      </c>
      <c r="D87" s="8">
        <v>1882</v>
      </c>
      <c r="E87" s="14">
        <v>5.6888839982046698E-2</v>
      </c>
      <c r="F87" s="8">
        <v>846</v>
      </c>
      <c r="G87" s="14">
        <v>2.7278746835098198E-2</v>
      </c>
      <c r="H87" s="8">
        <v>846</v>
      </c>
      <c r="I87" s="14">
        <v>0.35555293641727598</v>
      </c>
      <c r="J87" s="8">
        <v>925</v>
      </c>
      <c r="K87" s="14">
        <v>5.2611025935171897E-2</v>
      </c>
      <c r="L87" s="8">
        <v>418</v>
      </c>
      <c r="M87" s="14">
        <v>1.7143106478525301E-2</v>
      </c>
      <c r="N87" s="8">
        <v>418</v>
      </c>
      <c r="O87" s="14">
        <v>0.347074516948853</v>
      </c>
      <c r="P87" s="8">
        <v>954</v>
      </c>
      <c r="Q87" s="14">
        <v>6.0942700904499998E-2</v>
      </c>
      <c r="R87" s="8">
        <v>427</v>
      </c>
      <c r="S87" s="14">
        <v>3.6710649736702197E-2</v>
      </c>
      <c r="T87" s="10">
        <v>427</v>
      </c>
    </row>
    <row r="88" spans="1:20" outlineLevel="1" x14ac:dyDescent="0.25">
      <c r="A88" s="6" t="s">
        <v>15</v>
      </c>
      <c r="B88" t="s">
        <v>91</v>
      </c>
      <c r="C88" s="16">
        <v>0.62665454983721502</v>
      </c>
      <c r="D88">
        <v>597</v>
      </c>
      <c r="E88" s="16">
        <v>4.9062759825163303E-2</v>
      </c>
      <c r="F88">
        <v>402</v>
      </c>
      <c r="G88" s="16">
        <v>5.7219452466003899E-2</v>
      </c>
      <c r="H88">
        <v>402</v>
      </c>
      <c r="I88" s="16">
        <v>0.59005932150038998</v>
      </c>
      <c r="J88">
        <v>277</v>
      </c>
      <c r="K88" s="16">
        <v>2.68985368692151E-2</v>
      </c>
      <c r="L88">
        <v>182</v>
      </c>
      <c r="M88" s="16">
        <v>7.0886028584162099E-3</v>
      </c>
      <c r="N88">
        <v>182</v>
      </c>
      <c r="O88" s="16">
        <v>0.657103387771106</v>
      </c>
      <c r="P88">
        <v>319</v>
      </c>
      <c r="Q88" s="16">
        <v>6.6897436804751506E-2</v>
      </c>
      <c r="R88">
        <v>219</v>
      </c>
      <c r="S88" s="16">
        <v>9.7182329321364697E-2</v>
      </c>
      <c r="T88" s="11">
        <v>219</v>
      </c>
    </row>
    <row r="89" spans="1:20" outlineLevel="1" x14ac:dyDescent="0.25">
      <c r="A89" s="6" t="s">
        <v>15</v>
      </c>
      <c r="B89" t="s">
        <v>92</v>
      </c>
      <c r="C89" s="16">
        <v>0.27830188679245299</v>
      </c>
      <c r="D89">
        <v>212</v>
      </c>
      <c r="E89" s="16">
        <v>5.0847457627118599E-2</v>
      </c>
      <c r="F89">
        <v>59</v>
      </c>
      <c r="G89" s="16">
        <v>0.101694915254237</v>
      </c>
      <c r="H89">
        <v>59</v>
      </c>
      <c r="I89" s="16">
        <v>0.30392156862745101</v>
      </c>
      <c r="J89">
        <v>102</v>
      </c>
      <c r="K89" s="16">
        <v>3.2258064516128997E-2</v>
      </c>
      <c r="L89">
        <v>31</v>
      </c>
      <c r="M89" s="16">
        <v>9.6774193548387094E-2</v>
      </c>
      <c r="N89">
        <v>31</v>
      </c>
      <c r="O89" s="16">
        <v>0.25688073394495398</v>
      </c>
      <c r="P89">
        <v>109</v>
      </c>
      <c r="Q89" s="16">
        <v>7.1428571428571397E-2</v>
      </c>
      <c r="R89">
        <v>28</v>
      </c>
      <c r="S89" s="16">
        <v>0.107142857142857</v>
      </c>
      <c r="T89" s="11">
        <v>28</v>
      </c>
    </row>
    <row r="90" spans="1:20" outlineLevel="1" x14ac:dyDescent="0.25">
      <c r="A90" s="6" t="s">
        <v>15</v>
      </c>
      <c r="B90" t="s">
        <v>93</v>
      </c>
      <c r="C90" s="16">
        <v>0.53472222222222199</v>
      </c>
      <c r="D90">
        <v>144</v>
      </c>
      <c r="E90" s="16">
        <v>9.0909090909090898E-2</v>
      </c>
      <c r="F90">
        <v>77</v>
      </c>
      <c r="G90" s="16">
        <v>3.8961038961039002E-2</v>
      </c>
      <c r="H90">
        <v>77</v>
      </c>
      <c r="I90" s="16">
        <v>0.57894736842105299</v>
      </c>
      <c r="J90">
        <v>76</v>
      </c>
      <c r="K90" s="16">
        <v>6.8181818181818205E-2</v>
      </c>
      <c r="L90">
        <v>44</v>
      </c>
      <c r="M90" s="16">
        <v>2.27272727272727E-2</v>
      </c>
      <c r="N90">
        <v>44</v>
      </c>
      <c r="O90" s="16">
        <v>0.48529411764705899</v>
      </c>
      <c r="P90">
        <v>68</v>
      </c>
      <c r="Q90" s="16">
        <v>0.12121212121212099</v>
      </c>
      <c r="R90">
        <v>33</v>
      </c>
      <c r="S90" s="16">
        <v>6.0606060606060601E-2</v>
      </c>
      <c r="T90" s="11">
        <v>33</v>
      </c>
    </row>
    <row r="91" spans="1:20" outlineLevel="1" x14ac:dyDescent="0.25">
      <c r="A91" s="6" t="s">
        <v>15</v>
      </c>
      <c r="B91" t="s">
        <v>94</v>
      </c>
      <c r="C91" s="16">
        <v>0.71571353765329604</v>
      </c>
      <c r="D91">
        <v>2691</v>
      </c>
      <c r="E91" s="16">
        <v>2.43479464337766E-2</v>
      </c>
      <c r="F91">
        <v>1694</v>
      </c>
      <c r="G91" s="16">
        <v>1.2173942483498399E-2</v>
      </c>
      <c r="H91">
        <v>1694</v>
      </c>
      <c r="I91" s="16">
        <v>0.71268115325940096</v>
      </c>
      <c r="J91">
        <v>1402</v>
      </c>
      <c r="K91" s="16">
        <v>1.81571596939844E-2</v>
      </c>
      <c r="L91">
        <v>885</v>
      </c>
      <c r="M91" s="16">
        <v>1.1125275095549199E-2</v>
      </c>
      <c r="N91">
        <v>885</v>
      </c>
      <c r="O91" s="16">
        <v>0.71891722823743698</v>
      </c>
      <c r="P91">
        <v>1289</v>
      </c>
      <c r="Q91" s="16">
        <v>3.0819833801113101E-2</v>
      </c>
      <c r="R91">
        <v>809</v>
      </c>
      <c r="S91" s="16">
        <v>1.32702259618135E-2</v>
      </c>
      <c r="T91" s="11">
        <v>809</v>
      </c>
    </row>
    <row r="92" spans="1:20" outlineLevel="1" x14ac:dyDescent="0.25">
      <c r="A92" s="6" t="s">
        <v>15</v>
      </c>
      <c r="B92" t="s">
        <v>95</v>
      </c>
      <c r="C92" s="16">
        <v>0.79324148019808405</v>
      </c>
      <c r="D92">
        <v>1084</v>
      </c>
      <c r="E92" s="16">
        <v>3.7226157761581301E-2</v>
      </c>
      <c r="F92">
        <v>765</v>
      </c>
      <c r="G92" s="16">
        <v>3.5557557769878498E-2</v>
      </c>
      <c r="H92">
        <v>765</v>
      </c>
      <c r="I92" s="16">
        <v>0.80596528242426502</v>
      </c>
      <c r="J92">
        <v>542</v>
      </c>
      <c r="K92" s="16">
        <v>5.0019500297019501E-2</v>
      </c>
      <c r="L92">
        <v>388</v>
      </c>
      <c r="M92" s="16">
        <v>4.3492251378517102E-2</v>
      </c>
      <c r="N92">
        <v>388</v>
      </c>
      <c r="O92" s="16">
        <v>0.77882592014303398</v>
      </c>
      <c r="P92">
        <v>541</v>
      </c>
      <c r="Q92" s="16">
        <v>2.07823278824322E-2</v>
      </c>
      <c r="R92">
        <v>376</v>
      </c>
      <c r="S92" s="16">
        <v>2.6503183738961E-2</v>
      </c>
      <c r="T92" s="11">
        <v>376</v>
      </c>
    </row>
    <row r="93" spans="1:20" outlineLevel="1" x14ac:dyDescent="0.25">
      <c r="A93" s="6" t="s">
        <v>15</v>
      </c>
      <c r="B93" t="s">
        <v>96</v>
      </c>
      <c r="C93" s="16">
        <v>0.30705029211972901</v>
      </c>
      <c r="D93">
        <v>1627</v>
      </c>
      <c r="E93" s="16">
        <v>4.7258309235785098E-2</v>
      </c>
      <c r="F93">
        <v>687</v>
      </c>
      <c r="G93" s="16">
        <v>3.1307146755742199E-2</v>
      </c>
      <c r="H93">
        <v>687</v>
      </c>
      <c r="I93" s="16">
        <v>0.32078057141383498</v>
      </c>
      <c r="J93">
        <v>813</v>
      </c>
      <c r="K93" s="16">
        <v>5.4823548839081797E-2</v>
      </c>
      <c r="L93">
        <v>353</v>
      </c>
      <c r="M93" s="16">
        <v>3.8010456168709301E-2</v>
      </c>
      <c r="N93">
        <v>353</v>
      </c>
      <c r="O93" s="16">
        <v>0.29287662022336097</v>
      </c>
      <c r="P93">
        <v>813</v>
      </c>
      <c r="Q93" s="16">
        <v>3.8749590292856198E-2</v>
      </c>
      <c r="R93">
        <v>334</v>
      </c>
      <c r="S93" s="16">
        <v>2.3767851403144101E-2</v>
      </c>
      <c r="T93" s="11">
        <v>334</v>
      </c>
    </row>
    <row r="94" spans="1:20" outlineLevel="1" x14ac:dyDescent="0.25">
      <c r="A94" s="7" t="s">
        <v>15</v>
      </c>
      <c r="B94" s="9" t="s">
        <v>97</v>
      </c>
      <c r="C94" s="15">
        <v>0.60267723439420795</v>
      </c>
      <c r="D94" s="9">
        <v>445</v>
      </c>
      <c r="E94" s="15">
        <v>4.94740338037934E-2</v>
      </c>
      <c r="F94" s="9">
        <v>265</v>
      </c>
      <c r="G94" s="15">
        <v>1.86514079093026E-2</v>
      </c>
      <c r="H94" s="9">
        <v>265</v>
      </c>
      <c r="I94" s="15">
        <v>0.64234801870732705</v>
      </c>
      <c r="J94" s="9">
        <v>248</v>
      </c>
      <c r="K94" s="15">
        <v>6.4291894591735399E-2</v>
      </c>
      <c r="L94" s="9">
        <v>154</v>
      </c>
      <c r="M94" s="15">
        <v>1.03532807604224E-2</v>
      </c>
      <c r="N94" s="9">
        <v>154</v>
      </c>
      <c r="O94" s="15">
        <v>0.55591828189184</v>
      </c>
      <c r="P94" s="9">
        <v>197</v>
      </c>
      <c r="Q94" s="15">
        <v>2.9293208196168301E-2</v>
      </c>
      <c r="R94" s="9">
        <v>111</v>
      </c>
      <c r="S94" s="15">
        <v>2.9952840636874301E-2</v>
      </c>
      <c r="T94" s="12">
        <v>111</v>
      </c>
    </row>
    <row r="95" spans="1:20" x14ac:dyDescent="0.25">
      <c r="C95" s="16"/>
      <c r="E95" s="16"/>
      <c r="G95" s="16"/>
      <c r="I95" s="16"/>
      <c r="K95" s="16"/>
      <c r="M95" s="16"/>
      <c r="O95" s="16"/>
      <c r="Q95" s="16"/>
      <c r="S95" s="16"/>
    </row>
    <row r="96" spans="1:20" x14ac:dyDescent="0.25">
      <c r="A96" s="19" t="s">
        <v>98</v>
      </c>
      <c r="B96" s="19"/>
      <c r="C96" s="20"/>
      <c r="D96" s="19"/>
      <c r="E96" s="20"/>
      <c r="F96" s="19"/>
      <c r="G96" s="20"/>
      <c r="H96" s="19"/>
      <c r="I96" s="20"/>
      <c r="J96" s="19"/>
      <c r="K96" s="20"/>
      <c r="L96" s="19"/>
      <c r="M96" s="20"/>
      <c r="N96" s="19"/>
      <c r="O96" s="20"/>
      <c r="P96" s="19"/>
      <c r="Q96" s="20"/>
      <c r="R96" s="19"/>
      <c r="S96" s="20"/>
      <c r="T96" s="19"/>
    </row>
    <row r="97" spans="1:20" outlineLevel="1" x14ac:dyDescent="0.25">
      <c r="A97" s="5" t="s">
        <v>15</v>
      </c>
      <c r="B97" s="8" t="s">
        <v>99</v>
      </c>
      <c r="C97" s="14">
        <v>0.39371467217033701</v>
      </c>
      <c r="D97" s="8">
        <v>1018</v>
      </c>
      <c r="E97" s="14">
        <v>4.1158511999863603E-2</v>
      </c>
      <c r="F97" s="8">
        <v>502</v>
      </c>
      <c r="G97" s="14">
        <v>5.1601356820939102E-2</v>
      </c>
      <c r="H97" s="8">
        <v>502</v>
      </c>
      <c r="I97" s="14">
        <v>0.36258518778347598</v>
      </c>
      <c r="J97" s="8">
        <v>483</v>
      </c>
      <c r="K97" s="14">
        <v>3.11073894883005E-2</v>
      </c>
      <c r="L97" s="8">
        <v>227</v>
      </c>
      <c r="M97" s="14">
        <v>8.8129087205470902E-3</v>
      </c>
      <c r="N97" s="8">
        <v>227</v>
      </c>
      <c r="O97" s="14">
        <v>0.420747401036622</v>
      </c>
      <c r="P97" s="8">
        <v>532</v>
      </c>
      <c r="Q97" s="14">
        <v>4.88379135561944E-2</v>
      </c>
      <c r="R97" s="8">
        <v>274</v>
      </c>
      <c r="S97" s="14">
        <v>8.3717249492168799E-2</v>
      </c>
      <c r="T97" s="10">
        <v>274</v>
      </c>
    </row>
    <row r="98" spans="1:20" outlineLevel="1" x14ac:dyDescent="0.25">
      <c r="A98" s="6" t="s">
        <v>15</v>
      </c>
      <c r="B98" t="s">
        <v>100</v>
      </c>
      <c r="C98" s="16">
        <v>0.41597083975989002</v>
      </c>
      <c r="D98">
        <v>1461</v>
      </c>
      <c r="E98" s="16">
        <v>6.53470093189083E-2</v>
      </c>
      <c r="F98">
        <v>746</v>
      </c>
      <c r="G98" s="16">
        <v>2.41638350983207E-2</v>
      </c>
      <c r="H98">
        <v>746</v>
      </c>
      <c r="I98" s="16">
        <v>0.43340933280687899</v>
      </c>
      <c r="J98">
        <v>719</v>
      </c>
      <c r="K98" s="16">
        <v>5.4916642079432497E-2</v>
      </c>
      <c r="L98">
        <v>373</v>
      </c>
      <c r="M98" s="16">
        <v>1.7990398705719099E-2</v>
      </c>
      <c r="N98">
        <v>373</v>
      </c>
      <c r="O98" s="16">
        <v>0.39919811939048799</v>
      </c>
      <c r="P98">
        <v>741</v>
      </c>
      <c r="Q98" s="16">
        <v>7.6025493604971295E-2</v>
      </c>
      <c r="R98">
        <v>372</v>
      </c>
      <c r="S98" s="16">
        <v>3.0453455838628501E-2</v>
      </c>
      <c r="T98" s="11">
        <v>372</v>
      </c>
    </row>
    <row r="99" spans="1:20" outlineLevel="1" x14ac:dyDescent="0.25">
      <c r="A99" s="7" t="s">
        <v>15</v>
      </c>
      <c r="B99" s="9" t="s">
        <v>101</v>
      </c>
      <c r="C99" s="15">
        <v>0.72827019914297098</v>
      </c>
      <c r="D99" s="9">
        <v>6203</v>
      </c>
      <c r="E99" s="15">
        <v>2.8387673940993102E-2</v>
      </c>
      <c r="F99" s="9">
        <v>3547</v>
      </c>
      <c r="G99" s="15">
        <v>1.9129269982869099E-2</v>
      </c>
      <c r="H99" s="9">
        <v>3547</v>
      </c>
      <c r="I99" s="15">
        <v>0.73063306339265399</v>
      </c>
      <c r="J99" s="9">
        <v>3183</v>
      </c>
      <c r="K99" s="15">
        <v>2.7681499532384E-2</v>
      </c>
      <c r="L99" s="9">
        <v>1855</v>
      </c>
      <c r="M99" s="15">
        <v>2.0776582821181101E-2</v>
      </c>
      <c r="N99" s="9">
        <v>1855</v>
      </c>
      <c r="O99" s="15">
        <v>0.72571625798811601</v>
      </c>
      <c r="P99" s="9">
        <v>3017</v>
      </c>
      <c r="Q99" s="15">
        <v>2.86780263291487E-2</v>
      </c>
      <c r="R99" s="9">
        <v>1691</v>
      </c>
      <c r="S99" s="15">
        <v>1.7367658112530701E-2</v>
      </c>
      <c r="T99" s="12">
        <v>1691</v>
      </c>
    </row>
    <row r="100" spans="1:20" x14ac:dyDescent="0.25">
      <c r="C100" s="16"/>
      <c r="E100" s="16"/>
      <c r="G100" s="16"/>
      <c r="I100" s="16"/>
      <c r="K100" s="16"/>
      <c r="M100" s="16"/>
      <c r="O100" s="16"/>
      <c r="Q100" s="16"/>
      <c r="S100" s="16"/>
    </row>
    <row r="101" spans="1:20" x14ac:dyDescent="0.25">
      <c r="A101" s="19" t="s">
        <v>102</v>
      </c>
      <c r="B101" s="19"/>
      <c r="C101" s="20"/>
      <c r="D101" s="19"/>
      <c r="E101" s="20"/>
      <c r="F101" s="19"/>
      <c r="G101" s="20"/>
      <c r="H101" s="19"/>
      <c r="I101" s="20"/>
      <c r="J101" s="19"/>
      <c r="K101" s="20"/>
      <c r="L101" s="19"/>
      <c r="M101" s="20"/>
      <c r="N101" s="19"/>
      <c r="O101" s="20"/>
      <c r="P101" s="19"/>
      <c r="Q101" s="20"/>
      <c r="R101" s="19"/>
      <c r="S101" s="20"/>
      <c r="T101" s="19"/>
    </row>
    <row r="102" spans="1:20" outlineLevel="1" x14ac:dyDescent="0.25">
      <c r="A102" s="5" t="s">
        <v>15</v>
      </c>
      <c r="B102" s="8" t="s">
        <v>101</v>
      </c>
      <c r="C102" s="14">
        <v>0.73024937828155601</v>
      </c>
      <c r="D102" s="8">
        <v>4140</v>
      </c>
      <c r="E102" s="14">
        <v>2.8326366903217E-2</v>
      </c>
      <c r="F102" s="8">
        <v>2604</v>
      </c>
      <c r="G102" s="14">
        <v>1.9106262048763201E-2</v>
      </c>
      <c r="H102" s="8">
        <v>2604</v>
      </c>
      <c r="I102" s="14">
        <v>0.73249953900511</v>
      </c>
      <c r="J102" s="8">
        <v>2128</v>
      </c>
      <c r="K102" s="14">
        <v>2.75796574267341E-2</v>
      </c>
      <c r="L102" s="8">
        <v>1354</v>
      </c>
      <c r="M102" s="14">
        <v>2.0755694622220201E-2</v>
      </c>
      <c r="N102" s="8">
        <v>1354</v>
      </c>
      <c r="O102" s="14">
        <v>0.72781631439112704</v>
      </c>
      <c r="P102" s="8">
        <v>2010</v>
      </c>
      <c r="Q102" s="14">
        <v>2.8658787530653099E-2</v>
      </c>
      <c r="R102" s="8">
        <v>1249</v>
      </c>
      <c r="S102" s="14">
        <v>1.7342811253915302E-2</v>
      </c>
      <c r="T102" s="10">
        <v>1249</v>
      </c>
    </row>
    <row r="103" spans="1:20" outlineLevel="1" x14ac:dyDescent="0.25">
      <c r="A103" s="6" t="s">
        <v>15</v>
      </c>
      <c r="B103" t="s">
        <v>103</v>
      </c>
      <c r="C103" s="16">
        <v>0.40150521474637302</v>
      </c>
      <c r="D103">
        <v>3378</v>
      </c>
      <c r="E103" s="16">
        <v>4.65021293530955E-2</v>
      </c>
      <c r="F103">
        <v>1572</v>
      </c>
      <c r="G103" s="16">
        <v>2.6054046624292702E-2</v>
      </c>
      <c r="H103">
        <v>1572</v>
      </c>
      <c r="I103" s="16">
        <v>0.39405588071064601</v>
      </c>
      <c r="J103">
        <v>1677</v>
      </c>
      <c r="K103" s="16">
        <v>4.0542577397205001E-2</v>
      </c>
      <c r="L103">
        <v>783</v>
      </c>
      <c r="M103" s="16">
        <v>1.1991188859415899E-2</v>
      </c>
      <c r="N103">
        <v>783</v>
      </c>
      <c r="O103" s="16">
        <v>0.40855796285255103</v>
      </c>
      <c r="P103">
        <v>1698</v>
      </c>
      <c r="Q103" s="16">
        <v>5.2022326516614897E-2</v>
      </c>
      <c r="R103">
        <v>788</v>
      </c>
      <c r="S103" s="16">
        <v>3.88529360050473E-2</v>
      </c>
      <c r="T103" s="11">
        <v>788</v>
      </c>
    </row>
    <row r="104" spans="1:20" outlineLevel="1" x14ac:dyDescent="0.25">
      <c r="A104" s="6" t="s">
        <v>15</v>
      </c>
      <c r="B104" t="s">
        <v>104</v>
      </c>
      <c r="C104" s="16">
        <v>0.28712451148992801</v>
      </c>
      <c r="D104">
        <v>564</v>
      </c>
      <c r="E104" s="16">
        <v>8.1627590300671404E-2</v>
      </c>
      <c r="F104">
        <v>275</v>
      </c>
      <c r="G104" s="16">
        <v>0.118493151380899</v>
      </c>
      <c r="H104">
        <v>275</v>
      </c>
      <c r="I104" s="16">
        <v>0.31198616333598</v>
      </c>
      <c r="J104">
        <v>282</v>
      </c>
      <c r="K104" s="16">
        <v>8.2954370815247994E-2</v>
      </c>
      <c r="L104">
        <v>145</v>
      </c>
      <c r="M104" s="16">
        <v>4.6193229229992701E-2</v>
      </c>
      <c r="N104">
        <v>145</v>
      </c>
      <c r="O104" s="16">
        <v>0.26724897447796397</v>
      </c>
      <c r="P104">
        <v>282</v>
      </c>
      <c r="Q104" s="16">
        <v>8.0389343365016894E-2</v>
      </c>
      <c r="R104">
        <v>130</v>
      </c>
      <c r="S104" s="16">
        <v>0.18596863513112299</v>
      </c>
      <c r="T104" s="11">
        <v>130</v>
      </c>
    </row>
    <row r="105" spans="1:20" outlineLevel="1" x14ac:dyDescent="0.25">
      <c r="A105" s="6" t="s">
        <v>15</v>
      </c>
      <c r="B105" t="s">
        <v>105</v>
      </c>
      <c r="C105" s="16">
        <v>0.75</v>
      </c>
      <c r="D105">
        <v>4</v>
      </c>
      <c r="E105" s="16"/>
      <c r="G105" s="16"/>
      <c r="I105" s="16">
        <v>0.5</v>
      </c>
      <c r="J105">
        <v>2</v>
      </c>
      <c r="K105" s="16"/>
      <c r="M105" s="16"/>
      <c r="O105" s="16">
        <v>1</v>
      </c>
      <c r="P105">
        <v>2</v>
      </c>
      <c r="Q105" s="16"/>
      <c r="S105" s="16"/>
      <c r="T105" s="11"/>
    </row>
    <row r="106" spans="1:20" outlineLevel="1" x14ac:dyDescent="0.25">
      <c r="A106" s="6" t="s">
        <v>15</v>
      </c>
      <c r="B106" t="s">
        <v>106</v>
      </c>
      <c r="C106" s="16">
        <v>0.49005607048861399</v>
      </c>
      <c r="D106">
        <v>2</v>
      </c>
      <c r="E106" s="16"/>
      <c r="G106" s="16"/>
      <c r="I106" s="16">
        <v>1</v>
      </c>
      <c r="J106">
        <v>1</v>
      </c>
      <c r="K106" s="16"/>
      <c r="M106" s="16"/>
      <c r="O106" s="16"/>
      <c r="Q106" s="16"/>
      <c r="S106" s="16"/>
      <c r="T106" s="11"/>
    </row>
    <row r="107" spans="1:20" outlineLevel="1" x14ac:dyDescent="0.25">
      <c r="A107" s="6" t="s">
        <v>15</v>
      </c>
      <c r="B107" t="s">
        <v>107</v>
      </c>
      <c r="C107" s="16">
        <v>0.75</v>
      </c>
      <c r="D107">
        <v>4</v>
      </c>
      <c r="E107" s="16">
        <v>0.66666666666666696</v>
      </c>
      <c r="F107">
        <v>3</v>
      </c>
      <c r="G107" s="16"/>
      <c r="I107" s="16"/>
      <c r="K107" s="16"/>
      <c r="M107" s="16"/>
      <c r="O107" s="16">
        <v>1</v>
      </c>
      <c r="P107">
        <v>3</v>
      </c>
      <c r="Q107" s="16">
        <v>0.66666666666666696</v>
      </c>
      <c r="R107">
        <v>3</v>
      </c>
      <c r="S107" s="16"/>
      <c r="T107" s="11"/>
    </row>
    <row r="108" spans="1:20" outlineLevel="1" x14ac:dyDescent="0.25">
      <c r="A108" s="6" t="s">
        <v>15</v>
      </c>
      <c r="B108" t="s">
        <v>108</v>
      </c>
      <c r="C108" s="16">
        <v>0.77644854739170199</v>
      </c>
      <c r="D108">
        <v>28</v>
      </c>
      <c r="E108" s="16">
        <v>9.5238095238095205E-2</v>
      </c>
      <c r="F108">
        <v>21</v>
      </c>
      <c r="G108" s="16">
        <v>4.7619047619047603E-2</v>
      </c>
      <c r="H108">
        <v>21</v>
      </c>
      <c r="I108" s="16">
        <v>0.75</v>
      </c>
      <c r="J108">
        <v>16</v>
      </c>
      <c r="K108" s="16">
        <v>8.3333333333333301E-2</v>
      </c>
      <c r="L108">
        <v>12</v>
      </c>
      <c r="M108" s="16"/>
      <c r="O108" s="16">
        <v>0.81475818372042497</v>
      </c>
      <c r="P108">
        <v>12</v>
      </c>
      <c r="Q108" s="16">
        <v>0.11111111111111099</v>
      </c>
      <c r="R108">
        <v>9</v>
      </c>
      <c r="S108" s="16">
        <v>0.11111111111111099</v>
      </c>
      <c r="T108" s="11">
        <v>9</v>
      </c>
    </row>
    <row r="109" spans="1:20" outlineLevel="1" x14ac:dyDescent="0.25">
      <c r="A109" s="6" t="s">
        <v>15</v>
      </c>
      <c r="B109" t="s">
        <v>109</v>
      </c>
      <c r="C109" s="16">
        <v>0.46279933924359501</v>
      </c>
      <c r="D109">
        <v>195</v>
      </c>
      <c r="E109" s="16">
        <v>9.8659165151751799E-2</v>
      </c>
      <c r="F109">
        <v>71</v>
      </c>
      <c r="G109" s="16">
        <v>2.76580932622083E-3</v>
      </c>
      <c r="H109">
        <v>71</v>
      </c>
      <c r="I109" s="16">
        <v>0.43781317550732202</v>
      </c>
      <c r="J109">
        <v>103</v>
      </c>
      <c r="K109" s="16">
        <v>4.6163020159330902E-2</v>
      </c>
      <c r="L109">
        <v>39</v>
      </c>
      <c r="M109" s="16">
        <v>2.9076451749225699E-3</v>
      </c>
      <c r="N109">
        <v>39</v>
      </c>
      <c r="O109" s="16">
        <v>0.486211902945829</v>
      </c>
      <c r="P109">
        <v>92</v>
      </c>
      <c r="Q109" s="16">
        <v>0.14295266969464299</v>
      </c>
      <c r="R109">
        <v>32</v>
      </c>
      <c r="S109" s="16">
        <v>2.6461356471397701E-3</v>
      </c>
      <c r="T109" s="11">
        <v>32</v>
      </c>
    </row>
    <row r="110" spans="1:20" outlineLevel="1" x14ac:dyDescent="0.25">
      <c r="A110" s="6" t="s">
        <v>15</v>
      </c>
      <c r="B110" t="s">
        <v>110</v>
      </c>
      <c r="C110" s="16">
        <v>0.69419063537199799</v>
      </c>
      <c r="D110">
        <v>44</v>
      </c>
      <c r="E110" s="16">
        <v>5.8351042058731699E-3</v>
      </c>
      <c r="F110">
        <v>27</v>
      </c>
      <c r="G110" s="16"/>
      <c r="I110" s="16">
        <v>0.69541464802691599</v>
      </c>
      <c r="J110">
        <v>22</v>
      </c>
      <c r="K110" s="16">
        <v>1.2877700505378601E-2</v>
      </c>
      <c r="L110">
        <v>12</v>
      </c>
      <c r="M110" s="16"/>
      <c r="O110" s="16">
        <v>0.69317974569849805</v>
      </c>
      <c r="P110">
        <v>22</v>
      </c>
      <c r="Q110" s="16"/>
      <c r="S110" s="16"/>
      <c r="T110" s="11"/>
    </row>
    <row r="111" spans="1:20" outlineLevel="1" x14ac:dyDescent="0.25">
      <c r="A111" s="6" t="s">
        <v>15</v>
      </c>
      <c r="B111" t="s">
        <v>111</v>
      </c>
      <c r="C111" s="16">
        <v>0.96835028754249697</v>
      </c>
      <c r="D111">
        <v>10</v>
      </c>
      <c r="E111" s="16"/>
      <c r="G111" s="16">
        <v>0.133518812395336</v>
      </c>
      <c r="H111">
        <v>9</v>
      </c>
      <c r="I111" s="16">
        <v>1</v>
      </c>
      <c r="J111">
        <v>1</v>
      </c>
      <c r="K111" s="16"/>
      <c r="M111" s="16"/>
      <c r="O111" s="16">
        <v>0.96365056012624395</v>
      </c>
      <c r="P111">
        <v>9</v>
      </c>
      <c r="Q111" s="16"/>
      <c r="S111" s="16">
        <v>0.15409314628565701</v>
      </c>
      <c r="T111" s="11">
        <v>8</v>
      </c>
    </row>
    <row r="112" spans="1:20" outlineLevel="1" x14ac:dyDescent="0.25">
      <c r="A112" s="6" t="s">
        <v>15</v>
      </c>
      <c r="B112" t="s">
        <v>112</v>
      </c>
      <c r="C112" s="16">
        <v>0.627945491506955</v>
      </c>
      <c r="D112">
        <v>34</v>
      </c>
      <c r="E112" s="16"/>
      <c r="G112" s="16"/>
      <c r="I112" s="16">
        <v>0.57426112481251401</v>
      </c>
      <c r="J112">
        <v>12</v>
      </c>
      <c r="K112" s="16"/>
      <c r="M112" s="16"/>
      <c r="O112" s="16">
        <v>0.67533511014061698</v>
      </c>
      <c r="P112">
        <v>22</v>
      </c>
      <c r="Q112" s="16"/>
      <c r="S112" s="16"/>
      <c r="T112" s="11"/>
    </row>
    <row r="113" spans="1:20" outlineLevel="1" x14ac:dyDescent="0.25">
      <c r="A113" s="6" t="s">
        <v>15</v>
      </c>
      <c r="B113" t="s">
        <v>113</v>
      </c>
      <c r="C113" s="16">
        <v>0.77329222742530301</v>
      </c>
      <c r="D113">
        <v>81</v>
      </c>
      <c r="E113" s="16"/>
      <c r="G113" s="16">
        <v>1.0679403469958699E-2</v>
      </c>
      <c r="H113">
        <v>72</v>
      </c>
      <c r="I113" s="16">
        <v>0.94372905748205305</v>
      </c>
      <c r="J113">
        <v>42</v>
      </c>
      <c r="K113" s="16"/>
      <c r="M113" s="16">
        <v>1.82178597981143E-2</v>
      </c>
      <c r="N113">
        <v>40</v>
      </c>
      <c r="O113" s="16">
        <v>0.61608410610957298</v>
      </c>
      <c r="P113">
        <v>38</v>
      </c>
      <c r="Q113" s="16"/>
      <c r="S113" s="16"/>
      <c r="T113" s="11"/>
    </row>
    <row r="114" spans="1:20" outlineLevel="1" x14ac:dyDescent="0.25">
      <c r="A114" s="6" t="s">
        <v>15</v>
      </c>
      <c r="B114" t="s">
        <v>114</v>
      </c>
      <c r="C114" s="16">
        <v>0.622597828199697</v>
      </c>
      <c r="D114">
        <v>181</v>
      </c>
      <c r="E114" s="16">
        <v>2.1387608333252098E-2</v>
      </c>
      <c r="F114">
        <v>104</v>
      </c>
      <c r="G114" s="16">
        <v>3.2852018551394101E-2</v>
      </c>
      <c r="H114">
        <v>104</v>
      </c>
      <c r="I114" s="16">
        <v>0.73157445754485195</v>
      </c>
      <c r="J114">
        <v>87</v>
      </c>
      <c r="K114" s="16">
        <v>4.3223856532338199E-2</v>
      </c>
      <c r="L114">
        <v>53</v>
      </c>
      <c r="M114" s="16">
        <v>4.3483063632028501E-2</v>
      </c>
      <c r="N114">
        <v>53</v>
      </c>
      <c r="O114" s="16">
        <v>0.53450785822501101</v>
      </c>
      <c r="P114">
        <v>93</v>
      </c>
      <c r="Q114" s="16">
        <v>5.1724988284245898E-4</v>
      </c>
      <c r="R114">
        <v>50</v>
      </c>
      <c r="S114" s="16">
        <v>2.3653155341789901E-2</v>
      </c>
      <c r="T114" s="11">
        <v>50</v>
      </c>
    </row>
    <row r="115" spans="1:20" outlineLevel="1" x14ac:dyDescent="0.25">
      <c r="A115" s="6" t="s">
        <v>15</v>
      </c>
      <c r="B115" t="s">
        <v>115</v>
      </c>
      <c r="C115" s="16">
        <v>5.4400569720679297E-2</v>
      </c>
      <c r="D115">
        <v>4</v>
      </c>
      <c r="E115" s="16"/>
      <c r="G115" s="16"/>
      <c r="I115" s="16">
        <v>7.9440062258270897E-2</v>
      </c>
      <c r="J115">
        <v>3</v>
      </c>
      <c r="K115" s="16"/>
      <c r="M115" s="16"/>
      <c r="O115" s="16"/>
      <c r="Q115" s="16"/>
      <c r="S115" s="16"/>
      <c r="T115" s="11"/>
    </row>
    <row r="116" spans="1:20" outlineLevel="1" x14ac:dyDescent="0.25">
      <c r="A116" s="7" t="s">
        <v>15</v>
      </c>
      <c r="B116" s="9" t="s">
        <v>116</v>
      </c>
      <c r="C116" s="15">
        <v>0.57283648977186297</v>
      </c>
      <c r="D116" s="9">
        <v>13</v>
      </c>
      <c r="E116" s="15">
        <v>0.423005439691642</v>
      </c>
      <c r="F116" s="9">
        <v>8</v>
      </c>
      <c r="G116" s="15"/>
      <c r="H116" s="9"/>
      <c r="I116" s="15">
        <v>0.56101030652168304</v>
      </c>
      <c r="J116" s="9">
        <v>8</v>
      </c>
      <c r="K116" s="15">
        <v>0.32062210799846702</v>
      </c>
      <c r="L116" s="9">
        <v>5</v>
      </c>
      <c r="M116" s="15"/>
      <c r="N116" s="9"/>
      <c r="O116" s="15">
        <v>0.59473384878101798</v>
      </c>
      <c r="P116" s="9">
        <v>5</v>
      </c>
      <c r="Q116" s="15">
        <v>0.60182893346014399</v>
      </c>
      <c r="R116" s="9">
        <v>3</v>
      </c>
      <c r="S116" s="15"/>
      <c r="T116" s="12"/>
    </row>
    <row r="117" spans="1:20" x14ac:dyDescent="0.25">
      <c r="C117" s="16"/>
      <c r="E117" s="16"/>
      <c r="G117" s="16"/>
      <c r="I117" s="16"/>
      <c r="K117" s="16"/>
      <c r="M117" s="16"/>
      <c r="O117" s="16"/>
      <c r="Q117" s="16"/>
      <c r="S117" s="16"/>
    </row>
    <row r="118" spans="1:20" x14ac:dyDescent="0.25">
      <c r="A118" s="19" t="s">
        <v>117</v>
      </c>
      <c r="B118" s="19"/>
      <c r="C118" s="20"/>
      <c r="D118" s="19"/>
      <c r="E118" s="20"/>
      <c r="F118" s="19"/>
      <c r="G118" s="20"/>
      <c r="H118" s="19"/>
      <c r="I118" s="20"/>
      <c r="J118" s="19"/>
      <c r="K118" s="20"/>
      <c r="L118" s="19"/>
      <c r="M118" s="20"/>
      <c r="N118" s="19"/>
      <c r="O118" s="20"/>
      <c r="P118" s="19"/>
      <c r="Q118" s="20"/>
      <c r="R118" s="19"/>
      <c r="S118" s="20"/>
      <c r="T118" s="19"/>
    </row>
    <row r="119" spans="1:20" outlineLevel="1" x14ac:dyDescent="0.25">
      <c r="A119" s="5" t="s">
        <v>15</v>
      </c>
      <c r="B119" s="8" t="s">
        <v>101</v>
      </c>
      <c r="C119" s="14">
        <v>0.84846036595121599</v>
      </c>
      <c r="D119" s="8">
        <v>83</v>
      </c>
      <c r="E119" s="14">
        <v>4.18335431298969E-2</v>
      </c>
      <c r="F119" s="8">
        <v>70</v>
      </c>
      <c r="G119" s="14">
        <v>4.0236744344437601E-2</v>
      </c>
      <c r="H119" s="8">
        <v>70</v>
      </c>
      <c r="I119" s="14">
        <v>0.82782340049553405</v>
      </c>
      <c r="J119" s="8">
        <v>45</v>
      </c>
      <c r="K119" s="14">
        <v>1.1799496986711099E-3</v>
      </c>
      <c r="L119" s="8">
        <v>39</v>
      </c>
      <c r="M119" s="14">
        <v>6.8624873964079305E-2</v>
      </c>
      <c r="N119" s="8">
        <v>39</v>
      </c>
      <c r="O119" s="14">
        <v>0.87950380242336301</v>
      </c>
      <c r="P119" s="8">
        <v>38</v>
      </c>
      <c r="Q119" s="14">
        <v>9.9393819532320904E-2</v>
      </c>
      <c r="R119" s="8">
        <v>31</v>
      </c>
      <c r="S119" s="14">
        <v>4.2792234921679602E-5</v>
      </c>
      <c r="T119" s="10">
        <v>31</v>
      </c>
    </row>
    <row r="120" spans="1:20" outlineLevel="1" x14ac:dyDescent="0.25">
      <c r="A120" s="6" t="s">
        <v>15</v>
      </c>
      <c r="B120" t="s">
        <v>118</v>
      </c>
      <c r="C120" s="16">
        <v>0.72845985086902998</v>
      </c>
      <c r="D120">
        <v>6098</v>
      </c>
      <c r="E120" s="16">
        <v>2.3316573215025699E-2</v>
      </c>
      <c r="F120">
        <v>3485</v>
      </c>
      <c r="G120" s="16">
        <v>1.8581061404773599E-2</v>
      </c>
      <c r="H120">
        <v>3485</v>
      </c>
      <c r="I120" s="16">
        <v>0.73419074128177197</v>
      </c>
      <c r="J120">
        <v>3104</v>
      </c>
      <c r="K120" s="16">
        <v>2.3230586459624399E-2</v>
      </c>
      <c r="L120">
        <v>1800</v>
      </c>
      <c r="M120" s="16">
        <v>2.05821268228129E-2</v>
      </c>
      <c r="N120">
        <v>1800</v>
      </c>
      <c r="O120" s="16">
        <v>0.72249298286880503</v>
      </c>
      <c r="P120">
        <v>2991</v>
      </c>
      <c r="Q120" s="16">
        <v>2.28864875861821E-2</v>
      </c>
      <c r="R120">
        <v>1684</v>
      </c>
      <c r="S120" s="16">
        <v>1.64759450360016E-2</v>
      </c>
      <c r="T120" s="11">
        <v>1684</v>
      </c>
    </row>
    <row r="121" spans="1:20" outlineLevel="1" x14ac:dyDescent="0.25">
      <c r="A121" s="6" t="s">
        <v>15</v>
      </c>
      <c r="B121" t="s">
        <v>119</v>
      </c>
      <c r="C121" s="16">
        <v>0.60650530599837305</v>
      </c>
      <c r="D121">
        <v>2172</v>
      </c>
      <c r="E121" s="16">
        <v>7.2301049273983606E-2</v>
      </c>
      <c r="F121">
        <v>1037</v>
      </c>
      <c r="G121" s="16">
        <v>2.5881567636368299E-2</v>
      </c>
      <c r="H121">
        <v>1037</v>
      </c>
      <c r="I121" s="16">
        <v>0.61100652618489004</v>
      </c>
      <c r="J121">
        <v>1072</v>
      </c>
      <c r="K121" s="16">
        <v>6.9700450573668096E-2</v>
      </c>
      <c r="L121">
        <v>523</v>
      </c>
      <c r="M121" s="16">
        <v>1.50041760169224E-2</v>
      </c>
      <c r="N121">
        <v>523</v>
      </c>
      <c r="O121" s="16">
        <v>0.60148079332023996</v>
      </c>
      <c r="P121">
        <v>1097</v>
      </c>
      <c r="Q121" s="16">
        <v>7.5314898681835996E-2</v>
      </c>
      <c r="R121">
        <v>513</v>
      </c>
      <c r="S121" s="16">
        <v>3.8300814750092102E-2</v>
      </c>
      <c r="T121" s="11">
        <v>513</v>
      </c>
    </row>
    <row r="122" spans="1:20" outlineLevel="1" x14ac:dyDescent="0.25">
      <c r="A122" s="7" t="s">
        <v>15</v>
      </c>
      <c r="B122" s="9" t="s">
        <v>120</v>
      </c>
      <c r="C122" s="15">
        <v>0.62731200326980696</v>
      </c>
      <c r="D122" s="9">
        <v>329</v>
      </c>
      <c r="E122" s="15">
        <v>4.8062096249267897E-2</v>
      </c>
      <c r="F122" s="9">
        <v>203</v>
      </c>
      <c r="G122" s="15">
        <v>2.7348332484662299E-2</v>
      </c>
      <c r="H122" s="9">
        <v>203</v>
      </c>
      <c r="I122" s="15">
        <v>0.55082160585121298</v>
      </c>
      <c r="J122" s="9">
        <v>164</v>
      </c>
      <c r="K122" s="15">
        <v>8.1727432387834094E-3</v>
      </c>
      <c r="L122" s="9">
        <v>93</v>
      </c>
      <c r="M122" s="15">
        <v>4.4109996157944899E-2</v>
      </c>
      <c r="N122" s="9">
        <v>93</v>
      </c>
      <c r="O122" s="15">
        <v>0.74552347844352396</v>
      </c>
      <c r="P122" s="9">
        <v>164</v>
      </c>
      <c r="Q122" s="15">
        <v>9.4032111976587396E-2</v>
      </c>
      <c r="R122" s="9">
        <v>109</v>
      </c>
      <c r="S122" s="15">
        <v>8.1612206004089902E-3</v>
      </c>
      <c r="T122" s="12">
        <v>109</v>
      </c>
    </row>
    <row r="123" spans="1:20" x14ac:dyDescent="0.25">
      <c r="C123" s="16"/>
      <c r="E123" s="16"/>
      <c r="G123" s="16"/>
      <c r="I123" s="16"/>
      <c r="K123" s="16"/>
      <c r="M123" s="16"/>
      <c r="O123" s="16"/>
      <c r="Q123" s="16"/>
      <c r="S123" s="16"/>
    </row>
    <row r="124" spans="1:20" x14ac:dyDescent="0.25">
      <c r="A124" s="19" t="s">
        <v>121</v>
      </c>
      <c r="B124" s="19"/>
      <c r="C124" s="20"/>
      <c r="D124" s="19"/>
      <c r="E124" s="20"/>
      <c r="F124" s="19"/>
      <c r="G124" s="20"/>
      <c r="H124" s="19"/>
      <c r="I124" s="20"/>
      <c r="J124" s="19"/>
      <c r="K124" s="20"/>
      <c r="L124" s="19"/>
      <c r="M124" s="20"/>
      <c r="N124" s="19"/>
      <c r="O124" s="20"/>
      <c r="P124" s="19"/>
      <c r="Q124" s="20"/>
      <c r="R124" s="19"/>
      <c r="S124" s="20"/>
      <c r="T124" s="19"/>
    </row>
    <row r="125" spans="1:20" outlineLevel="1" x14ac:dyDescent="0.25">
      <c r="A125" s="5" t="s">
        <v>15</v>
      </c>
      <c r="B125" s="8" t="s">
        <v>101</v>
      </c>
      <c r="C125" s="14">
        <v>0.41931698995799799</v>
      </c>
      <c r="D125" s="8">
        <v>111</v>
      </c>
      <c r="E125" s="14">
        <v>1.18931935925949E-2</v>
      </c>
      <c r="F125" s="8">
        <v>50</v>
      </c>
      <c r="G125" s="14">
        <v>6.3128502916484398E-3</v>
      </c>
      <c r="H125" s="8">
        <v>50</v>
      </c>
      <c r="I125" s="14">
        <v>0.35681522565642698</v>
      </c>
      <c r="J125" s="8">
        <v>64</v>
      </c>
      <c r="K125" s="14"/>
      <c r="L125" s="8"/>
      <c r="M125" s="14"/>
      <c r="N125" s="8"/>
      <c r="O125" s="14">
        <v>0.50258234854277095</v>
      </c>
      <c r="P125" s="8">
        <v>47</v>
      </c>
      <c r="Q125" s="14">
        <v>2.0936971798597201E-2</v>
      </c>
      <c r="R125" s="8">
        <v>27</v>
      </c>
      <c r="S125" s="14">
        <v>1.1113244520572199E-2</v>
      </c>
      <c r="T125" s="10">
        <v>27</v>
      </c>
    </row>
    <row r="126" spans="1:20" outlineLevel="1" x14ac:dyDescent="0.25">
      <c r="A126" s="6" t="s">
        <v>15</v>
      </c>
      <c r="B126" t="s">
        <v>122</v>
      </c>
      <c r="C126" s="16">
        <v>0.56655328368353497</v>
      </c>
      <c r="D126">
        <v>600</v>
      </c>
      <c r="E126" s="16">
        <v>6.5067217734422603E-2</v>
      </c>
      <c r="F126">
        <v>334</v>
      </c>
      <c r="G126" s="16">
        <v>1.7771530856808201E-2</v>
      </c>
      <c r="H126">
        <v>334</v>
      </c>
      <c r="I126" s="16">
        <v>0.534955045360197</v>
      </c>
      <c r="J126">
        <v>302</v>
      </c>
      <c r="K126" s="16">
        <v>4.9636727772714502E-2</v>
      </c>
      <c r="L126">
        <v>161</v>
      </c>
      <c r="M126" s="16">
        <v>2.8719030350812198E-2</v>
      </c>
      <c r="N126">
        <v>161</v>
      </c>
      <c r="O126" s="16">
        <v>0.61287329923619505</v>
      </c>
      <c r="P126">
        <v>297</v>
      </c>
      <c r="Q126" s="16">
        <v>8.4773539413090598E-2</v>
      </c>
      <c r="R126">
        <v>173</v>
      </c>
      <c r="S126" s="16">
        <v>3.7904487822105499E-3</v>
      </c>
      <c r="T126" s="11">
        <v>173</v>
      </c>
    </row>
    <row r="127" spans="1:20" outlineLevel="1" x14ac:dyDescent="0.25">
      <c r="A127" s="6" t="s">
        <v>15</v>
      </c>
      <c r="B127" t="s">
        <v>123</v>
      </c>
      <c r="C127" s="16">
        <v>0.56078536559763603</v>
      </c>
      <c r="D127">
        <v>3072</v>
      </c>
      <c r="E127" s="16">
        <v>4.5298097473614803E-2</v>
      </c>
      <c r="F127">
        <v>1519</v>
      </c>
      <c r="G127" s="16">
        <v>2.5935196915503899E-2</v>
      </c>
      <c r="H127">
        <v>1519</v>
      </c>
      <c r="I127" s="16">
        <v>0.57397857882991699</v>
      </c>
      <c r="J127">
        <v>1533</v>
      </c>
      <c r="K127" s="16">
        <v>4.3357486322387999E-2</v>
      </c>
      <c r="L127">
        <v>763</v>
      </c>
      <c r="M127" s="16">
        <v>1.6645490875805E-2</v>
      </c>
      <c r="N127">
        <v>763</v>
      </c>
      <c r="O127" s="16">
        <v>0.54664261860200303</v>
      </c>
      <c r="P127">
        <v>1536</v>
      </c>
      <c r="Q127" s="16">
        <v>4.7542139330676303E-2</v>
      </c>
      <c r="R127">
        <v>754</v>
      </c>
      <c r="S127" s="16">
        <v>3.6529478703559E-2</v>
      </c>
      <c r="T127" s="11">
        <v>754</v>
      </c>
    </row>
    <row r="128" spans="1:20" outlineLevel="1" x14ac:dyDescent="0.25">
      <c r="A128" s="7" t="s">
        <v>15</v>
      </c>
      <c r="B128" s="9" t="s">
        <v>124</v>
      </c>
      <c r="C128" s="15">
        <v>0.75695833094298004</v>
      </c>
      <c r="D128" s="9">
        <v>4899</v>
      </c>
      <c r="E128" s="15">
        <v>2.5007564144773502E-2</v>
      </c>
      <c r="F128" s="9">
        <v>2892</v>
      </c>
      <c r="G128" s="15">
        <v>1.8662386450110299E-2</v>
      </c>
      <c r="H128" s="9">
        <v>2892</v>
      </c>
      <c r="I128" s="15">
        <v>0.76276112453615397</v>
      </c>
      <c r="J128" s="9">
        <v>2486</v>
      </c>
      <c r="K128" s="15">
        <v>2.45718253982838E-2</v>
      </c>
      <c r="L128" s="9">
        <v>1508</v>
      </c>
      <c r="M128" s="15">
        <v>2.10237012568627E-2</v>
      </c>
      <c r="N128" s="9">
        <v>1508</v>
      </c>
      <c r="O128" s="15">
        <v>0.75091679237407905</v>
      </c>
      <c r="P128" s="9">
        <v>2410</v>
      </c>
      <c r="Q128" s="15">
        <v>2.4916993512797199E-2</v>
      </c>
      <c r="R128" s="9">
        <v>1383</v>
      </c>
      <c r="S128" s="15">
        <v>1.6190666772610801E-2</v>
      </c>
      <c r="T128" s="12">
        <v>1383</v>
      </c>
    </row>
    <row r="129" spans="1:20" x14ac:dyDescent="0.25">
      <c r="C129" s="16"/>
      <c r="E129" s="16"/>
      <c r="G129" s="16"/>
      <c r="I129" s="16"/>
      <c r="K129" s="16"/>
      <c r="M129" s="16"/>
      <c r="O129" s="16"/>
      <c r="Q129" s="16"/>
      <c r="S129" s="16"/>
    </row>
    <row r="130" spans="1:20" x14ac:dyDescent="0.25">
      <c r="A130" s="19" t="s">
        <v>125</v>
      </c>
      <c r="B130" s="19"/>
      <c r="C130" s="20"/>
      <c r="D130" s="19"/>
      <c r="E130" s="20"/>
      <c r="F130" s="19"/>
      <c r="G130" s="20"/>
      <c r="H130" s="19"/>
      <c r="I130" s="20"/>
      <c r="J130" s="19"/>
      <c r="K130" s="20"/>
      <c r="L130" s="19"/>
      <c r="M130" s="20"/>
      <c r="N130" s="19"/>
      <c r="O130" s="20"/>
      <c r="P130" s="19"/>
      <c r="Q130" s="20"/>
      <c r="R130" s="19"/>
      <c r="S130" s="20"/>
      <c r="T130" s="19"/>
    </row>
    <row r="131" spans="1:20" outlineLevel="1" x14ac:dyDescent="0.25">
      <c r="A131" s="5" t="s">
        <v>15</v>
      </c>
      <c r="B131" s="8" t="s">
        <v>101</v>
      </c>
      <c r="C131" s="14">
        <v>0.39125689038154599</v>
      </c>
      <c r="D131" s="8">
        <v>72</v>
      </c>
      <c r="E131" s="14"/>
      <c r="F131" s="8"/>
      <c r="G131" s="14"/>
      <c r="H131" s="8"/>
      <c r="I131" s="14">
        <v>0.42224889127098603</v>
      </c>
      <c r="J131" s="8">
        <v>26</v>
      </c>
      <c r="K131" s="14"/>
      <c r="L131" s="8"/>
      <c r="M131" s="14"/>
      <c r="N131" s="8"/>
      <c r="O131" s="14">
        <v>0.36760035273430802</v>
      </c>
      <c r="P131" s="8">
        <v>46</v>
      </c>
      <c r="Q131" s="14"/>
      <c r="R131" s="8"/>
      <c r="S131" s="14"/>
      <c r="T131" s="10"/>
    </row>
    <row r="132" spans="1:20" outlineLevel="1" x14ac:dyDescent="0.25">
      <c r="A132" s="6" t="s">
        <v>15</v>
      </c>
      <c r="B132" t="s">
        <v>126</v>
      </c>
      <c r="C132" s="16">
        <v>0.566502911910712</v>
      </c>
      <c r="D132">
        <v>1110</v>
      </c>
      <c r="E132" s="16">
        <v>6.7116333818572599E-2</v>
      </c>
      <c r="F132">
        <v>592</v>
      </c>
      <c r="G132" s="16">
        <v>2.4753106760402099E-2</v>
      </c>
      <c r="H132">
        <v>592</v>
      </c>
      <c r="I132" s="16">
        <v>0.549958578112829</v>
      </c>
      <c r="J132">
        <v>554</v>
      </c>
      <c r="K132" s="16">
        <v>8.8219268103967893E-2</v>
      </c>
      <c r="L132">
        <v>291</v>
      </c>
      <c r="M132" s="16">
        <v>2.5052461975313599E-2</v>
      </c>
      <c r="N132">
        <v>291</v>
      </c>
      <c r="O132" s="16">
        <v>0.58845338746966103</v>
      </c>
      <c r="P132">
        <v>556</v>
      </c>
      <c r="Q132" s="16">
        <v>4.0924984206060097E-2</v>
      </c>
      <c r="R132">
        <v>301</v>
      </c>
      <c r="S132" s="16">
        <v>2.43815699406385E-2</v>
      </c>
      <c r="T132" s="11">
        <v>301</v>
      </c>
    </row>
    <row r="133" spans="1:20" outlineLevel="1" x14ac:dyDescent="0.25">
      <c r="A133" s="6" t="s">
        <v>15</v>
      </c>
      <c r="B133" t="s">
        <v>127</v>
      </c>
      <c r="C133" s="16">
        <v>0.59039609389264103</v>
      </c>
      <c r="D133">
        <v>1104</v>
      </c>
      <c r="E133" s="16">
        <v>6.3963785207903398E-2</v>
      </c>
      <c r="F133">
        <v>590</v>
      </c>
      <c r="G133" s="16">
        <v>1.8496698916651601E-2</v>
      </c>
      <c r="H133">
        <v>590</v>
      </c>
      <c r="I133" s="16">
        <v>0.58852025995030899</v>
      </c>
      <c r="J133">
        <v>552</v>
      </c>
      <c r="K133" s="16">
        <v>5.5751569998116597E-2</v>
      </c>
      <c r="L133">
        <v>301</v>
      </c>
      <c r="M133" s="16">
        <v>2.1940509545322801E-2</v>
      </c>
      <c r="N133">
        <v>301</v>
      </c>
      <c r="O133" s="16">
        <v>0.59232383271497402</v>
      </c>
      <c r="P133">
        <v>550</v>
      </c>
      <c r="Q133" s="16">
        <v>7.3080813263609906E-2</v>
      </c>
      <c r="R133">
        <v>288</v>
      </c>
      <c r="S133" s="16">
        <v>1.4703327094937799E-2</v>
      </c>
      <c r="T133" s="11">
        <v>288</v>
      </c>
    </row>
    <row r="134" spans="1:20" outlineLevel="1" x14ac:dyDescent="0.25">
      <c r="A134" s="6" t="s">
        <v>15</v>
      </c>
      <c r="B134" t="s">
        <v>128</v>
      </c>
      <c r="C134" s="16">
        <v>0.78835142398136804</v>
      </c>
      <c r="D134">
        <v>3017</v>
      </c>
      <c r="E134" s="16">
        <v>2.2364885609415901E-2</v>
      </c>
      <c r="F134">
        <v>1930</v>
      </c>
      <c r="G134" s="16">
        <v>1.8680443644492999E-2</v>
      </c>
      <c r="H134">
        <v>1930</v>
      </c>
      <c r="I134" s="16">
        <v>0.79036810841807004</v>
      </c>
      <c r="J134">
        <v>1551</v>
      </c>
      <c r="K134" s="16">
        <v>2.1257652551999701E-2</v>
      </c>
      <c r="L134">
        <v>998</v>
      </c>
      <c r="M134" s="16">
        <v>1.8876962714853101E-2</v>
      </c>
      <c r="N134">
        <v>998</v>
      </c>
      <c r="O134" s="16">
        <v>0.78610949017311404</v>
      </c>
      <c r="P134">
        <v>1465</v>
      </c>
      <c r="Q134" s="16">
        <v>2.2885253248457801E-2</v>
      </c>
      <c r="R134">
        <v>931</v>
      </c>
      <c r="S134" s="16">
        <v>1.84845575138529E-2</v>
      </c>
      <c r="T134" s="11">
        <v>931</v>
      </c>
    </row>
    <row r="135" spans="1:20" outlineLevel="1" x14ac:dyDescent="0.25">
      <c r="A135" s="7" t="s">
        <v>15</v>
      </c>
      <c r="B135" s="9" t="s">
        <v>129</v>
      </c>
      <c r="C135" s="15">
        <v>0.58978570169162803</v>
      </c>
      <c r="D135" s="9">
        <v>3379</v>
      </c>
      <c r="E135" s="15">
        <v>3.2884953624693701E-2</v>
      </c>
      <c r="F135" s="9">
        <v>1649</v>
      </c>
      <c r="G135" s="15">
        <v>2.21104452882247E-2</v>
      </c>
      <c r="H135" s="9">
        <v>1649</v>
      </c>
      <c r="I135" s="15">
        <v>0.606326327948157</v>
      </c>
      <c r="J135" s="9">
        <v>1702</v>
      </c>
      <c r="K135" s="15">
        <v>2.59065489842926E-2</v>
      </c>
      <c r="L135" s="9">
        <v>852</v>
      </c>
      <c r="M135" s="15">
        <v>2.5344639555875102E-2</v>
      </c>
      <c r="N135" s="9">
        <v>852</v>
      </c>
      <c r="O135" s="15">
        <v>0.57375998336586698</v>
      </c>
      <c r="P135" s="9">
        <v>1673</v>
      </c>
      <c r="Q135" s="15">
        <v>4.0184974950171801E-2</v>
      </c>
      <c r="R135" s="9">
        <v>796</v>
      </c>
      <c r="S135" s="15">
        <v>1.87411203264163E-2</v>
      </c>
      <c r="T135" s="12">
        <v>796</v>
      </c>
    </row>
    <row r="136" spans="1:20" x14ac:dyDescent="0.25">
      <c r="C136" s="16"/>
      <c r="E136" s="16"/>
      <c r="G136" s="16"/>
      <c r="I136" s="16"/>
      <c r="K136" s="16"/>
      <c r="M136" s="16"/>
      <c r="O136" s="16"/>
      <c r="Q136" s="16"/>
      <c r="S136" s="16"/>
    </row>
    <row r="137" spans="1:20" x14ac:dyDescent="0.25">
      <c r="A137" s="19" t="s">
        <v>130</v>
      </c>
      <c r="B137" s="19"/>
      <c r="C137" s="20"/>
      <c r="D137" s="19"/>
      <c r="E137" s="20"/>
      <c r="F137" s="19"/>
      <c r="G137" s="20"/>
      <c r="H137" s="19"/>
      <c r="I137" s="20"/>
      <c r="J137" s="19"/>
      <c r="K137" s="20"/>
      <c r="L137" s="19"/>
      <c r="M137" s="20"/>
      <c r="N137" s="19"/>
      <c r="O137" s="20"/>
      <c r="P137" s="19"/>
      <c r="Q137" s="20"/>
      <c r="R137" s="19"/>
      <c r="S137" s="20"/>
      <c r="T137" s="19"/>
    </row>
    <row r="138" spans="1:20" outlineLevel="1" x14ac:dyDescent="0.25">
      <c r="A138" s="5" t="s">
        <v>15</v>
      </c>
      <c r="B138" s="8" t="s">
        <v>101</v>
      </c>
      <c r="C138" s="14">
        <v>0.73012872884106494</v>
      </c>
      <c r="D138" s="8">
        <v>2100</v>
      </c>
      <c r="E138" s="14">
        <v>3.9277928316095202E-2</v>
      </c>
      <c r="F138" s="8">
        <v>902</v>
      </c>
      <c r="G138" s="14">
        <v>2.54276467479785E-2</v>
      </c>
      <c r="H138" s="8">
        <v>902</v>
      </c>
      <c r="I138" s="14">
        <v>0.73098720003321904</v>
      </c>
      <c r="J138" s="8">
        <v>1056</v>
      </c>
      <c r="K138" s="14">
        <v>4.3648088051767599E-2</v>
      </c>
      <c r="L138" s="8">
        <v>470</v>
      </c>
      <c r="M138" s="14">
        <v>3.5163859263077503E-2</v>
      </c>
      <c r="N138" s="8">
        <v>470</v>
      </c>
      <c r="O138" s="14">
        <v>0.72922896662464498</v>
      </c>
      <c r="P138" s="8">
        <v>1043</v>
      </c>
      <c r="Q138" s="14">
        <v>3.4979805848490801E-2</v>
      </c>
      <c r="R138" s="8">
        <v>431</v>
      </c>
      <c r="S138" s="14">
        <v>1.5834477816177198E-2</v>
      </c>
      <c r="T138" s="10">
        <v>431</v>
      </c>
    </row>
    <row r="139" spans="1:20" outlineLevel="1" x14ac:dyDescent="0.25">
      <c r="A139" s="6" t="s">
        <v>15</v>
      </c>
      <c r="B139" t="s">
        <v>131</v>
      </c>
      <c r="C139" s="16">
        <v>0.71255571606714996</v>
      </c>
      <c r="D139">
        <v>6481</v>
      </c>
      <c r="E139" s="16">
        <v>2.5801645682078302E-2</v>
      </c>
      <c r="F139">
        <v>3865</v>
      </c>
      <c r="G139" s="16">
        <v>1.7752699540863299E-2</v>
      </c>
      <c r="H139">
        <v>3865</v>
      </c>
      <c r="I139" s="16">
        <v>0.71483297670419799</v>
      </c>
      <c r="J139">
        <v>3287</v>
      </c>
      <c r="K139" s="16">
        <v>2.3384400310095699E-2</v>
      </c>
      <c r="L139">
        <v>1973</v>
      </c>
      <c r="M139" s="16">
        <v>1.6103107173120201E-2</v>
      </c>
      <c r="N139">
        <v>1973</v>
      </c>
      <c r="O139" s="16">
        <v>0.71009167428000397</v>
      </c>
      <c r="P139">
        <v>3188</v>
      </c>
      <c r="Q139" s="16">
        <v>2.7843150189932601E-2</v>
      </c>
      <c r="R139">
        <v>1890</v>
      </c>
      <c r="S139" s="16">
        <v>1.95744801015524E-2</v>
      </c>
      <c r="T139" s="11">
        <v>1890</v>
      </c>
    </row>
    <row r="140" spans="1:20" outlineLevel="1" x14ac:dyDescent="0.25">
      <c r="A140" s="7" t="s">
        <v>15</v>
      </c>
      <c r="B140" s="9" t="s">
        <v>132</v>
      </c>
      <c r="C140" s="15">
        <v>7.8991709069010194E-2</v>
      </c>
      <c r="D140" s="9">
        <v>101</v>
      </c>
      <c r="E140" s="15">
        <v>7.3118459490473395E-2</v>
      </c>
      <c r="F140" s="9">
        <v>28</v>
      </c>
      <c r="G140" s="15">
        <v>1.6783837537560801E-2</v>
      </c>
      <c r="H140" s="9">
        <v>28</v>
      </c>
      <c r="I140" s="15">
        <v>0.116125227974687</v>
      </c>
      <c r="J140" s="9">
        <v>42</v>
      </c>
      <c r="K140" s="15">
        <v>6.2271825464890497E-3</v>
      </c>
      <c r="L140" s="9">
        <v>12</v>
      </c>
      <c r="M140" s="15">
        <v>3.0797383127030099E-2</v>
      </c>
      <c r="N140" s="9">
        <v>12</v>
      </c>
      <c r="O140" s="15">
        <v>5.7116786354969501E-2</v>
      </c>
      <c r="P140" s="9">
        <v>59</v>
      </c>
      <c r="Q140" s="15">
        <v>0.153233253975567</v>
      </c>
      <c r="R140" s="9">
        <v>16</v>
      </c>
      <c r="S140" s="15"/>
      <c r="T140" s="12"/>
    </row>
    <row r="141" spans="1:20" x14ac:dyDescent="0.25">
      <c r="C141" s="16"/>
      <c r="E141" s="16"/>
      <c r="G141" s="16"/>
      <c r="I141" s="16"/>
      <c r="K141" s="16"/>
      <c r="M141" s="16"/>
      <c r="O141" s="16"/>
      <c r="Q141" s="16"/>
      <c r="S141" s="16"/>
    </row>
    <row r="142" spans="1:20" x14ac:dyDescent="0.25">
      <c r="A142" s="19" t="s">
        <v>133</v>
      </c>
      <c r="B142" s="19"/>
      <c r="C142" s="20"/>
      <c r="D142" s="19"/>
      <c r="E142" s="20"/>
      <c r="F142" s="19"/>
      <c r="G142" s="20"/>
      <c r="H142" s="19"/>
      <c r="I142" s="20"/>
      <c r="J142" s="19"/>
      <c r="K142" s="20"/>
      <c r="L142" s="19"/>
      <c r="M142" s="20"/>
      <c r="N142" s="19"/>
      <c r="O142" s="20"/>
      <c r="P142" s="19"/>
      <c r="Q142" s="20"/>
      <c r="R142" s="19"/>
      <c r="S142" s="20"/>
      <c r="T142" s="19"/>
    </row>
    <row r="143" spans="1:20" outlineLevel="1" x14ac:dyDescent="0.25">
      <c r="A143" s="5" t="s">
        <v>15</v>
      </c>
      <c r="B143" s="8" t="s">
        <v>101</v>
      </c>
      <c r="C143" s="14">
        <v>0.73012872884106494</v>
      </c>
      <c r="D143" s="8">
        <v>2100</v>
      </c>
      <c r="E143" s="14">
        <v>3.9277928316095202E-2</v>
      </c>
      <c r="F143" s="8">
        <v>902</v>
      </c>
      <c r="G143" s="14">
        <v>2.54276467479785E-2</v>
      </c>
      <c r="H143" s="8">
        <v>902</v>
      </c>
      <c r="I143" s="14">
        <v>0.73098720003321904</v>
      </c>
      <c r="J143" s="8">
        <v>1056</v>
      </c>
      <c r="K143" s="14">
        <v>4.3648088051767599E-2</v>
      </c>
      <c r="L143" s="8">
        <v>470</v>
      </c>
      <c r="M143" s="14">
        <v>3.5163859263077503E-2</v>
      </c>
      <c r="N143" s="8">
        <v>470</v>
      </c>
      <c r="O143" s="14">
        <v>0.72922896662464498</v>
      </c>
      <c r="P143" s="8">
        <v>1043</v>
      </c>
      <c r="Q143" s="14">
        <v>3.4979805848490801E-2</v>
      </c>
      <c r="R143" s="8">
        <v>431</v>
      </c>
      <c r="S143" s="14">
        <v>1.5834477816177198E-2</v>
      </c>
      <c r="T143" s="10">
        <v>431</v>
      </c>
    </row>
    <row r="144" spans="1:20" outlineLevel="1" x14ac:dyDescent="0.25">
      <c r="A144" s="6" t="s">
        <v>15</v>
      </c>
      <c r="B144" t="s">
        <v>131</v>
      </c>
      <c r="C144" s="16">
        <v>0.71216594910469899</v>
      </c>
      <c r="D144">
        <v>6379</v>
      </c>
      <c r="E144" s="16">
        <v>2.59488709514855E-2</v>
      </c>
      <c r="F144">
        <v>3779</v>
      </c>
      <c r="G144" s="16">
        <v>1.7809006374057499E-2</v>
      </c>
      <c r="H144">
        <v>3779</v>
      </c>
      <c r="I144" s="16">
        <v>0.71359576198409802</v>
      </c>
      <c r="J144">
        <v>3234</v>
      </c>
      <c r="K144" s="16">
        <v>2.3507887667306299E-2</v>
      </c>
      <c r="L144">
        <v>1926</v>
      </c>
      <c r="M144" s="16">
        <v>1.6254120868358798E-2</v>
      </c>
      <c r="N144">
        <v>1926</v>
      </c>
      <c r="O144" s="16">
        <v>0.71062853315552699</v>
      </c>
      <c r="P144">
        <v>3139</v>
      </c>
      <c r="Q144" s="16">
        <v>2.80033934348267E-2</v>
      </c>
      <c r="R144">
        <v>1851</v>
      </c>
      <c r="S144" s="16">
        <v>1.95208664090053E-2</v>
      </c>
      <c r="T144" s="11">
        <v>1851</v>
      </c>
    </row>
    <row r="145" spans="1:20" outlineLevel="1" x14ac:dyDescent="0.25">
      <c r="A145" s="7" t="s">
        <v>15</v>
      </c>
      <c r="B145" s="9" t="s">
        <v>132</v>
      </c>
      <c r="C145" s="15">
        <v>0.36038099443221999</v>
      </c>
      <c r="D145" s="9">
        <v>203</v>
      </c>
      <c r="E145" s="15">
        <v>1.51753230333143E-2</v>
      </c>
      <c r="F145" s="9">
        <v>114</v>
      </c>
      <c r="G145" s="15">
        <v>1.12166289872664E-2</v>
      </c>
      <c r="H145" s="9">
        <v>114</v>
      </c>
      <c r="I145" s="15">
        <v>0.50527315477601897</v>
      </c>
      <c r="J145" s="9">
        <v>95</v>
      </c>
      <c r="K145" s="15">
        <v>9.7677047797553908E-3</v>
      </c>
      <c r="L145" s="9">
        <v>59</v>
      </c>
      <c r="M145" s="15">
        <v>3.46482480354556E-3</v>
      </c>
      <c r="N145" s="9">
        <v>59</v>
      </c>
      <c r="O145" s="15">
        <v>0.24280180589947001</v>
      </c>
      <c r="P145" s="9">
        <v>108</v>
      </c>
      <c r="Q145" s="15">
        <v>2.4307323148247802E-2</v>
      </c>
      <c r="R145" s="9">
        <v>55</v>
      </c>
      <c r="S145" s="15">
        <v>2.4307323148247802E-2</v>
      </c>
      <c r="T145" s="12">
        <v>55</v>
      </c>
    </row>
    <row r="146" spans="1:20" x14ac:dyDescent="0.25">
      <c r="C146" s="16"/>
      <c r="E146" s="16"/>
      <c r="G146" s="16"/>
      <c r="I146" s="16"/>
      <c r="K146" s="16"/>
      <c r="M146" s="16"/>
      <c r="O146" s="16"/>
      <c r="Q146" s="16"/>
      <c r="S146" s="16"/>
    </row>
    <row r="147" spans="1:20" x14ac:dyDescent="0.25">
      <c r="A147" s="19" t="s">
        <v>134</v>
      </c>
      <c r="B147" s="19"/>
      <c r="C147" s="20"/>
      <c r="D147" s="19"/>
      <c r="E147" s="20"/>
      <c r="F147" s="19"/>
      <c r="G147" s="20"/>
      <c r="H147" s="19"/>
      <c r="I147" s="20"/>
      <c r="J147" s="19"/>
      <c r="K147" s="20"/>
      <c r="L147" s="19"/>
      <c r="M147" s="20"/>
      <c r="N147" s="19"/>
      <c r="O147" s="20"/>
      <c r="P147" s="19"/>
      <c r="Q147" s="20"/>
      <c r="R147" s="19"/>
      <c r="S147" s="20"/>
      <c r="T147" s="19"/>
    </row>
    <row r="148" spans="1:20" outlineLevel="1" x14ac:dyDescent="0.25">
      <c r="A148" s="5" t="s">
        <v>15</v>
      </c>
      <c r="B148" s="8" t="s">
        <v>135</v>
      </c>
      <c r="C148" s="14">
        <v>0.38611379567544901</v>
      </c>
      <c r="D148" s="8">
        <v>2283</v>
      </c>
      <c r="E148" s="14">
        <v>5.46212037970659E-2</v>
      </c>
      <c r="F148" s="8">
        <v>1107</v>
      </c>
      <c r="G148" s="14">
        <v>3.8749903694547803E-2</v>
      </c>
      <c r="H148" s="8">
        <v>1107</v>
      </c>
      <c r="I148" s="14">
        <v>0.38033561137774302</v>
      </c>
      <c r="J148" s="8">
        <v>1102</v>
      </c>
      <c r="K148" s="14">
        <v>4.5203338279989999E-2</v>
      </c>
      <c r="L148" s="8">
        <v>528</v>
      </c>
      <c r="M148" s="14">
        <v>1.46117268489253E-2</v>
      </c>
      <c r="N148" s="8">
        <v>528</v>
      </c>
      <c r="O148" s="14">
        <v>0.39126327691752</v>
      </c>
      <c r="P148" s="8">
        <v>1178</v>
      </c>
      <c r="Q148" s="14">
        <v>6.2921443437788299E-2</v>
      </c>
      <c r="R148" s="8">
        <v>578</v>
      </c>
      <c r="S148" s="14">
        <v>5.9771371281475402E-2</v>
      </c>
      <c r="T148" s="10">
        <v>578</v>
      </c>
    </row>
    <row r="149" spans="1:20" outlineLevel="1" x14ac:dyDescent="0.25">
      <c r="A149" s="6" t="s">
        <v>15</v>
      </c>
      <c r="B149" t="s">
        <v>136</v>
      </c>
      <c r="C149" s="16">
        <v>0.71685678253784002</v>
      </c>
      <c r="D149">
        <v>196</v>
      </c>
      <c r="E149" s="16">
        <v>5.32552703634546E-2</v>
      </c>
      <c r="F149">
        <v>141</v>
      </c>
      <c r="G149" s="16">
        <v>1.6652390832747301E-2</v>
      </c>
      <c r="H149">
        <v>141</v>
      </c>
      <c r="I149" s="16">
        <v>0.70855844117093003</v>
      </c>
      <c r="J149">
        <v>100</v>
      </c>
      <c r="K149" s="16">
        <v>4.5013194132899899E-2</v>
      </c>
      <c r="L149">
        <v>72</v>
      </c>
      <c r="M149" s="16">
        <v>1.1221443038511801E-2</v>
      </c>
      <c r="N149">
        <v>72</v>
      </c>
      <c r="O149" s="16">
        <v>0.72337378299667998</v>
      </c>
      <c r="P149">
        <v>95</v>
      </c>
      <c r="Q149" s="16">
        <v>6.2329015758526597E-2</v>
      </c>
      <c r="R149">
        <v>68</v>
      </c>
      <c r="S149" s="16">
        <v>2.2418958022193201E-2</v>
      </c>
      <c r="T149" s="11">
        <v>68</v>
      </c>
    </row>
    <row r="150" spans="1:20" outlineLevel="1" x14ac:dyDescent="0.25">
      <c r="A150" s="6" t="s">
        <v>15</v>
      </c>
      <c r="B150" t="s">
        <v>137</v>
      </c>
      <c r="C150" s="16">
        <v>0.32432432432432401</v>
      </c>
      <c r="D150">
        <v>259</v>
      </c>
      <c r="E150" s="16">
        <v>8.3333333333333301E-2</v>
      </c>
      <c r="F150">
        <v>84</v>
      </c>
      <c r="G150" s="16">
        <v>8.3333333333333301E-2</v>
      </c>
      <c r="H150">
        <v>84</v>
      </c>
      <c r="I150" s="16">
        <v>0.38709677419354799</v>
      </c>
      <c r="J150">
        <v>124</v>
      </c>
      <c r="K150" s="16">
        <v>6.25E-2</v>
      </c>
      <c r="L150">
        <v>48</v>
      </c>
      <c r="M150" s="16">
        <v>6.25E-2</v>
      </c>
      <c r="N150">
        <v>48</v>
      </c>
      <c r="O150" s="16">
        <v>0.26865671641791</v>
      </c>
      <c r="P150">
        <v>134</v>
      </c>
      <c r="Q150" s="16">
        <v>0.11111111111111099</v>
      </c>
      <c r="R150">
        <v>36</v>
      </c>
      <c r="S150" s="16">
        <v>0.11111111111111099</v>
      </c>
      <c r="T150" s="11">
        <v>36</v>
      </c>
    </row>
    <row r="151" spans="1:20" outlineLevel="1" x14ac:dyDescent="0.25">
      <c r="A151" s="6" t="s">
        <v>15</v>
      </c>
      <c r="B151" t="s">
        <v>138</v>
      </c>
      <c r="C151" s="16">
        <v>0.536082474226804</v>
      </c>
      <c r="D151">
        <v>97</v>
      </c>
      <c r="E151" s="16">
        <v>5.7692307692307702E-2</v>
      </c>
      <c r="F151">
        <v>52</v>
      </c>
      <c r="G151" s="16">
        <v>3.8461538461538498E-2</v>
      </c>
      <c r="H151">
        <v>52</v>
      </c>
      <c r="I151" s="16">
        <v>0.5</v>
      </c>
      <c r="J151">
        <v>54</v>
      </c>
      <c r="K151" s="16">
        <v>3.7037037037037E-2</v>
      </c>
      <c r="L151">
        <v>27</v>
      </c>
      <c r="M151" s="16">
        <v>3.7037037037037E-2</v>
      </c>
      <c r="N151">
        <v>27</v>
      </c>
      <c r="O151" s="16">
        <v>0.581395348837209</v>
      </c>
      <c r="P151">
        <v>43</v>
      </c>
      <c r="Q151" s="16">
        <v>0.08</v>
      </c>
      <c r="R151">
        <v>25</v>
      </c>
      <c r="S151" s="16">
        <v>0.04</v>
      </c>
      <c r="T151" s="11">
        <v>25</v>
      </c>
    </row>
    <row r="152" spans="1:20" outlineLevel="1" x14ac:dyDescent="0.25">
      <c r="A152" s="6" t="s">
        <v>15</v>
      </c>
      <c r="B152" t="s">
        <v>139</v>
      </c>
      <c r="C152" s="16">
        <v>0.39907801943004201</v>
      </c>
      <c r="D152">
        <v>1149</v>
      </c>
      <c r="E152" s="16">
        <v>5.4013503198603798E-2</v>
      </c>
      <c r="F152">
        <v>384</v>
      </c>
      <c r="G152" s="16">
        <v>2.51021827261932E-2</v>
      </c>
      <c r="H152">
        <v>384</v>
      </c>
      <c r="I152" s="16">
        <v>0.43903115186349001</v>
      </c>
      <c r="J152">
        <v>607</v>
      </c>
      <c r="K152" s="16">
        <v>5.2273445952202E-2</v>
      </c>
      <c r="L152">
        <v>218</v>
      </c>
      <c r="M152" s="16">
        <v>3.2246028899714202E-2</v>
      </c>
      <c r="N152">
        <v>218</v>
      </c>
      <c r="O152" s="16">
        <v>0.35383267889881997</v>
      </c>
      <c r="P152">
        <v>542</v>
      </c>
      <c r="Q152" s="16">
        <v>5.6449968028517802E-2</v>
      </c>
      <c r="R152">
        <v>166</v>
      </c>
      <c r="S152" s="16">
        <v>1.50992187500985E-2</v>
      </c>
      <c r="T152" s="11">
        <v>166</v>
      </c>
    </row>
    <row r="153" spans="1:20" outlineLevel="1" x14ac:dyDescent="0.25">
      <c r="A153" s="6" t="s">
        <v>15</v>
      </c>
      <c r="B153" t="s">
        <v>140</v>
      </c>
      <c r="C153" s="16">
        <v>0.83444536891897203</v>
      </c>
      <c r="D153">
        <v>2626</v>
      </c>
      <c r="E153" s="16">
        <v>2.4331425958418199E-2</v>
      </c>
      <c r="F153">
        <v>2075</v>
      </c>
      <c r="G153" s="16">
        <v>1.7825070329011899E-2</v>
      </c>
      <c r="H153">
        <v>2075</v>
      </c>
      <c r="I153" s="16">
        <v>0.82778436171467995</v>
      </c>
      <c r="J153">
        <v>1337</v>
      </c>
      <c r="K153" s="16">
        <v>2.3384933061437199E-2</v>
      </c>
      <c r="L153">
        <v>1055</v>
      </c>
      <c r="M153" s="16">
        <v>1.8591133581585199E-2</v>
      </c>
      <c r="N153">
        <v>1055</v>
      </c>
      <c r="O153" s="16">
        <v>0.84138121252798603</v>
      </c>
      <c r="P153">
        <v>1288</v>
      </c>
      <c r="Q153" s="16">
        <v>2.4779250633297799E-2</v>
      </c>
      <c r="R153">
        <v>1019</v>
      </c>
      <c r="S153" s="16">
        <v>1.7041965592345699E-2</v>
      </c>
      <c r="T153" s="11">
        <v>1019</v>
      </c>
    </row>
    <row r="154" spans="1:20" outlineLevel="1" x14ac:dyDescent="0.25">
      <c r="A154" s="6" t="s">
        <v>15</v>
      </c>
      <c r="B154" t="s">
        <v>141</v>
      </c>
      <c r="C154" s="16">
        <v>0.35474413831686702</v>
      </c>
      <c r="D154">
        <v>1866</v>
      </c>
      <c r="E154" s="16">
        <v>5.41462053100761E-2</v>
      </c>
      <c r="F154">
        <v>801</v>
      </c>
      <c r="G154" s="16">
        <v>2.78494429004357E-2</v>
      </c>
      <c r="H154">
        <v>801</v>
      </c>
      <c r="I154" s="16">
        <v>0.37480884574855899</v>
      </c>
      <c r="J154">
        <v>955</v>
      </c>
      <c r="K154" s="16">
        <v>6.6206762790027199E-2</v>
      </c>
      <c r="L154">
        <v>424</v>
      </c>
      <c r="M154" s="16">
        <v>3.0586049610720902E-2</v>
      </c>
      <c r="N154">
        <v>424</v>
      </c>
      <c r="O154" s="16">
        <v>0.333498825536928</v>
      </c>
      <c r="P154">
        <v>911</v>
      </c>
      <c r="Q154" s="16">
        <v>3.9852797369765401E-2</v>
      </c>
      <c r="R154">
        <v>377</v>
      </c>
      <c r="S154" s="16">
        <v>2.4606190161304602E-2</v>
      </c>
      <c r="T154" s="11">
        <v>377</v>
      </c>
    </row>
    <row r="155" spans="1:20" outlineLevel="1" x14ac:dyDescent="0.25">
      <c r="A155" s="7" t="s">
        <v>15</v>
      </c>
      <c r="B155" s="9" t="s">
        <v>142</v>
      </c>
      <c r="C155" s="15">
        <v>0.76293213174779595</v>
      </c>
      <c r="D155" s="9">
        <v>206</v>
      </c>
      <c r="E155" s="15">
        <v>8.4761639553032307E-3</v>
      </c>
      <c r="F155" s="9">
        <v>151</v>
      </c>
      <c r="G155" s="15">
        <v>1.5766264522947E-2</v>
      </c>
      <c r="H155" s="9">
        <v>151</v>
      </c>
      <c r="I155" s="15">
        <v>0.81882539445097302</v>
      </c>
      <c r="J155" s="9">
        <v>106</v>
      </c>
      <c r="K155" s="15">
        <v>1.35323329072008E-2</v>
      </c>
      <c r="L155" s="9">
        <v>83</v>
      </c>
      <c r="M155" s="15">
        <v>9.1411118637332498E-4</v>
      </c>
      <c r="N155" s="9">
        <v>83</v>
      </c>
      <c r="O155" s="15">
        <v>0.69584192306056103</v>
      </c>
      <c r="P155" s="9">
        <v>99</v>
      </c>
      <c r="Q155" s="15">
        <v>1.29778772681194E-3</v>
      </c>
      <c r="R155" s="9">
        <v>68</v>
      </c>
      <c r="S155" s="15">
        <v>3.68522577853274E-2</v>
      </c>
      <c r="T155" s="12">
        <v>68</v>
      </c>
    </row>
    <row r="156" spans="1:20" x14ac:dyDescent="0.25">
      <c r="C156" s="16"/>
      <c r="E156" s="16"/>
      <c r="G156" s="16"/>
      <c r="I156" s="16"/>
      <c r="K156" s="16"/>
      <c r="M156" s="16"/>
      <c r="O156" s="16"/>
      <c r="Q156" s="16"/>
      <c r="S156" s="16"/>
    </row>
    <row r="157" spans="1:20" x14ac:dyDescent="0.25">
      <c r="A157" s="19" t="s">
        <v>143</v>
      </c>
      <c r="B157" s="19"/>
      <c r="C157" s="20"/>
      <c r="D157" s="19"/>
      <c r="E157" s="20"/>
      <c r="F157" s="19"/>
      <c r="G157" s="20"/>
      <c r="H157" s="19"/>
      <c r="I157" s="20"/>
      <c r="J157" s="19"/>
      <c r="K157" s="20"/>
      <c r="L157" s="19"/>
      <c r="M157" s="20"/>
      <c r="N157" s="19"/>
      <c r="O157" s="20"/>
      <c r="P157" s="19"/>
      <c r="Q157" s="20"/>
      <c r="R157" s="19"/>
      <c r="S157" s="20"/>
      <c r="T157" s="19"/>
    </row>
    <row r="158" spans="1:20" outlineLevel="1" x14ac:dyDescent="0.25">
      <c r="A158" s="5" t="s">
        <v>15</v>
      </c>
      <c r="B158" s="8" t="s">
        <v>144</v>
      </c>
      <c r="C158" s="14">
        <v>0.30754971341902598</v>
      </c>
      <c r="D158" s="8">
        <v>538</v>
      </c>
      <c r="E158" s="14">
        <v>8.02315061479697E-2</v>
      </c>
      <c r="F158" s="8">
        <v>202</v>
      </c>
      <c r="G158" s="14">
        <v>3.4515067200624701E-2</v>
      </c>
      <c r="H158" s="8">
        <v>202</v>
      </c>
      <c r="I158" s="14">
        <v>0.29314864993867101</v>
      </c>
      <c r="J158" s="8">
        <v>254</v>
      </c>
      <c r="K158" s="14">
        <v>0.10244754090185</v>
      </c>
      <c r="L158" s="8">
        <v>91</v>
      </c>
      <c r="M158" s="14"/>
      <c r="N158" s="8"/>
      <c r="O158" s="14">
        <v>0.31812613535994899</v>
      </c>
      <c r="P158" s="8">
        <v>283</v>
      </c>
      <c r="Q158" s="14">
        <v>6.2308073740012002E-2</v>
      </c>
      <c r="R158" s="8">
        <v>110</v>
      </c>
      <c r="S158" s="14">
        <v>6.4335018300196001E-2</v>
      </c>
      <c r="T158" s="10">
        <v>110</v>
      </c>
    </row>
    <row r="159" spans="1:20" outlineLevel="1" x14ac:dyDescent="0.25">
      <c r="A159" s="6" t="s">
        <v>15</v>
      </c>
      <c r="B159" t="s">
        <v>145</v>
      </c>
      <c r="C159" s="16">
        <v>0.43606095192808197</v>
      </c>
      <c r="D159">
        <v>1941</v>
      </c>
      <c r="E159" s="16">
        <v>4.8836961385816599E-2</v>
      </c>
      <c r="F159">
        <v>1046</v>
      </c>
      <c r="G159" s="16">
        <v>3.6921542337003503E-2</v>
      </c>
      <c r="H159">
        <v>1046</v>
      </c>
      <c r="I159" s="16">
        <v>0.43541294791769902</v>
      </c>
      <c r="J159">
        <v>948</v>
      </c>
      <c r="K159" s="16">
        <v>3.2986392162191902E-2</v>
      </c>
      <c r="L159">
        <v>509</v>
      </c>
      <c r="M159" s="16">
        <v>1.7270623233682302E-2</v>
      </c>
      <c r="N159">
        <v>509</v>
      </c>
      <c r="O159" s="16">
        <v>0.43712921772222102</v>
      </c>
      <c r="P159">
        <v>990</v>
      </c>
      <c r="Q159" s="16">
        <v>6.2989238272263007E-2</v>
      </c>
      <c r="R159">
        <v>536</v>
      </c>
      <c r="S159" s="16">
        <v>5.4435501471284703E-2</v>
      </c>
      <c r="T159" s="11">
        <v>536</v>
      </c>
    </row>
    <row r="160" spans="1:20" outlineLevel="1" x14ac:dyDescent="0.25">
      <c r="A160" s="6" t="s">
        <v>15</v>
      </c>
      <c r="B160" t="s">
        <v>146</v>
      </c>
      <c r="C160" s="16">
        <v>0.44274809160305301</v>
      </c>
      <c r="D160">
        <v>262</v>
      </c>
      <c r="E160" s="16">
        <v>4.31034482758621E-2</v>
      </c>
      <c r="F160">
        <v>116</v>
      </c>
      <c r="G160" s="16">
        <v>7.7586206896551699E-2</v>
      </c>
      <c r="H160">
        <v>116</v>
      </c>
      <c r="I160" s="16">
        <v>0.49253731343283602</v>
      </c>
      <c r="J160">
        <v>134</v>
      </c>
      <c r="K160" s="16">
        <v>1.5151515151515201E-2</v>
      </c>
      <c r="L160">
        <v>66</v>
      </c>
      <c r="M160" s="16">
        <v>6.0606060606060601E-2</v>
      </c>
      <c r="N160">
        <v>66</v>
      </c>
      <c r="O160" s="16">
        <v>0.390625</v>
      </c>
      <c r="P160">
        <v>128</v>
      </c>
      <c r="Q160" s="16">
        <v>0.08</v>
      </c>
      <c r="R160">
        <v>50</v>
      </c>
      <c r="S160" s="16">
        <v>0.1</v>
      </c>
      <c r="T160" s="11">
        <v>50</v>
      </c>
    </row>
    <row r="161" spans="1:20" outlineLevel="1" x14ac:dyDescent="0.25">
      <c r="A161" s="6" t="s">
        <v>15</v>
      </c>
      <c r="B161" t="s">
        <v>147</v>
      </c>
      <c r="C161" s="16">
        <v>0.21276595744680901</v>
      </c>
      <c r="D161">
        <v>94</v>
      </c>
      <c r="E161" s="16">
        <v>0.25</v>
      </c>
      <c r="F161">
        <v>20</v>
      </c>
      <c r="G161" s="16"/>
      <c r="I161" s="16">
        <v>0.204545454545455</v>
      </c>
      <c r="J161">
        <v>44</v>
      </c>
      <c r="K161" s="16">
        <v>0.33333333333333298</v>
      </c>
      <c r="L161">
        <v>9</v>
      </c>
      <c r="M161" s="16"/>
      <c r="O161" s="16">
        <v>0.22448979591836701</v>
      </c>
      <c r="P161">
        <v>49</v>
      </c>
      <c r="Q161" s="16">
        <v>0.18181818181818199</v>
      </c>
      <c r="R161">
        <v>11</v>
      </c>
      <c r="S161" s="16"/>
      <c r="T161" s="11"/>
    </row>
    <row r="162" spans="1:20" outlineLevel="1" x14ac:dyDescent="0.25">
      <c r="A162" s="6" t="s">
        <v>15</v>
      </c>
      <c r="B162" t="s">
        <v>148</v>
      </c>
      <c r="C162" s="16">
        <v>0.72574836716852398</v>
      </c>
      <c r="D162">
        <v>1055</v>
      </c>
      <c r="E162" s="16">
        <v>4.26106897175439E-2</v>
      </c>
      <c r="F162">
        <v>661</v>
      </c>
      <c r="G162" s="16">
        <v>2.15102585676132E-2</v>
      </c>
      <c r="H162">
        <v>661</v>
      </c>
      <c r="I162" s="16">
        <v>0.71143379869432299</v>
      </c>
      <c r="J162">
        <v>569</v>
      </c>
      <c r="K162" s="16">
        <v>4.3482426689051702E-2</v>
      </c>
      <c r="L162">
        <v>349</v>
      </c>
      <c r="M162" s="16">
        <v>1.79819688412905E-2</v>
      </c>
      <c r="N162">
        <v>349</v>
      </c>
      <c r="O162" s="16">
        <v>0.74310672436508796</v>
      </c>
      <c r="P162">
        <v>486</v>
      </c>
      <c r="Q162" s="16">
        <v>4.1596392964360199E-2</v>
      </c>
      <c r="R162">
        <v>312</v>
      </c>
      <c r="S162" s="16">
        <v>2.5615548271583102E-2</v>
      </c>
      <c r="T162" s="11">
        <v>312</v>
      </c>
    </row>
    <row r="163" spans="1:20" outlineLevel="1" x14ac:dyDescent="0.25">
      <c r="A163" s="6" t="s">
        <v>15</v>
      </c>
      <c r="B163" t="s">
        <v>149</v>
      </c>
      <c r="C163" s="16">
        <v>0.73916748960626699</v>
      </c>
      <c r="D163">
        <v>2720</v>
      </c>
      <c r="E163" s="16">
        <v>2.3192534313427601E-2</v>
      </c>
      <c r="F163">
        <v>1798</v>
      </c>
      <c r="G163" s="16">
        <v>1.7804159199622999E-2</v>
      </c>
      <c r="H163">
        <v>1798</v>
      </c>
      <c r="I163" s="16">
        <v>0.74653043045247502</v>
      </c>
      <c r="J163">
        <v>1375</v>
      </c>
      <c r="K163" s="16">
        <v>2.1846727601943901E-2</v>
      </c>
      <c r="L163">
        <v>924</v>
      </c>
      <c r="M163" s="16">
        <v>2.1314968805824501E-2</v>
      </c>
      <c r="N163">
        <v>924</v>
      </c>
      <c r="O163" s="16">
        <v>0.73148281488817701</v>
      </c>
      <c r="P163">
        <v>1344</v>
      </c>
      <c r="Q163" s="16">
        <v>2.39774620686206E-2</v>
      </c>
      <c r="R163">
        <v>873</v>
      </c>
      <c r="S163" s="16">
        <v>1.41441355406813E-2</v>
      </c>
      <c r="T163" s="11">
        <v>873</v>
      </c>
    </row>
    <row r="164" spans="1:20" outlineLevel="1" x14ac:dyDescent="0.25">
      <c r="A164" s="6" t="s">
        <v>15</v>
      </c>
      <c r="B164" t="s">
        <v>150</v>
      </c>
      <c r="C164" s="16">
        <v>0.44348012958916799</v>
      </c>
      <c r="D164">
        <v>628</v>
      </c>
      <c r="E164" s="16">
        <v>4.9765263464375299E-2</v>
      </c>
      <c r="F164">
        <v>268</v>
      </c>
      <c r="G164" s="16">
        <v>2.2427446105269901E-2</v>
      </c>
      <c r="H164">
        <v>268</v>
      </c>
      <c r="I164" s="16">
        <v>0.47822777845291498</v>
      </c>
      <c r="J164">
        <v>325</v>
      </c>
      <c r="K164" s="16">
        <v>5.9383014282059297E-2</v>
      </c>
      <c r="L164">
        <v>150</v>
      </c>
      <c r="M164" s="16">
        <v>2.61179568735578E-2</v>
      </c>
      <c r="N164">
        <v>150</v>
      </c>
      <c r="O164" s="16">
        <v>0.405216031482796</v>
      </c>
      <c r="P164">
        <v>303</v>
      </c>
      <c r="Q164" s="16">
        <v>3.72659039920911E-2</v>
      </c>
      <c r="R164">
        <v>118</v>
      </c>
      <c r="S164" s="16">
        <v>1.7631208231821401E-2</v>
      </c>
      <c r="T164" s="11">
        <v>118</v>
      </c>
    </row>
    <row r="165" spans="1:20" outlineLevel="1" x14ac:dyDescent="0.25">
      <c r="A165" s="7" t="s">
        <v>15</v>
      </c>
      <c r="B165" s="9" t="s">
        <v>151</v>
      </c>
      <c r="C165" s="15">
        <v>0.35901145475966501</v>
      </c>
      <c r="D165" s="9">
        <v>1444</v>
      </c>
      <c r="E165" s="15">
        <v>4.7410803599680799E-2</v>
      </c>
      <c r="F165" s="9">
        <v>684</v>
      </c>
      <c r="G165" s="15">
        <v>2.7986887196997799E-2</v>
      </c>
      <c r="H165" s="9">
        <v>684</v>
      </c>
      <c r="I165" s="15">
        <v>0.378736144531514</v>
      </c>
      <c r="J165" s="9">
        <v>736</v>
      </c>
      <c r="K165" s="15">
        <v>5.8517707764222299E-2</v>
      </c>
      <c r="L165" s="9">
        <v>357</v>
      </c>
      <c r="M165" s="15">
        <v>2.65485906646756E-2</v>
      </c>
      <c r="N165" s="9">
        <v>357</v>
      </c>
      <c r="O165" s="15">
        <v>0.33819410011853202</v>
      </c>
      <c r="P165" s="9">
        <v>707</v>
      </c>
      <c r="Q165" s="15">
        <v>3.4342601076525099E-2</v>
      </c>
      <c r="R165" s="9">
        <v>327</v>
      </c>
      <c r="S165" s="15">
        <v>2.9679163468971499E-2</v>
      </c>
      <c r="T165" s="12">
        <v>327</v>
      </c>
    </row>
    <row r="166" spans="1:20" x14ac:dyDescent="0.25">
      <c r="C166" s="16"/>
      <c r="E166" s="16"/>
      <c r="G166" s="16"/>
      <c r="I166" s="16"/>
      <c r="K166" s="16"/>
      <c r="M166" s="16"/>
      <c r="O166" s="16"/>
      <c r="Q166" s="16"/>
      <c r="S166" s="16"/>
    </row>
    <row r="167" spans="1:20" x14ac:dyDescent="0.25">
      <c r="A167" s="19" t="s">
        <v>152</v>
      </c>
      <c r="B167" s="19"/>
      <c r="C167" s="20"/>
      <c r="D167" s="19"/>
      <c r="E167" s="20"/>
      <c r="F167" s="19"/>
      <c r="G167" s="20"/>
      <c r="H167" s="19"/>
      <c r="I167" s="20"/>
      <c r="J167" s="19"/>
      <c r="K167" s="20"/>
      <c r="L167" s="19"/>
      <c r="M167" s="20"/>
      <c r="N167" s="19"/>
      <c r="O167" s="20"/>
      <c r="P167" s="19"/>
      <c r="Q167" s="20"/>
      <c r="R167" s="19"/>
      <c r="S167" s="20"/>
      <c r="T167" s="19"/>
    </row>
    <row r="168" spans="1:20" outlineLevel="1" x14ac:dyDescent="0.25">
      <c r="A168" s="5" t="s">
        <v>15</v>
      </c>
      <c r="B168" s="8" t="s">
        <v>153</v>
      </c>
      <c r="C168" s="14">
        <v>0.388948685864271</v>
      </c>
      <c r="D168" s="8">
        <v>180</v>
      </c>
      <c r="E168" s="14"/>
      <c r="F168" s="8"/>
      <c r="G168" s="14"/>
      <c r="H168" s="8"/>
      <c r="I168" s="14">
        <v>0.401690184263443</v>
      </c>
      <c r="J168" s="8">
        <v>83</v>
      </c>
      <c r="K168" s="14"/>
      <c r="L168" s="8"/>
      <c r="M168" s="14"/>
      <c r="N168" s="8"/>
      <c r="O168" s="14">
        <v>0.37717605870910598</v>
      </c>
      <c r="P168" s="8">
        <v>97</v>
      </c>
      <c r="Q168" s="14"/>
      <c r="R168" s="8"/>
      <c r="S168" s="14"/>
      <c r="T168" s="10"/>
    </row>
    <row r="169" spans="1:20" outlineLevel="1" x14ac:dyDescent="0.25">
      <c r="A169" s="6" t="s">
        <v>15</v>
      </c>
      <c r="B169" t="s">
        <v>154</v>
      </c>
      <c r="C169" s="16">
        <v>0.42018211170278003</v>
      </c>
      <c r="D169">
        <v>806</v>
      </c>
      <c r="E169" s="16">
        <v>0.10089680325474</v>
      </c>
      <c r="F169">
        <v>419</v>
      </c>
      <c r="G169" s="16">
        <v>3.67150419507511E-2</v>
      </c>
      <c r="H169">
        <v>419</v>
      </c>
      <c r="I169" s="16">
        <v>0.38441886845018203</v>
      </c>
      <c r="J169">
        <v>406</v>
      </c>
      <c r="K169" s="16">
        <v>0.10409988901503101</v>
      </c>
      <c r="L169">
        <v>198</v>
      </c>
      <c r="M169" s="16">
        <v>7.1094453561533003E-3</v>
      </c>
      <c r="N169">
        <v>198</v>
      </c>
      <c r="O169" s="16">
        <v>0.45299280939091302</v>
      </c>
      <c r="P169">
        <v>398</v>
      </c>
      <c r="Q169" s="16">
        <v>9.8984969835529901E-2</v>
      </c>
      <c r="R169">
        <v>220</v>
      </c>
      <c r="S169" s="16">
        <v>6.0505214375860802E-2</v>
      </c>
      <c r="T169" s="11">
        <v>220</v>
      </c>
    </row>
    <row r="170" spans="1:20" outlineLevel="1" x14ac:dyDescent="0.25">
      <c r="A170" s="6" t="s">
        <v>15</v>
      </c>
      <c r="B170" t="s">
        <v>155</v>
      </c>
      <c r="C170" s="16">
        <v>0.44860927594354499</v>
      </c>
      <c r="D170">
        <v>953</v>
      </c>
      <c r="E170" s="16">
        <v>2.54900206668306E-2</v>
      </c>
      <c r="F170">
        <v>544</v>
      </c>
      <c r="G170" s="16"/>
      <c r="I170" s="16">
        <v>0.45807207449612503</v>
      </c>
      <c r="J170">
        <v>438</v>
      </c>
      <c r="K170" s="16">
        <v>1.50005012701323E-2</v>
      </c>
      <c r="L170">
        <v>256</v>
      </c>
      <c r="M170" s="16"/>
      <c r="O170" s="16">
        <v>0.44073359475853802</v>
      </c>
      <c r="P170">
        <v>513</v>
      </c>
      <c r="Q170" s="16">
        <v>3.4844105730728901E-2</v>
      </c>
      <c r="R170">
        <v>287</v>
      </c>
      <c r="S170" s="16"/>
      <c r="T170" s="11"/>
    </row>
    <row r="171" spans="1:20" outlineLevel="1" x14ac:dyDescent="0.25">
      <c r="A171" s="6" t="s">
        <v>15</v>
      </c>
      <c r="B171" t="s">
        <v>156</v>
      </c>
      <c r="C171" s="16">
        <v>0.30739041589402299</v>
      </c>
      <c r="D171">
        <v>540</v>
      </c>
      <c r="E171" s="16">
        <v>5.9810234427563398E-2</v>
      </c>
      <c r="F171">
        <v>191</v>
      </c>
      <c r="G171" s="16">
        <v>0.156657025567945</v>
      </c>
      <c r="H171">
        <v>191</v>
      </c>
      <c r="I171" s="16">
        <v>0.32636017947364798</v>
      </c>
      <c r="J171">
        <v>275</v>
      </c>
      <c r="K171" s="16">
        <v>3.1336850791917198E-2</v>
      </c>
      <c r="L171">
        <v>102</v>
      </c>
      <c r="M171" s="16">
        <v>7.18708912820996E-2</v>
      </c>
      <c r="N171">
        <v>102</v>
      </c>
      <c r="O171" s="16">
        <v>0.28959702431460899</v>
      </c>
      <c r="P171">
        <v>265</v>
      </c>
      <c r="Q171" s="16">
        <v>8.9280047791054903E-2</v>
      </c>
      <c r="R171">
        <v>89</v>
      </c>
      <c r="S171" s="16">
        <v>0.244410261544007</v>
      </c>
      <c r="T171" s="11">
        <v>89</v>
      </c>
    </row>
    <row r="172" spans="1:20" outlineLevel="1" x14ac:dyDescent="0.25">
      <c r="A172" s="6" t="s">
        <v>15</v>
      </c>
      <c r="B172" t="s">
        <v>157</v>
      </c>
      <c r="C172" s="16">
        <v>0.217391304347826</v>
      </c>
      <c r="D172">
        <v>23</v>
      </c>
      <c r="E172" s="16"/>
      <c r="G172" s="16"/>
      <c r="I172" s="16">
        <v>0.11111111111111099</v>
      </c>
      <c r="J172">
        <v>9</v>
      </c>
      <c r="K172" s="16"/>
      <c r="M172" s="16"/>
      <c r="O172" s="16">
        <v>0.30769230769230799</v>
      </c>
      <c r="P172">
        <v>13</v>
      </c>
      <c r="Q172" s="16"/>
      <c r="S172" s="16"/>
      <c r="T172" s="11"/>
    </row>
    <row r="173" spans="1:20" outlineLevel="1" x14ac:dyDescent="0.25">
      <c r="A173" s="6" t="s">
        <v>15</v>
      </c>
      <c r="B173" t="s">
        <v>158</v>
      </c>
      <c r="C173" s="16">
        <v>0.4</v>
      </c>
      <c r="D173">
        <v>120</v>
      </c>
      <c r="E173" s="16">
        <v>0.14583333333333301</v>
      </c>
      <c r="F173">
        <v>48</v>
      </c>
      <c r="G173" s="16">
        <v>4.1666666666666699E-2</v>
      </c>
      <c r="H173">
        <v>48</v>
      </c>
      <c r="I173" s="16">
        <v>0.42857142857142899</v>
      </c>
      <c r="J173">
        <v>63</v>
      </c>
      <c r="K173" s="16">
        <v>7.4074074074074098E-2</v>
      </c>
      <c r="L173">
        <v>27</v>
      </c>
      <c r="M173" s="16">
        <v>7.4074074074074098E-2</v>
      </c>
      <c r="N173">
        <v>27</v>
      </c>
      <c r="O173" s="16">
        <v>0.36842105263157898</v>
      </c>
      <c r="P173">
        <v>57</v>
      </c>
      <c r="Q173" s="16">
        <v>0.238095238095238</v>
      </c>
      <c r="R173">
        <v>21</v>
      </c>
      <c r="S173" s="16"/>
      <c r="T173" s="11"/>
    </row>
    <row r="174" spans="1:20" outlineLevel="1" x14ac:dyDescent="0.25">
      <c r="A174" s="6" t="s">
        <v>15</v>
      </c>
      <c r="B174" t="s">
        <v>159</v>
      </c>
      <c r="C174" s="16">
        <v>0.39860139860139898</v>
      </c>
      <c r="D174">
        <v>143</v>
      </c>
      <c r="E174" s="16">
        <v>5.2631578947368397E-2</v>
      </c>
      <c r="F174">
        <v>57</v>
      </c>
      <c r="G174" s="16"/>
      <c r="I174" s="16">
        <v>0.5</v>
      </c>
      <c r="J174">
        <v>72</v>
      </c>
      <c r="K174" s="16">
        <v>5.5555555555555601E-2</v>
      </c>
      <c r="L174">
        <v>36</v>
      </c>
      <c r="M174" s="16"/>
      <c r="O174" s="16">
        <v>0.29577464788732399</v>
      </c>
      <c r="P174">
        <v>71</v>
      </c>
      <c r="Q174" s="16">
        <v>4.7619047619047603E-2</v>
      </c>
      <c r="R174">
        <v>21</v>
      </c>
      <c r="S174" s="16"/>
      <c r="T174" s="11"/>
    </row>
    <row r="175" spans="1:20" outlineLevel="1" x14ac:dyDescent="0.25">
      <c r="A175" s="6" t="s">
        <v>15</v>
      </c>
      <c r="B175" t="s">
        <v>160</v>
      </c>
      <c r="C175" s="16">
        <v>0.371428571428571</v>
      </c>
      <c r="D175">
        <v>70</v>
      </c>
      <c r="E175" s="16"/>
      <c r="G175" s="16">
        <v>0.269230769230769</v>
      </c>
      <c r="H175">
        <v>26</v>
      </c>
      <c r="I175" s="16">
        <v>0.32352941176470601</v>
      </c>
      <c r="J175">
        <v>34</v>
      </c>
      <c r="K175" s="16"/>
      <c r="M175" s="16">
        <v>0.18181818181818199</v>
      </c>
      <c r="N175">
        <v>11</v>
      </c>
      <c r="O175" s="16">
        <v>0.41666666666666702</v>
      </c>
      <c r="P175">
        <v>36</v>
      </c>
      <c r="Q175" s="16"/>
      <c r="S175" s="16">
        <v>0.33333333333333298</v>
      </c>
      <c r="T175" s="11">
        <v>15</v>
      </c>
    </row>
    <row r="176" spans="1:20" outlineLevel="1" x14ac:dyDescent="0.25">
      <c r="A176" s="6" t="s">
        <v>15</v>
      </c>
      <c r="B176" t="s">
        <v>161</v>
      </c>
      <c r="C176" s="16">
        <v>0.77160248409225496</v>
      </c>
      <c r="D176">
        <v>263</v>
      </c>
      <c r="E176" s="16"/>
      <c r="G176" s="16"/>
      <c r="I176" s="16">
        <v>0.73918209791743295</v>
      </c>
      <c r="J176">
        <v>117</v>
      </c>
      <c r="K176" s="16"/>
      <c r="M176" s="16"/>
      <c r="O176" s="16">
        <v>0.79828685255425802</v>
      </c>
      <c r="P176">
        <v>146</v>
      </c>
      <c r="Q176" s="16"/>
      <c r="S176" s="16"/>
      <c r="T176" s="11"/>
    </row>
    <row r="177" spans="1:20" outlineLevel="1" x14ac:dyDescent="0.25">
      <c r="A177" s="6" t="s">
        <v>15</v>
      </c>
      <c r="B177" t="s">
        <v>162</v>
      </c>
      <c r="C177" s="16">
        <v>0.75661396936570002</v>
      </c>
      <c r="D177">
        <v>1189</v>
      </c>
      <c r="E177" s="16">
        <v>7.3465962534178406E-2</v>
      </c>
      <c r="F177">
        <v>777</v>
      </c>
      <c r="G177" s="16">
        <v>1.48040679802316E-2</v>
      </c>
      <c r="H177">
        <v>777</v>
      </c>
      <c r="I177" s="16">
        <v>0.75722705071902097</v>
      </c>
      <c r="J177">
        <v>624</v>
      </c>
      <c r="K177" s="16">
        <v>6.8621651624585597E-2</v>
      </c>
      <c r="L177">
        <v>409</v>
      </c>
      <c r="M177" s="16">
        <v>1.3481105134237999E-2</v>
      </c>
      <c r="N177">
        <v>409</v>
      </c>
      <c r="O177" s="16">
        <v>0.75564327576041701</v>
      </c>
      <c r="P177">
        <v>564</v>
      </c>
      <c r="Q177" s="16">
        <v>7.74794366510166E-2</v>
      </c>
      <c r="R177">
        <v>367</v>
      </c>
      <c r="S177" s="16">
        <v>1.6312953034699498E-2</v>
      </c>
      <c r="T177" s="11">
        <v>367</v>
      </c>
    </row>
    <row r="178" spans="1:20" outlineLevel="1" x14ac:dyDescent="0.25">
      <c r="A178" s="6" t="s">
        <v>15</v>
      </c>
      <c r="B178" t="s">
        <v>163</v>
      </c>
      <c r="C178" s="16">
        <v>0.83077545860927504</v>
      </c>
      <c r="D178">
        <v>1507</v>
      </c>
      <c r="E178" s="16">
        <v>9.1714001015260997E-3</v>
      </c>
      <c r="F178">
        <v>1140</v>
      </c>
      <c r="G178" s="16"/>
      <c r="I178" s="16">
        <v>0.83133120889935597</v>
      </c>
      <c r="J178">
        <v>773</v>
      </c>
      <c r="K178" s="16">
        <v>1.03860596729245E-2</v>
      </c>
      <c r="L178">
        <v>586</v>
      </c>
      <c r="M178" s="16"/>
      <c r="O178" s="16">
        <v>0.83018330393040896</v>
      </c>
      <c r="P178">
        <v>734</v>
      </c>
      <c r="Q178" s="16">
        <v>7.8754681322602202E-3</v>
      </c>
      <c r="R178">
        <v>554</v>
      </c>
      <c r="S178" s="16"/>
      <c r="T178" s="11"/>
    </row>
    <row r="179" spans="1:20" outlineLevel="1" x14ac:dyDescent="0.25">
      <c r="A179" s="6" t="s">
        <v>15</v>
      </c>
      <c r="B179" t="s">
        <v>164</v>
      </c>
      <c r="C179" s="16">
        <v>0.52940830448201504</v>
      </c>
      <c r="D179">
        <v>816</v>
      </c>
      <c r="E179" s="16">
        <v>2.0430560574660501E-4</v>
      </c>
      <c r="F179">
        <v>360</v>
      </c>
      <c r="G179" s="16">
        <v>8.7877854929427304E-2</v>
      </c>
      <c r="H179">
        <v>360</v>
      </c>
      <c r="I179" s="16">
        <v>0.54552949235389903</v>
      </c>
      <c r="J179">
        <v>430</v>
      </c>
      <c r="K179" s="16"/>
      <c r="M179" s="16">
        <v>9.7639998573087194E-2</v>
      </c>
      <c r="N179">
        <v>202</v>
      </c>
      <c r="O179" s="16">
        <v>0.51179054650711997</v>
      </c>
      <c r="P179">
        <v>386</v>
      </c>
      <c r="Q179" s="16">
        <v>4.40131728629324E-4</v>
      </c>
      <c r="R179">
        <v>158</v>
      </c>
      <c r="S179" s="16">
        <v>7.6609595901019595E-2</v>
      </c>
      <c r="T179" s="11">
        <v>158</v>
      </c>
    </row>
    <row r="180" spans="1:20" outlineLevel="1" x14ac:dyDescent="0.25">
      <c r="A180" s="6" t="s">
        <v>15</v>
      </c>
      <c r="B180" t="s">
        <v>165</v>
      </c>
      <c r="C180" s="16">
        <v>0.38672453573631699</v>
      </c>
      <c r="D180">
        <v>159</v>
      </c>
      <c r="E180" s="16"/>
      <c r="G180" s="16"/>
      <c r="I180" s="16">
        <v>0.45721302478605902</v>
      </c>
      <c r="J180">
        <v>81</v>
      </c>
      <c r="K180" s="16"/>
      <c r="M180" s="16"/>
      <c r="O180" s="16">
        <v>0.32662556216282101</v>
      </c>
      <c r="P180">
        <v>78</v>
      </c>
      <c r="Q180" s="16"/>
      <c r="S180" s="16"/>
      <c r="T180" s="11"/>
    </row>
    <row r="181" spans="1:20" outlineLevel="1" x14ac:dyDescent="0.25">
      <c r="A181" s="6" t="s">
        <v>15</v>
      </c>
      <c r="B181" t="s">
        <v>166</v>
      </c>
      <c r="C181" s="16">
        <v>0.36102360407675299</v>
      </c>
      <c r="D181">
        <v>660</v>
      </c>
      <c r="E181" s="16">
        <v>0.124363809717773</v>
      </c>
      <c r="F181">
        <v>288</v>
      </c>
      <c r="G181" s="16">
        <v>9.3656437304019992E-3</v>
      </c>
      <c r="H181">
        <v>288</v>
      </c>
      <c r="I181" s="16">
        <v>0.37116502897389703</v>
      </c>
      <c r="J181">
        <v>341</v>
      </c>
      <c r="K181" s="16">
        <v>0.15392051435128701</v>
      </c>
      <c r="L181">
        <v>160</v>
      </c>
      <c r="M181" s="16">
        <v>5.8393942189334897E-3</v>
      </c>
      <c r="N181">
        <v>160</v>
      </c>
      <c r="O181" s="16">
        <v>0.34931327556473901</v>
      </c>
      <c r="P181">
        <v>319</v>
      </c>
      <c r="Q181" s="16">
        <v>8.8099612275234204E-2</v>
      </c>
      <c r="R181">
        <v>128</v>
      </c>
      <c r="S181" s="16">
        <v>1.36921276906793E-2</v>
      </c>
      <c r="T181" s="11">
        <v>128</v>
      </c>
    </row>
    <row r="182" spans="1:20" outlineLevel="1" x14ac:dyDescent="0.25">
      <c r="A182" s="6" t="s">
        <v>15</v>
      </c>
      <c r="B182" t="s">
        <v>167</v>
      </c>
      <c r="C182" s="16">
        <v>0.46536280137505198</v>
      </c>
      <c r="D182">
        <v>807</v>
      </c>
      <c r="E182" s="16">
        <v>1.16279832938721E-2</v>
      </c>
      <c r="F182">
        <v>455</v>
      </c>
      <c r="G182" s="16"/>
      <c r="I182" s="16">
        <v>0.50229651969928801</v>
      </c>
      <c r="J182">
        <v>394</v>
      </c>
      <c r="K182" s="16">
        <v>1.9883252383521201E-2</v>
      </c>
      <c r="L182">
        <v>220</v>
      </c>
      <c r="M182" s="16"/>
      <c r="O182" s="16">
        <v>0.431059578339411</v>
      </c>
      <c r="P182">
        <v>413</v>
      </c>
      <c r="Q182" s="16">
        <v>2.6935708372423598E-3</v>
      </c>
      <c r="R182">
        <v>235</v>
      </c>
      <c r="S182" s="16"/>
      <c r="T182" s="11"/>
    </row>
    <row r="183" spans="1:20" outlineLevel="1" x14ac:dyDescent="0.25">
      <c r="A183" s="7" t="s">
        <v>15</v>
      </c>
      <c r="B183" s="9" t="s">
        <v>168</v>
      </c>
      <c r="C183" s="15">
        <v>0.259433931018905</v>
      </c>
      <c r="D183" s="9">
        <v>446</v>
      </c>
      <c r="E183" s="15">
        <v>1.8275730997157999E-2</v>
      </c>
      <c r="F183" s="9">
        <v>131</v>
      </c>
      <c r="G183" s="15">
        <v>0.17082191833392901</v>
      </c>
      <c r="H183" s="9">
        <v>131</v>
      </c>
      <c r="I183" s="15">
        <v>0.29309941419734897</v>
      </c>
      <c r="J183" s="9">
        <v>245</v>
      </c>
      <c r="K183" s="15"/>
      <c r="L183" s="9"/>
      <c r="M183" s="15">
        <v>0.15451231698875001</v>
      </c>
      <c r="N183" s="9">
        <v>83</v>
      </c>
      <c r="O183" s="15">
        <v>0.214732727221185</v>
      </c>
      <c r="P183" s="9">
        <v>200</v>
      </c>
      <c r="Q183" s="15">
        <v>5.0707561842712801E-2</v>
      </c>
      <c r="R183" s="9">
        <v>48</v>
      </c>
      <c r="S183" s="15">
        <v>0.199764685770568</v>
      </c>
      <c r="T183" s="12">
        <v>48</v>
      </c>
    </row>
    <row r="184" spans="1:20" x14ac:dyDescent="0.25">
      <c r="C184" s="16"/>
      <c r="E184" s="16"/>
      <c r="G184" s="16"/>
      <c r="I184" s="16"/>
      <c r="K184" s="16"/>
      <c r="M184" s="16"/>
      <c r="O184" s="16"/>
      <c r="Q184" s="16"/>
      <c r="S184" s="16"/>
    </row>
    <row r="185" spans="1:20" x14ac:dyDescent="0.25">
      <c r="C185" s="16"/>
      <c r="E185" s="16"/>
      <c r="G185" s="16"/>
      <c r="I185" s="16"/>
      <c r="K185" s="16"/>
      <c r="M185" s="16"/>
      <c r="O185" s="16"/>
      <c r="Q185" s="16"/>
      <c r="S185" s="16"/>
    </row>
  </sheetData>
  <mergeCells count="32">
    <mergeCell ref="A142:T142"/>
    <mergeCell ref="A147:T147"/>
    <mergeCell ref="A157:T157"/>
    <mergeCell ref="A167:T167"/>
    <mergeCell ref="A101:T101"/>
    <mergeCell ref="A118:T118"/>
    <mergeCell ref="A124:T124"/>
    <mergeCell ref="A130:T130"/>
    <mergeCell ref="A137:T137"/>
    <mergeCell ref="A15:T15"/>
    <mergeCell ref="A35:T35"/>
    <mergeCell ref="A80:T80"/>
    <mergeCell ref="A86:T86"/>
    <mergeCell ref="A96:T96"/>
    <mergeCell ref="Q4:R4"/>
    <mergeCell ref="S4:T4"/>
    <mergeCell ref="O4:P4"/>
    <mergeCell ref="A6:T6"/>
    <mergeCell ref="A9:T9"/>
    <mergeCell ref="E4:F4"/>
    <mergeCell ref="G4:H4"/>
    <mergeCell ref="C4:D4"/>
    <mergeCell ref="K4:L4"/>
    <mergeCell ref="M4:N4"/>
    <mergeCell ref="I4:J4"/>
    <mergeCell ref="A1:T1"/>
    <mergeCell ref="C2:H2"/>
    <mergeCell ref="I2:N2"/>
    <mergeCell ref="O2:T2"/>
    <mergeCell ref="E3:H3"/>
    <mergeCell ref="K3:N3"/>
    <mergeCell ref="Q3:T3"/>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185"/>
  <sheetViews>
    <sheetView showGridLines="0" workbookViewId="0">
      <selection sqref="A1:AR1"/>
    </sheetView>
  </sheetViews>
  <sheetFormatPr defaultColWidth="11.42578125" defaultRowHeight="15" outlineLevelRow="1" x14ac:dyDescent="0.25"/>
  <sheetData>
    <row r="1" spans="1:44" x14ac:dyDescent="0.25">
      <c r="A1" s="18" t="s">
        <v>173</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row>
    <row r="2" spans="1:44" x14ac:dyDescent="0.25">
      <c r="C2" s="19" t="s">
        <v>2</v>
      </c>
      <c r="D2" s="19"/>
      <c r="E2" s="19"/>
      <c r="F2" s="19"/>
      <c r="G2" s="19"/>
      <c r="H2" s="19"/>
      <c r="I2" s="19"/>
      <c r="J2" s="19"/>
      <c r="K2" s="19"/>
      <c r="L2" s="19"/>
      <c r="M2" s="19"/>
      <c r="N2" s="19"/>
      <c r="O2" s="19"/>
      <c r="P2" s="19"/>
      <c r="Q2" s="19" t="s">
        <v>3</v>
      </c>
      <c r="R2" s="19"/>
      <c r="S2" s="19"/>
      <c r="T2" s="19"/>
      <c r="U2" s="19"/>
      <c r="V2" s="19"/>
      <c r="W2" s="19"/>
      <c r="X2" s="19"/>
      <c r="Y2" s="19"/>
      <c r="Z2" s="19"/>
      <c r="AA2" s="19"/>
      <c r="AB2" s="19"/>
      <c r="AC2" s="19"/>
      <c r="AD2" s="19"/>
      <c r="AE2" s="19" t="s">
        <v>4</v>
      </c>
      <c r="AF2" s="19"/>
      <c r="AG2" s="19"/>
      <c r="AH2" s="19"/>
      <c r="AI2" s="19"/>
      <c r="AJ2" s="19"/>
      <c r="AK2" s="19"/>
      <c r="AL2" s="19"/>
      <c r="AM2" s="19"/>
      <c r="AN2" s="19"/>
      <c r="AO2" s="19"/>
      <c r="AP2" s="19"/>
      <c r="AQ2" s="19"/>
      <c r="AR2" s="19"/>
    </row>
    <row r="3" spans="1:44" x14ac:dyDescent="0.25">
      <c r="E3" s="19" t="s">
        <v>174</v>
      </c>
      <c r="F3" s="19"/>
      <c r="G3" s="19"/>
      <c r="H3" s="19"/>
      <c r="I3" s="19"/>
      <c r="J3" s="19"/>
      <c r="K3" s="19"/>
      <c r="L3" s="19"/>
      <c r="M3" s="19"/>
      <c r="N3" s="19"/>
      <c r="O3" s="19"/>
      <c r="P3" s="19"/>
      <c r="S3" s="19" t="s">
        <v>174</v>
      </c>
      <c r="T3" s="19"/>
      <c r="U3" s="19"/>
      <c r="V3" s="19"/>
      <c r="W3" s="19"/>
      <c r="X3" s="19"/>
      <c r="Y3" s="19"/>
      <c r="Z3" s="19"/>
      <c r="AA3" s="19"/>
      <c r="AB3" s="19"/>
      <c r="AC3" s="19"/>
      <c r="AD3" s="19"/>
      <c r="AG3" s="19" t="s">
        <v>174</v>
      </c>
      <c r="AH3" s="19"/>
      <c r="AI3" s="19"/>
      <c r="AJ3" s="19"/>
      <c r="AK3" s="19"/>
      <c r="AL3" s="19"/>
      <c r="AM3" s="19"/>
      <c r="AN3" s="19"/>
      <c r="AO3" s="19"/>
      <c r="AP3" s="19"/>
      <c r="AQ3" s="19"/>
      <c r="AR3" s="19"/>
    </row>
    <row r="4" spans="1:44" x14ac:dyDescent="0.25">
      <c r="C4" s="19" t="s">
        <v>181</v>
      </c>
      <c r="D4" s="19"/>
      <c r="E4" s="19" t="s">
        <v>175</v>
      </c>
      <c r="F4" s="19"/>
      <c r="G4" s="19" t="s">
        <v>176</v>
      </c>
      <c r="H4" s="19"/>
      <c r="I4" s="19" t="s">
        <v>177</v>
      </c>
      <c r="J4" s="19"/>
      <c r="K4" s="19" t="s">
        <v>178</v>
      </c>
      <c r="L4" s="19"/>
      <c r="M4" s="19" t="s">
        <v>179</v>
      </c>
      <c r="N4" s="19"/>
      <c r="O4" s="19" t="s">
        <v>180</v>
      </c>
      <c r="P4" s="19"/>
      <c r="Q4" s="19" t="s">
        <v>181</v>
      </c>
      <c r="R4" s="19"/>
      <c r="S4" s="19" t="s">
        <v>175</v>
      </c>
      <c r="T4" s="19"/>
      <c r="U4" s="19" t="s">
        <v>176</v>
      </c>
      <c r="V4" s="19"/>
      <c r="W4" s="19" t="s">
        <v>177</v>
      </c>
      <c r="X4" s="19"/>
      <c r="Y4" s="19" t="s">
        <v>178</v>
      </c>
      <c r="Z4" s="19"/>
      <c r="AA4" s="19" t="s">
        <v>179</v>
      </c>
      <c r="AB4" s="19"/>
      <c r="AC4" s="19" t="s">
        <v>180</v>
      </c>
      <c r="AD4" s="19"/>
      <c r="AE4" s="19" t="s">
        <v>181</v>
      </c>
      <c r="AF4" s="19"/>
      <c r="AG4" s="19" t="s">
        <v>175</v>
      </c>
      <c r="AH4" s="19"/>
      <c r="AI4" s="19" t="s">
        <v>176</v>
      </c>
      <c r="AJ4" s="19"/>
      <c r="AK4" s="19" t="s">
        <v>177</v>
      </c>
      <c r="AL4" s="19"/>
      <c r="AM4" s="19" t="s">
        <v>178</v>
      </c>
      <c r="AN4" s="19"/>
      <c r="AO4" s="19" t="s">
        <v>179</v>
      </c>
      <c r="AP4" s="19"/>
      <c r="AQ4" s="19" t="s">
        <v>180</v>
      </c>
      <c r="AR4" s="19"/>
    </row>
    <row r="5" spans="1:44" x14ac:dyDescent="0.25">
      <c r="A5" s="1" t="s">
        <v>11</v>
      </c>
      <c r="B5" s="1" t="s">
        <v>12</v>
      </c>
      <c r="C5" s="1" t="s">
        <v>13</v>
      </c>
      <c r="D5" s="1" t="s">
        <v>14</v>
      </c>
      <c r="E5" s="1" t="s">
        <v>13</v>
      </c>
      <c r="F5" s="1" t="s">
        <v>14</v>
      </c>
      <c r="G5" s="1" t="s">
        <v>13</v>
      </c>
      <c r="H5" s="1" t="s">
        <v>14</v>
      </c>
      <c r="I5" s="1" t="s">
        <v>13</v>
      </c>
      <c r="J5" s="1" t="s">
        <v>14</v>
      </c>
      <c r="K5" s="1" t="s">
        <v>13</v>
      </c>
      <c r="L5" s="1" t="s">
        <v>14</v>
      </c>
      <c r="M5" s="1" t="s">
        <v>13</v>
      </c>
      <c r="N5" s="1" t="s">
        <v>14</v>
      </c>
      <c r="O5" s="1" t="s">
        <v>13</v>
      </c>
      <c r="P5" s="1" t="s">
        <v>14</v>
      </c>
      <c r="Q5" s="1" t="s">
        <v>13</v>
      </c>
      <c r="R5" s="1" t="s">
        <v>14</v>
      </c>
      <c r="S5" s="1" t="s">
        <v>13</v>
      </c>
      <c r="T5" s="1" t="s">
        <v>14</v>
      </c>
      <c r="U5" s="1" t="s">
        <v>13</v>
      </c>
      <c r="V5" s="1" t="s">
        <v>14</v>
      </c>
      <c r="W5" s="1" t="s">
        <v>13</v>
      </c>
      <c r="X5" s="1" t="s">
        <v>14</v>
      </c>
      <c r="Y5" s="1" t="s">
        <v>13</v>
      </c>
      <c r="Z5" s="1" t="s">
        <v>14</v>
      </c>
      <c r="AA5" s="1" t="s">
        <v>13</v>
      </c>
      <c r="AB5" s="1" t="s">
        <v>14</v>
      </c>
      <c r="AC5" s="1" t="s">
        <v>13</v>
      </c>
      <c r="AD5" s="1" t="s">
        <v>14</v>
      </c>
      <c r="AE5" s="1" t="s">
        <v>13</v>
      </c>
      <c r="AF5" s="1" t="s">
        <v>14</v>
      </c>
      <c r="AG5" s="1" t="s">
        <v>13</v>
      </c>
      <c r="AH5" s="1" t="s">
        <v>14</v>
      </c>
      <c r="AI5" s="1" t="s">
        <v>13</v>
      </c>
      <c r="AJ5" s="1" t="s">
        <v>14</v>
      </c>
      <c r="AK5" s="1" t="s">
        <v>13</v>
      </c>
      <c r="AL5" s="1" t="s">
        <v>14</v>
      </c>
      <c r="AM5" s="1" t="s">
        <v>13</v>
      </c>
      <c r="AN5" s="1" t="s">
        <v>14</v>
      </c>
      <c r="AO5" s="1" t="s">
        <v>13</v>
      </c>
      <c r="AP5" s="1" t="s">
        <v>14</v>
      </c>
      <c r="AQ5" s="1" t="s">
        <v>13</v>
      </c>
      <c r="AR5" s="1" t="s">
        <v>14</v>
      </c>
    </row>
    <row r="6" spans="1:44" x14ac:dyDescent="0.25">
      <c r="A6" s="19" t="s">
        <v>2</v>
      </c>
      <c r="B6" s="19"/>
      <c r="C6" s="20"/>
      <c r="D6" s="19"/>
      <c r="E6" s="20"/>
      <c r="F6" s="19"/>
      <c r="G6" s="20"/>
      <c r="H6" s="19"/>
      <c r="I6" s="20"/>
      <c r="J6" s="19"/>
      <c r="K6" s="20"/>
      <c r="L6" s="19"/>
      <c r="M6" s="20"/>
      <c r="N6" s="19"/>
      <c r="O6" s="20"/>
      <c r="P6" s="19"/>
      <c r="Q6" s="20"/>
      <c r="R6" s="19"/>
      <c r="S6" s="20"/>
      <c r="T6" s="19"/>
      <c r="U6" s="20"/>
      <c r="V6" s="19"/>
      <c r="W6" s="20"/>
      <c r="X6" s="19"/>
      <c r="Y6" s="20"/>
      <c r="Z6" s="19"/>
      <c r="AA6" s="20"/>
      <c r="AB6" s="19"/>
      <c r="AC6" s="20"/>
      <c r="AD6" s="19"/>
      <c r="AE6" s="20"/>
      <c r="AF6" s="19"/>
      <c r="AG6" s="20"/>
      <c r="AH6" s="19"/>
      <c r="AI6" s="20"/>
      <c r="AJ6" s="19"/>
      <c r="AK6" s="20"/>
      <c r="AL6" s="19"/>
      <c r="AM6" s="20"/>
      <c r="AN6" s="19"/>
      <c r="AO6" s="20"/>
      <c r="AP6" s="19"/>
      <c r="AQ6" s="20"/>
      <c r="AR6" s="19"/>
    </row>
    <row r="7" spans="1:44" outlineLevel="1" x14ac:dyDescent="0.25">
      <c r="A7" s="2" t="s">
        <v>15</v>
      </c>
      <c r="B7" s="3" t="s">
        <v>2</v>
      </c>
      <c r="C7" s="13">
        <v>0.28810960209945102</v>
      </c>
      <c r="D7" s="3">
        <v>8682</v>
      </c>
      <c r="E7" s="13">
        <v>3.5850303607961001E-2</v>
      </c>
      <c r="F7" s="3">
        <v>3812</v>
      </c>
      <c r="G7" s="13">
        <v>5.2436064186048202E-2</v>
      </c>
      <c r="H7" s="3">
        <v>3812</v>
      </c>
      <c r="I7" s="13">
        <v>0.129967247697308</v>
      </c>
      <c r="J7" s="3">
        <v>3812</v>
      </c>
      <c r="K7" s="13">
        <v>0.119485128821208</v>
      </c>
      <c r="L7" s="3">
        <v>3812</v>
      </c>
      <c r="M7" s="13">
        <v>0.48979152158214401</v>
      </c>
      <c r="N7" s="3">
        <v>3812</v>
      </c>
      <c r="O7" s="13">
        <v>0.17246973410533001</v>
      </c>
      <c r="P7" s="3">
        <v>3812</v>
      </c>
      <c r="Q7" s="13">
        <v>0.28476344809682602</v>
      </c>
      <c r="R7" s="3">
        <v>4385</v>
      </c>
      <c r="S7" s="13">
        <v>3.8537517634932197E-2</v>
      </c>
      <c r="T7" s="3">
        <v>1888</v>
      </c>
      <c r="U7" s="13">
        <v>4.2193500487564199E-2</v>
      </c>
      <c r="V7" s="3">
        <v>1888</v>
      </c>
      <c r="W7" s="13">
        <v>0.16357241679256701</v>
      </c>
      <c r="X7" s="3">
        <v>1888</v>
      </c>
      <c r="Y7" s="13">
        <v>9.1014262661519796E-2</v>
      </c>
      <c r="Z7" s="3">
        <v>1888</v>
      </c>
      <c r="AA7" s="13">
        <v>0.49858292507191398</v>
      </c>
      <c r="AB7" s="3">
        <v>1888</v>
      </c>
      <c r="AC7" s="13">
        <v>0.16609937735150301</v>
      </c>
      <c r="AD7" s="3">
        <v>1888</v>
      </c>
      <c r="AE7" s="13">
        <v>0.29165514937832598</v>
      </c>
      <c r="AF7" s="3">
        <v>4290</v>
      </c>
      <c r="AG7" s="13">
        <v>3.3080449860655302E-2</v>
      </c>
      <c r="AH7" s="3">
        <v>1920</v>
      </c>
      <c r="AI7" s="13">
        <v>6.3102368550728094E-2</v>
      </c>
      <c r="AJ7" s="3">
        <v>1920</v>
      </c>
      <c r="AK7" s="13">
        <v>9.4844174606478093E-2</v>
      </c>
      <c r="AL7" s="3">
        <v>1920</v>
      </c>
      <c r="AM7" s="13">
        <v>0.14911822919930401</v>
      </c>
      <c r="AN7" s="3">
        <v>1920</v>
      </c>
      <c r="AO7" s="13">
        <v>0.480670702226278</v>
      </c>
      <c r="AP7" s="3">
        <v>1920</v>
      </c>
      <c r="AQ7" s="13">
        <v>0.17918407555655599</v>
      </c>
      <c r="AR7" s="4">
        <v>1920</v>
      </c>
    </row>
    <row r="8" spans="1:44" x14ac:dyDescent="0.25">
      <c r="C8" s="16"/>
      <c r="E8" s="16"/>
      <c r="G8" s="16"/>
      <c r="I8" s="16"/>
      <c r="K8" s="16"/>
      <c r="M8" s="16"/>
      <c r="O8" s="16"/>
      <c r="Q8" s="16"/>
      <c r="S8" s="16"/>
      <c r="U8" s="16"/>
      <c r="W8" s="16"/>
      <c r="Y8" s="16"/>
      <c r="AA8" s="16"/>
      <c r="AC8" s="16"/>
      <c r="AE8" s="16"/>
      <c r="AG8" s="16"/>
      <c r="AI8" s="16"/>
      <c r="AK8" s="16"/>
      <c r="AM8" s="16"/>
      <c r="AO8" s="16"/>
      <c r="AQ8" s="16"/>
    </row>
    <row r="9" spans="1:44" x14ac:dyDescent="0.25">
      <c r="A9" s="19" t="s">
        <v>16</v>
      </c>
      <c r="B9" s="19"/>
      <c r="C9" s="20"/>
      <c r="D9" s="19"/>
      <c r="E9" s="20"/>
      <c r="F9" s="19"/>
      <c r="G9" s="20"/>
      <c r="H9" s="19"/>
      <c r="I9" s="20"/>
      <c r="J9" s="19"/>
      <c r="K9" s="20"/>
      <c r="L9" s="19"/>
      <c r="M9" s="20"/>
      <c r="N9" s="19"/>
      <c r="O9" s="20"/>
      <c r="P9" s="19"/>
      <c r="Q9" s="20"/>
      <c r="R9" s="19"/>
      <c r="S9" s="20"/>
      <c r="T9" s="19"/>
      <c r="U9" s="20"/>
      <c r="V9" s="19"/>
      <c r="W9" s="20"/>
      <c r="X9" s="19"/>
      <c r="Y9" s="20"/>
      <c r="Z9" s="19"/>
      <c r="AA9" s="20"/>
      <c r="AB9" s="19"/>
      <c r="AC9" s="20"/>
      <c r="AD9" s="19"/>
      <c r="AE9" s="20"/>
      <c r="AF9" s="19"/>
      <c r="AG9" s="20"/>
      <c r="AH9" s="19"/>
      <c r="AI9" s="20"/>
      <c r="AJ9" s="19"/>
      <c r="AK9" s="20"/>
      <c r="AL9" s="19"/>
      <c r="AM9" s="20"/>
      <c r="AN9" s="19"/>
      <c r="AO9" s="20"/>
      <c r="AP9" s="19"/>
      <c r="AQ9" s="20"/>
      <c r="AR9" s="19"/>
    </row>
    <row r="10" spans="1:44" outlineLevel="1" x14ac:dyDescent="0.25">
      <c r="A10" s="5" t="s">
        <v>15</v>
      </c>
      <c r="B10" s="8" t="s">
        <v>17</v>
      </c>
      <c r="C10" s="14">
        <v>0.26234789817728199</v>
      </c>
      <c r="D10" s="8">
        <v>625</v>
      </c>
      <c r="E10" s="14"/>
      <c r="F10" s="8"/>
      <c r="G10" s="14"/>
      <c r="H10" s="8"/>
      <c r="I10" s="14">
        <v>0.18487821249511099</v>
      </c>
      <c r="J10" s="8">
        <v>261</v>
      </c>
      <c r="K10" s="14">
        <v>5.0202328649699202E-2</v>
      </c>
      <c r="L10" s="8">
        <v>261</v>
      </c>
      <c r="M10" s="14">
        <v>0.62644611787190596</v>
      </c>
      <c r="N10" s="8">
        <v>261</v>
      </c>
      <c r="O10" s="14">
        <v>0.13847334098328501</v>
      </c>
      <c r="P10" s="8">
        <v>261</v>
      </c>
      <c r="Q10" s="14">
        <v>0.29247449974456702</v>
      </c>
      <c r="R10" s="8">
        <v>290</v>
      </c>
      <c r="S10" s="14"/>
      <c r="T10" s="8"/>
      <c r="U10" s="14"/>
      <c r="V10" s="8"/>
      <c r="W10" s="14">
        <v>0.182791884902856</v>
      </c>
      <c r="X10" s="8">
        <v>123</v>
      </c>
      <c r="Y10" s="14">
        <v>9.4807818304735794E-2</v>
      </c>
      <c r="Z10" s="8">
        <v>123</v>
      </c>
      <c r="AA10" s="14">
        <v>0.56115983912946399</v>
      </c>
      <c r="AB10" s="8">
        <v>123</v>
      </c>
      <c r="AC10" s="14">
        <v>0.16124045766294401</v>
      </c>
      <c r="AD10" s="8">
        <v>123</v>
      </c>
      <c r="AE10" s="14">
        <v>0.23658594107390199</v>
      </c>
      <c r="AF10" s="8">
        <v>334</v>
      </c>
      <c r="AG10" s="14"/>
      <c r="AH10" s="8"/>
      <c r="AI10" s="14"/>
      <c r="AJ10" s="8"/>
      <c r="AK10" s="14">
        <v>0.183081298430912</v>
      </c>
      <c r="AL10" s="8">
        <v>137</v>
      </c>
      <c r="AM10" s="14">
        <v>4.8223355622234801E-3</v>
      </c>
      <c r="AN10" s="8">
        <v>137</v>
      </c>
      <c r="AO10" s="14">
        <v>0.69624125815779403</v>
      </c>
      <c r="AP10" s="8">
        <v>137</v>
      </c>
      <c r="AQ10" s="14">
        <v>0.11585510784907101</v>
      </c>
      <c r="AR10" s="10">
        <v>137</v>
      </c>
    </row>
    <row r="11" spans="1:44" outlineLevel="1" x14ac:dyDescent="0.25">
      <c r="A11" s="6" t="s">
        <v>15</v>
      </c>
      <c r="B11" t="s">
        <v>18</v>
      </c>
      <c r="C11" s="16">
        <v>0.19667511153566999</v>
      </c>
      <c r="D11">
        <v>3410</v>
      </c>
      <c r="E11" s="16"/>
      <c r="G11" s="16">
        <v>1.39561653055986E-2</v>
      </c>
      <c r="H11">
        <v>1193</v>
      </c>
      <c r="I11" s="16">
        <v>0.119708635714776</v>
      </c>
      <c r="J11">
        <v>1193</v>
      </c>
      <c r="K11" s="16">
        <v>2.1060593507928799E-2</v>
      </c>
      <c r="L11">
        <v>1193</v>
      </c>
      <c r="M11" s="16">
        <v>0.68037531973380405</v>
      </c>
      <c r="N11">
        <v>1193</v>
      </c>
      <c r="O11" s="16">
        <v>0.164899285737893</v>
      </c>
      <c r="P11">
        <v>1193</v>
      </c>
      <c r="Q11" s="16">
        <v>0.19183384628755701</v>
      </c>
      <c r="R11">
        <v>1677</v>
      </c>
      <c r="S11" s="16"/>
      <c r="U11" s="16">
        <v>2.15833899597908E-2</v>
      </c>
      <c r="V11">
        <v>567</v>
      </c>
      <c r="W11" s="16">
        <v>0.15714624200938501</v>
      </c>
      <c r="X11">
        <v>567</v>
      </c>
      <c r="Y11" s="16">
        <v>2.1574257287066599E-2</v>
      </c>
      <c r="Z11">
        <v>567</v>
      </c>
      <c r="AA11" s="16">
        <v>0.66179838768265897</v>
      </c>
      <c r="AB11">
        <v>567</v>
      </c>
      <c r="AC11" s="16">
        <v>0.13789772306109799</v>
      </c>
      <c r="AD11">
        <v>567</v>
      </c>
      <c r="AE11" s="16">
        <v>0.20170167338912701</v>
      </c>
      <c r="AF11">
        <v>1731</v>
      </c>
      <c r="AG11" s="16"/>
      <c r="AI11" s="16">
        <v>6.2915880626142002E-3</v>
      </c>
      <c r="AJ11">
        <v>625</v>
      </c>
      <c r="AK11" s="16">
        <v>8.2113069377130199E-2</v>
      </c>
      <c r="AL11">
        <v>625</v>
      </c>
      <c r="AM11" s="16">
        <v>2.05543877290543E-2</v>
      </c>
      <c r="AN11">
        <v>625</v>
      </c>
      <c r="AO11" s="16">
        <v>0.69890164379432596</v>
      </c>
      <c r="AP11">
        <v>625</v>
      </c>
      <c r="AQ11" s="16">
        <v>0.19213931103687501</v>
      </c>
      <c r="AR11" s="11">
        <v>625</v>
      </c>
    </row>
    <row r="12" spans="1:44" outlineLevel="1" x14ac:dyDescent="0.25">
      <c r="A12" s="6" t="s">
        <v>15</v>
      </c>
      <c r="B12" t="s">
        <v>19</v>
      </c>
      <c r="C12" s="16">
        <v>0.26922355619764299</v>
      </c>
      <c r="D12">
        <v>2775</v>
      </c>
      <c r="E12" s="16">
        <v>1.3172616148263001E-4</v>
      </c>
      <c r="F12">
        <v>1224</v>
      </c>
      <c r="G12" s="16">
        <v>4.1044193185035598E-2</v>
      </c>
      <c r="H12">
        <v>1224</v>
      </c>
      <c r="I12" s="16">
        <v>0.127617712913519</v>
      </c>
      <c r="J12">
        <v>1224</v>
      </c>
      <c r="K12" s="16">
        <v>0.12552399940617401</v>
      </c>
      <c r="L12">
        <v>1224</v>
      </c>
      <c r="M12" s="16">
        <v>0.56244191282974498</v>
      </c>
      <c r="N12">
        <v>1224</v>
      </c>
      <c r="O12" s="16">
        <v>0.14324045550404299</v>
      </c>
      <c r="P12">
        <v>1224</v>
      </c>
      <c r="Q12" s="16">
        <v>0.26844818623078098</v>
      </c>
      <c r="R12">
        <v>1434</v>
      </c>
      <c r="S12" s="16"/>
      <c r="U12" s="16">
        <v>2.5433319060242401E-2</v>
      </c>
      <c r="V12">
        <v>632</v>
      </c>
      <c r="W12" s="16">
        <v>0.13604297293324699</v>
      </c>
      <c r="X12">
        <v>632</v>
      </c>
      <c r="Y12" s="16">
        <v>9.19031687345222E-2</v>
      </c>
      <c r="Z12">
        <v>632</v>
      </c>
      <c r="AA12" s="16">
        <v>0.61454049993732296</v>
      </c>
      <c r="AB12">
        <v>632</v>
      </c>
      <c r="AC12" s="16">
        <v>0.132080039334665</v>
      </c>
      <c r="AD12">
        <v>632</v>
      </c>
      <c r="AE12" s="16">
        <v>0.27032392872157701</v>
      </c>
      <c r="AF12">
        <v>1338</v>
      </c>
      <c r="AG12" s="16">
        <v>2.7725028514322798E-4</v>
      </c>
      <c r="AH12">
        <v>591</v>
      </c>
      <c r="AI12" s="16">
        <v>5.8302440755892901E-2</v>
      </c>
      <c r="AJ12">
        <v>591</v>
      </c>
      <c r="AK12" s="16">
        <v>0.118375060298774</v>
      </c>
      <c r="AL12">
        <v>591</v>
      </c>
      <c r="AM12" s="16">
        <v>0.16271052072734499</v>
      </c>
      <c r="AN12">
        <v>591</v>
      </c>
      <c r="AO12" s="16">
        <v>0.50470159905568002</v>
      </c>
      <c r="AP12">
        <v>591</v>
      </c>
      <c r="AQ12" s="16">
        <v>0.15563312887716499</v>
      </c>
      <c r="AR12" s="11">
        <v>591</v>
      </c>
    </row>
    <row r="13" spans="1:44" outlineLevel="1" x14ac:dyDescent="0.25">
      <c r="A13" s="7" t="s">
        <v>15</v>
      </c>
      <c r="B13" s="9" t="s">
        <v>20</v>
      </c>
      <c r="C13" s="15">
        <v>0.48425879031743901</v>
      </c>
      <c r="D13" s="9">
        <v>1872</v>
      </c>
      <c r="E13" s="15">
        <v>9.62762803448622E-2</v>
      </c>
      <c r="F13" s="9">
        <v>1134</v>
      </c>
      <c r="G13" s="15">
        <v>9.8281178014960696E-2</v>
      </c>
      <c r="H13" s="9">
        <v>1134</v>
      </c>
      <c r="I13" s="15">
        <v>0.13013627791584201</v>
      </c>
      <c r="J13" s="9">
        <v>1134</v>
      </c>
      <c r="K13" s="15">
        <v>0.198052777820418</v>
      </c>
      <c r="L13" s="9">
        <v>1134</v>
      </c>
      <c r="M13" s="15">
        <v>0.27043100512908202</v>
      </c>
      <c r="N13" s="9">
        <v>1134</v>
      </c>
      <c r="O13" s="15">
        <v>0.206822480774835</v>
      </c>
      <c r="P13" s="9">
        <v>1134</v>
      </c>
      <c r="Q13" s="15">
        <v>0.46798574626413297</v>
      </c>
      <c r="R13" s="9">
        <v>984</v>
      </c>
      <c r="S13" s="15">
        <v>0.104749333704676</v>
      </c>
      <c r="T13" s="9">
        <v>566</v>
      </c>
      <c r="U13" s="15">
        <v>7.8038444182329594E-2</v>
      </c>
      <c r="V13" s="9">
        <v>566</v>
      </c>
      <c r="W13" s="15">
        <v>0.187733794637503</v>
      </c>
      <c r="X13" s="9">
        <v>566</v>
      </c>
      <c r="Y13" s="15">
        <v>0.140045195040574</v>
      </c>
      <c r="Z13" s="9">
        <v>566</v>
      </c>
      <c r="AA13" s="15">
        <v>0.27398553406135001</v>
      </c>
      <c r="AB13" s="9">
        <v>566</v>
      </c>
      <c r="AC13" s="15">
        <v>0.215447698373568</v>
      </c>
      <c r="AD13" s="9">
        <v>566</v>
      </c>
      <c r="AE13" s="15">
        <v>0.50189922218357397</v>
      </c>
      <c r="AF13" s="9">
        <v>887</v>
      </c>
      <c r="AG13" s="15">
        <v>8.7676391779047597E-2</v>
      </c>
      <c r="AH13" s="9">
        <v>567</v>
      </c>
      <c r="AI13" s="15">
        <v>0.118827377441279</v>
      </c>
      <c r="AJ13" s="9">
        <v>567</v>
      </c>
      <c r="AK13" s="15">
        <v>7.1675855714777595E-2</v>
      </c>
      <c r="AL13" s="9">
        <v>567</v>
      </c>
      <c r="AM13" s="15">
        <v>0.25692849573520299</v>
      </c>
      <c r="AN13" s="9">
        <v>567</v>
      </c>
      <c r="AO13" s="15">
        <v>0.266823580923924</v>
      </c>
      <c r="AP13" s="9">
        <v>567</v>
      </c>
      <c r="AQ13" s="15">
        <v>0.19806829840576901</v>
      </c>
      <c r="AR13" s="12">
        <v>567</v>
      </c>
    </row>
    <row r="14" spans="1:44" x14ac:dyDescent="0.25">
      <c r="C14" s="16"/>
      <c r="E14" s="16"/>
      <c r="G14" s="16"/>
      <c r="I14" s="16"/>
      <c r="K14" s="16"/>
      <c r="M14" s="16"/>
      <c r="O14" s="16"/>
      <c r="Q14" s="16"/>
      <c r="S14" s="16"/>
      <c r="U14" s="16"/>
      <c r="W14" s="16"/>
      <c r="Y14" s="16"/>
      <c r="AA14" s="16"/>
      <c r="AC14" s="16"/>
      <c r="AE14" s="16"/>
      <c r="AG14" s="16"/>
      <c r="AI14" s="16"/>
      <c r="AK14" s="16"/>
      <c r="AM14" s="16"/>
      <c r="AO14" s="16"/>
      <c r="AQ14" s="16"/>
    </row>
    <row r="15" spans="1:44" x14ac:dyDescent="0.25">
      <c r="A15" s="19" t="s">
        <v>21</v>
      </c>
      <c r="B15" s="19"/>
      <c r="C15" s="20"/>
      <c r="D15" s="19"/>
      <c r="E15" s="20"/>
      <c r="F15" s="19"/>
      <c r="G15" s="20"/>
      <c r="H15" s="19"/>
      <c r="I15" s="20"/>
      <c r="J15" s="19"/>
      <c r="K15" s="20"/>
      <c r="L15" s="19"/>
      <c r="M15" s="20"/>
      <c r="N15" s="19"/>
      <c r="O15" s="20"/>
      <c r="P15" s="19"/>
      <c r="Q15" s="20"/>
      <c r="R15" s="19"/>
      <c r="S15" s="20"/>
      <c r="T15" s="19"/>
      <c r="U15" s="20"/>
      <c r="V15" s="19"/>
      <c r="W15" s="20"/>
      <c r="X15" s="19"/>
      <c r="Y15" s="20"/>
      <c r="Z15" s="19"/>
      <c r="AA15" s="20"/>
      <c r="AB15" s="19"/>
      <c r="AC15" s="20"/>
      <c r="AD15" s="19"/>
      <c r="AE15" s="20"/>
      <c r="AF15" s="19"/>
      <c r="AG15" s="20"/>
      <c r="AH15" s="19"/>
      <c r="AI15" s="20"/>
      <c r="AJ15" s="19"/>
      <c r="AK15" s="20"/>
      <c r="AL15" s="19"/>
      <c r="AM15" s="20"/>
      <c r="AN15" s="19"/>
      <c r="AO15" s="20"/>
      <c r="AP15" s="19"/>
      <c r="AQ15" s="20"/>
      <c r="AR15" s="19"/>
    </row>
    <row r="16" spans="1:44" outlineLevel="1" x14ac:dyDescent="0.25">
      <c r="A16" s="5" t="s">
        <v>15</v>
      </c>
      <c r="B16" s="8" t="s">
        <v>22</v>
      </c>
      <c r="C16" s="14">
        <v>7.5884439104733303E-2</v>
      </c>
      <c r="D16" s="8">
        <v>131</v>
      </c>
      <c r="E16" s="14">
        <v>0.215621564292058</v>
      </c>
      <c r="F16" s="8">
        <v>9</v>
      </c>
      <c r="G16" s="14">
        <v>0.115782707645661</v>
      </c>
      <c r="H16" s="8">
        <v>9</v>
      </c>
      <c r="I16" s="14">
        <v>0.1044726103826</v>
      </c>
      <c r="J16" s="8">
        <v>9</v>
      </c>
      <c r="K16" s="14">
        <v>0.21347095992317</v>
      </c>
      <c r="L16" s="8">
        <v>9</v>
      </c>
      <c r="M16" s="14"/>
      <c r="N16" s="8"/>
      <c r="O16" s="14">
        <v>0.35065215775650999</v>
      </c>
      <c r="P16" s="8">
        <v>9</v>
      </c>
      <c r="Q16" s="14">
        <v>5.7847848776157E-2</v>
      </c>
      <c r="R16" s="8">
        <v>66</v>
      </c>
      <c r="S16" s="14">
        <v>0.251347756470715</v>
      </c>
      <c r="T16" s="8">
        <v>4</v>
      </c>
      <c r="U16" s="14"/>
      <c r="V16" s="8"/>
      <c r="W16" s="14">
        <v>0.24356521406864601</v>
      </c>
      <c r="X16" s="8">
        <v>4</v>
      </c>
      <c r="Y16" s="14">
        <v>0.249859296418041</v>
      </c>
      <c r="Z16" s="8">
        <v>4</v>
      </c>
      <c r="AA16" s="14"/>
      <c r="AB16" s="8"/>
      <c r="AC16" s="14">
        <v>0.25522773304259799</v>
      </c>
      <c r="AD16" s="8">
        <v>4</v>
      </c>
      <c r="AE16" s="14">
        <v>9.4206824229116498E-2</v>
      </c>
      <c r="AF16" s="8">
        <v>65</v>
      </c>
      <c r="AG16" s="14">
        <v>0.18878758134096299</v>
      </c>
      <c r="AH16" s="8">
        <v>5</v>
      </c>
      <c r="AI16" s="14">
        <v>0.20274722901022299</v>
      </c>
      <c r="AJ16" s="8">
        <v>5</v>
      </c>
      <c r="AK16" s="14"/>
      <c r="AL16" s="8"/>
      <c r="AM16" s="14">
        <v>0.186139639634707</v>
      </c>
      <c r="AN16" s="8">
        <v>5</v>
      </c>
      <c r="AO16" s="14"/>
      <c r="AP16" s="8"/>
      <c r="AQ16" s="14">
        <v>0.42232555001410599</v>
      </c>
      <c r="AR16" s="10">
        <v>5</v>
      </c>
    </row>
    <row r="17" spans="1:44" outlineLevel="1" x14ac:dyDescent="0.25">
      <c r="A17" s="6" t="s">
        <v>15</v>
      </c>
      <c r="B17" t="s">
        <v>23</v>
      </c>
      <c r="C17" s="16">
        <v>0.21688422752818601</v>
      </c>
      <c r="D17">
        <v>546</v>
      </c>
      <c r="E17" s="16">
        <v>2.14582938655376E-2</v>
      </c>
      <c r="F17">
        <v>159</v>
      </c>
      <c r="G17" s="16">
        <v>2.1621935006852E-2</v>
      </c>
      <c r="H17">
        <v>159</v>
      </c>
      <c r="I17" s="16">
        <v>0.175898095046228</v>
      </c>
      <c r="J17">
        <v>159</v>
      </c>
      <c r="K17" s="16">
        <v>0.44420605812057201</v>
      </c>
      <c r="L17">
        <v>159</v>
      </c>
      <c r="M17" s="16">
        <v>0.166973775008251</v>
      </c>
      <c r="N17">
        <v>159</v>
      </c>
      <c r="O17" s="16">
        <v>0.169841842952559</v>
      </c>
      <c r="P17">
        <v>159</v>
      </c>
      <c r="Q17" s="16">
        <v>0.19245374001663801</v>
      </c>
      <c r="R17">
        <v>290</v>
      </c>
      <c r="S17" s="16">
        <v>4.2422163029529898E-2</v>
      </c>
      <c r="T17">
        <v>78</v>
      </c>
      <c r="U17" s="16"/>
      <c r="W17" s="16">
        <v>0.204186084247931</v>
      </c>
      <c r="X17">
        <v>78</v>
      </c>
      <c r="Y17" s="16">
        <v>0.30188121795043898</v>
      </c>
      <c r="Z17">
        <v>78</v>
      </c>
      <c r="AA17" s="16">
        <v>0.26863094161269502</v>
      </c>
      <c r="AB17">
        <v>78</v>
      </c>
      <c r="AC17" s="16">
        <v>0.182879593159404</v>
      </c>
      <c r="AD17">
        <v>78</v>
      </c>
      <c r="AE17" s="16">
        <v>0.24581658354892599</v>
      </c>
      <c r="AF17">
        <v>256</v>
      </c>
      <c r="AG17" s="16">
        <v>2.02088882604037E-3</v>
      </c>
      <c r="AH17">
        <v>81</v>
      </c>
      <c r="AI17" s="16">
        <v>4.1669489452943097E-2</v>
      </c>
      <c r="AJ17">
        <v>81</v>
      </c>
      <c r="AK17" s="16">
        <v>0.149669868779159</v>
      </c>
      <c r="AL17">
        <v>81</v>
      </c>
      <c r="AM17" s="16">
        <v>0.57616765089373401</v>
      </c>
      <c r="AN17">
        <v>81</v>
      </c>
      <c r="AO17" s="16">
        <v>7.2718677964802803E-2</v>
      </c>
      <c r="AP17">
        <v>81</v>
      </c>
      <c r="AQ17" s="16">
        <v>0.15775342408332099</v>
      </c>
      <c r="AR17" s="11">
        <v>81</v>
      </c>
    </row>
    <row r="18" spans="1:44" outlineLevel="1" x14ac:dyDescent="0.25">
      <c r="A18" s="6" t="s">
        <v>15</v>
      </c>
      <c r="B18" t="s">
        <v>24</v>
      </c>
      <c r="C18" s="16">
        <v>0.183442506908327</v>
      </c>
      <c r="D18">
        <v>126</v>
      </c>
      <c r="E18" s="16"/>
      <c r="G18" s="16">
        <v>0.26345946295443201</v>
      </c>
      <c r="H18">
        <v>23</v>
      </c>
      <c r="I18" s="16">
        <v>0.12911016151566501</v>
      </c>
      <c r="J18">
        <v>23</v>
      </c>
      <c r="K18" s="16">
        <v>0.17520792051352199</v>
      </c>
      <c r="L18">
        <v>23</v>
      </c>
      <c r="M18" s="16"/>
      <c r="O18" s="16">
        <v>0.43222245501638001</v>
      </c>
      <c r="P18">
        <v>23</v>
      </c>
      <c r="Q18" s="16">
        <v>0.164302045373596</v>
      </c>
      <c r="R18">
        <v>61</v>
      </c>
      <c r="S18" s="16"/>
      <c r="U18" s="16">
        <v>0.30456888274253902</v>
      </c>
      <c r="V18">
        <v>10</v>
      </c>
      <c r="W18" s="16">
        <v>0.29666712682744301</v>
      </c>
      <c r="X18">
        <v>10</v>
      </c>
      <c r="Y18" s="16"/>
      <c r="AA18" s="16"/>
      <c r="AC18" s="16">
        <v>0.39876399043001798</v>
      </c>
      <c r="AD18">
        <v>10</v>
      </c>
      <c r="AE18" s="16">
        <v>0.20153314366658401</v>
      </c>
      <c r="AF18">
        <v>65</v>
      </c>
      <c r="AG18" s="16"/>
      <c r="AI18" s="16">
        <v>0.231782810069357</v>
      </c>
      <c r="AJ18">
        <v>13</v>
      </c>
      <c r="AK18" s="16"/>
      <c r="AM18" s="16">
        <v>0.310213486377245</v>
      </c>
      <c r="AN18">
        <v>13</v>
      </c>
      <c r="AO18" s="16"/>
      <c r="AQ18" s="16">
        <v>0.45800370355339798</v>
      </c>
      <c r="AR18" s="11">
        <v>13</v>
      </c>
    </row>
    <row r="19" spans="1:44" outlineLevel="1" x14ac:dyDescent="0.25">
      <c r="A19" s="6" t="s">
        <v>15</v>
      </c>
      <c r="B19" t="s">
        <v>25</v>
      </c>
      <c r="C19" s="16">
        <v>0.662085334278815</v>
      </c>
      <c r="D19">
        <v>776</v>
      </c>
      <c r="E19" s="16">
        <v>8.4541606340398402E-3</v>
      </c>
      <c r="F19">
        <v>502</v>
      </c>
      <c r="G19" s="16">
        <v>5.7295668258197001E-4</v>
      </c>
      <c r="H19">
        <v>502</v>
      </c>
      <c r="I19" s="16">
        <v>6.0447614816630003E-2</v>
      </c>
      <c r="J19">
        <v>502</v>
      </c>
      <c r="K19" s="16">
        <v>1.40756256805014E-2</v>
      </c>
      <c r="L19">
        <v>502</v>
      </c>
      <c r="M19" s="16">
        <v>0.66260612314261802</v>
      </c>
      <c r="N19">
        <v>502</v>
      </c>
      <c r="O19" s="16">
        <v>0.25384351904362901</v>
      </c>
      <c r="P19">
        <v>502</v>
      </c>
      <c r="Q19" s="16">
        <v>0.65689438758339003</v>
      </c>
      <c r="R19">
        <v>400</v>
      </c>
      <c r="S19" s="16">
        <v>1.66366072497319E-2</v>
      </c>
      <c r="T19">
        <v>255</v>
      </c>
      <c r="U19" s="16">
        <v>1.1274987206708199E-3</v>
      </c>
      <c r="V19">
        <v>255</v>
      </c>
      <c r="W19" s="16">
        <v>7.2281587870981698E-2</v>
      </c>
      <c r="X19">
        <v>255</v>
      </c>
      <c r="Y19" s="16">
        <v>3.5320810058996201E-3</v>
      </c>
      <c r="Z19">
        <v>255</v>
      </c>
      <c r="AA19" s="16">
        <v>0.71223113689409201</v>
      </c>
      <c r="AB19">
        <v>255</v>
      </c>
      <c r="AC19" s="16">
        <v>0.194191088258624</v>
      </c>
      <c r="AD19">
        <v>255</v>
      </c>
      <c r="AE19" s="16">
        <v>0.66753553785225905</v>
      </c>
      <c r="AF19">
        <v>376</v>
      </c>
      <c r="AG19" s="16"/>
      <c r="AI19" s="16"/>
      <c r="AK19" s="16">
        <v>4.8220671722553399E-2</v>
      </c>
      <c r="AL19">
        <v>247</v>
      </c>
      <c r="AM19" s="16">
        <v>2.4969289216333599E-2</v>
      </c>
      <c r="AN19">
        <v>247</v>
      </c>
      <c r="AO19" s="16">
        <v>0.61133321450954203</v>
      </c>
      <c r="AP19">
        <v>247</v>
      </c>
      <c r="AQ19" s="16">
        <v>0.315476824551571</v>
      </c>
      <c r="AR19" s="11">
        <v>247</v>
      </c>
    </row>
    <row r="20" spans="1:44" outlineLevel="1" x14ac:dyDescent="0.25">
      <c r="A20" s="6" t="s">
        <v>15</v>
      </c>
      <c r="B20" t="s">
        <v>26</v>
      </c>
      <c r="C20" s="16">
        <v>0.25320727237865898</v>
      </c>
      <c r="D20">
        <v>604</v>
      </c>
      <c r="E20" s="16">
        <v>8.4126826716976705E-4</v>
      </c>
      <c r="F20">
        <v>182</v>
      </c>
      <c r="G20" s="16">
        <v>2.2211835823000001E-2</v>
      </c>
      <c r="H20">
        <v>182</v>
      </c>
      <c r="I20" s="16">
        <v>9.55399739591659E-2</v>
      </c>
      <c r="J20">
        <v>182</v>
      </c>
      <c r="K20" s="16">
        <v>0.10338787091825399</v>
      </c>
      <c r="L20">
        <v>182</v>
      </c>
      <c r="M20" s="16">
        <v>0.53708387118679901</v>
      </c>
      <c r="N20">
        <v>182</v>
      </c>
      <c r="O20" s="16">
        <v>0.240935179845612</v>
      </c>
      <c r="P20">
        <v>182</v>
      </c>
      <c r="Q20" s="16">
        <v>0.25352843150950199</v>
      </c>
      <c r="R20">
        <v>318</v>
      </c>
      <c r="S20" s="16">
        <v>8.31682185163483E-4</v>
      </c>
      <c r="T20">
        <v>88</v>
      </c>
      <c r="U20" s="16"/>
      <c r="W20" s="16">
        <v>4.6896693550159102E-2</v>
      </c>
      <c r="X20">
        <v>88</v>
      </c>
      <c r="Y20" s="16">
        <v>5.4170991192814502E-2</v>
      </c>
      <c r="Z20">
        <v>88</v>
      </c>
      <c r="AA20" s="16">
        <v>0.64200511441691699</v>
      </c>
      <c r="AB20">
        <v>88</v>
      </c>
      <c r="AC20" s="16">
        <v>0.25609551865494601</v>
      </c>
      <c r="AD20">
        <v>88</v>
      </c>
      <c r="AE20" s="16">
        <v>0.25286535994758602</v>
      </c>
      <c r="AF20">
        <v>286</v>
      </c>
      <c r="AG20" s="16">
        <v>8.5107790690337401E-4</v>
      </c>
      <c r="AH20">
        <v>94</v>
      </c>
      <c r="AI20" s="16">
        <v>4.4941675511708003E-2</v>
      </c>
      <c r="AJ20">
        <v>94</v>
      </c>
      <c r="AK20" s="16">
        <v>0.145317667907574</v>
      </c>
      <c r="AL20">
        <v>94</v>
      </c>
      <c r="AM20" s="16">
        <v>0.15375254113516901</v>
      </c>
      <c r="AN20">
        <v>94</v>
      </c>
      <c r="AO20" s="16">
        <v>0.429715751884789</v>
      </c>
      <c r="AP20">
        <v>94</v>
      </c>
      <c r="AQ20" s="16">
        <v>0.225421285653857</v>
      </c>
      <c r="AR20" s="11">
        <v>94</v>
      </c>
    </row>
    <row r="21" spans="1:44" outlineLevel="1" x14ac:dyDescent="0.25">
      <c r="A21" s="6" t="s">
        <v>15</v>
      </c>
      <c r="B21" t="s">
        <v>27</v>
      </c>
      <c r="C21" s="16">
        <v>0.594224452269277</v>
      </c>
      <c r="D21">
        <v>830</v>
      </c>
      <c r="E21" s="16">
        <v>4.6072190479409299E-3</v>
      </c>
      <c r="F21">
        <v>467</v>
      </c>
      <c r="G21" s="16">
        <v>1.1250486714702699E-5</v>
      </c>
      <c r="H21">
        <v>467</v>
      </c>
      <c r="I21" s="16">
        <v>9.2024301872372701E-3</v>
      </c>
      <c r="J21">
        <v>467</v>
      </c>
      <c r="K21" s="16">
        <v>3.1193031296976599E-2</v>
      </c>
      <c r="L21">
        <v>467</v>
      </c>
      <c r="M21" s="16">
        <v>0.855728622537131</v>
      </c>
      <c r="N21">
        <v>467</v>
      </c>
      <c r="O21" s="16">
        <v>9.9257446443999905E-2</v>
      </c>
      <c r="P21">
        <v>467</v>
      </c>
      <c r="Q21" s="16">
        <v>0.58970054854427301</v>
      </c>
      <c r="R21">
        <v>402</v>
      </c>
      <c r="S21" s="16">
        <v>9.0590675365894106E-3</v>
      </c>
      <c r="T21">
        <v>224</v>
      </c>
      <c r="U21" s="16"/>
      <c r="W21" s="16">
        <v>9.0575782354849494E-3</v>
      </c>
      <c r="X21">
        <v>224</v>
      </c>
      <c r="Y21" s="16">
        <v>1.8115156470969899E-2</v>
      </c>
      <c r="Z21">
        <v>224</v>
      </c>
      <c r="AA21" s="16">
        <v>0.89940886415432697</v>
      </c>
      <c r="AB21">
        <v>224</v>
      </c>
      <c r="AC21" s="16">
        <v>6.4359333602628396E-2</v>
      </c>
      <c r="AD21">
        <v>224</v>
      </c>
      <c r="AE21" s="16">
        <v>0.60024728390728499</v>
      </c>
      <c r="AF21">
        <v>426</v>
      </c>
      <c r="AG21" s="16"/>
      <c r="AI21" s="16">
        <v>2.2894106904526299E-5</v>
      </c>
      <c r="AJ21">
        <v>242</v>
      </c>
      <c r="AK21" s="16">
        <v>9.3525372047279995E-3</v>
      </c>
      <c r="AL21">
        <v>242</v>
      </c>
      <c r="AM21" s="16">
        <v>4.4706929287776802E-2</v>
      </c>
      <c r="AN21">
        <v>242</v>
      </c>
      <c r="AO21" s="16">
        <v>0.81054123716633397</v>
      </c>
      <c r="AP21">
        <v>242</v>
      </c>
      <c r="AQ21" s="16">
        <v>0.13537640223425601</v>
      </c>
      <c r="AR21" s="11">
        <v>242</v>
      </c>
    </row>
    <row r="22" spans="1:44" outlineLevel="1" x14ac:dyDescent="0.25">
      <c r="A22" s="6" t="s">
        <v>15</v>
      </c>
      <c r="B22" t="s">
        <v>28</v>
      </c>
      <c r="C22" s="16">
        <v>0.42162078247573198</v>
      </c>
      <c r="D22">
        <v>634</v>
      </c>
      <c r="E22" s="16">
        <v>1.1522388013183199E-3</v>
      </c>
      <c r="F22">
        <v>259</v>
      </c>
      <c r="G22" s="16">
        <v>1.2110739976649401E-2</v>
      </c>
      <c r="H22">
        <v>259</v>
      </c>
      <c r="I22" s="16">
        <v>0.30122936700884101</v>
      </c>
      <c r="J22">
        <v>259</v>
      </c>
      <c r="K22" s="16">
        <v>0.10721647728592799</v>
      </c>
      <c r="L22">
        <v>259</v>
      </c>
      <c r="M22" s="16">
        <v>0.40267747334121001</v>
      </c>
      <c r="N22">
        <v>259</v>
      </c>
      <c r="O22" s="16">
        <v>0.17561370358605299</v>
      </c>
      <c r="P22">
        <v>259</v>
      </c>
      <c r="Q22" s="16">
        <v>0.45397586578298199</v>
      </c>
      <c r="R22">
        <v>320</v>
      </c>
      <c r="S22" s="16">
        <v>1.7758471069751101E-3</v>
      </c>
      <c r="T22">
        <v>127</v>
      </c>
      <c r="U22" s="16">
        <v>1.7520533290788301E-2</v>
      </c>
      <c r="V22">
        <v>127</v>
      </c>
      <c r="W22" s="16">
        <v>0.383668805429982</v>
      </c>
      <c r="X22">
        <v>127</v>
      </c>
      <c r="Y22" s="16">
        <v>0.13922209949712</v>
      </c>
      <c r="Z22">
        <v>127</v>
      </c>
      <c r="AA22" s="16">
        <v>0.26068608341851002</v>
      </c>
      <c r="AB22">
        <v>127</v>
      </c>
      <c r="AC22" s="16">
        <v>0.197126631256624</v>
      </c>
      <c r="AD22">
        <v>127</v>
      </c>
      <c r="AE22" s="16">
        <v>0.38587016060977503</v>
      </c>
      <c r="AF22">
        <v>311</v>
      </c>
      <c r="AG22" s="16">
        <v>2.7343740487422802E-4</v>
      </c>
      <c r="AH22">
        <v>130</v>
      </c>
      <c r="AI22" s="16">
        <v>4.4985865719062296E-3</v>
      </c>
      <c r="AJ22">
        <v>130</v>
      </c>
      <c r="AK22" s="16">
        <v>0.18585919430056999</v>
      </c>
      <c r="AL22">
        <v>130</v>
      </c>
      <c r="AM22" s="16">
        <v>6.2373479787757001E-2</v>
      </c>
      <c r="AN22">
        <v>130</v>
      </c>
      <c r="AO22" s="16">
        <v>0.60096342257757596</v>
      </c>
      <c r="AP22">
        <v>130</v>
      </c>
      <c r="AQ22" s="16">
        <v>0.14603187935731601</v>
      </c>
      <c r="AR22" s="11">
        <v>130</v>
      </c>
    </row>
    <row r="23" spans="1:44" outlineLevel="1" x14ac:dyDescent="0.25">
      <c r="A23" s="6" t="s">
        <v>15</v>
      </c>
      <c r="B23" t="s">
        <v>29</v>
      </c>
      <c r="C23" s="16">
        <v>0.26315652775467702</v>
      </c>
      <c r="D23">
        <v>470</v>
      </c>
      <c r="E23" s="16">
        <v>2.5964246223097599E-2</v>
      </c>
      <c r="F23">
        <v>172</v>
      </c>
      <c r="G23" s="16"/>
      <c r="I23" s="16">
        <v>0.28249752275326501</v>
      </c>
      <c r="J23">
        <v>172</v>
      </c>
      <c r="K23" s="16">
        <v>0.129028676209992</v>
      </c>
      <c r="L23">
        <v>172</v>
      </c>
      <c r="M23" s="16">
        <v>0.39587100042736101</v>
      </c>
      <c r="N23">
        <v>172</v>
      </c>
      <c r="O23" s="16">
        <v>0.166638554386284</v>
      </c>
      <c r="P23">
        <v>172</v>
      </c>
      <c r="Q23" s="16">
        <v>0.26086612273852799</v>
      </c>
      <c r="R23">
        <v>236</v>
      </c>
      <c r="S23" s="16">
        <v>4.9000292408280098E-2</v>
      </c>
      <c r="T23">
        <v>87</v>
      </c>
      <c r="U23" s="16"/>
      <c r="W23" s="16">
        <v>0.31603584536134499</v>
      </c>
      <c r="X23">
        <v>87</v>
      </c>
      <c r="Y23" s="16">
        <v>5.2491461139597899E-2</v>
      </c>
      <c r="Z23">
        <v>87</v>
      </c>
      <c r="AA23" s="16">
        <v>0.49615143294715602</v>
      </c>
      <c r="AB23">
        <v>87</v>
      </c>
      <c r="AC23" s="16">
        <v>8.6320968143620697E-2</v>
      </c>
      <c r="AD23">
        <v>87</v>
      </c>
      <c r="AE23" s="16">
        <v>0.26568619597419602</v>
      </c>
      <c r="AF23">
        <v>234</v>
      </c>
      <c r="AG23" s="16">
        <v>6.1189038895863399E-4</v>
      </c>
      <c r="AH23">
        <v>85</v>
      </c>
      <c r="AI23" s="16"/>
      <c r="AK23" s="16">
        <v>0.245586870551711</v>
      </c>
      <c r="AL23">
        <v>85</v>
      </c>
      <c r="AM23" s="16">
        <v>0.21326182522437401</v>
      </c>
      <c r="AN23">
        <v>85</v>
      </c>
      <c r="AO23" s="16">
        <v>0.28550721716326599</v>
      </c>
      <c r="AP23">
        <v>85</v>
      </c>
      <c r="AQ23" s="16">
        <v>0.25503219667169003</v>
      </c>
      <c r="AR23" s="11">
        <v>85</v>
      </c>
    </row>
    <row r="24" spans="1:44" outlineLevel="1" x14ac:dyDescent="0.25">
      <c r="A24" s="6" t="s">
        <v>15</v>
      </c>
      <c r="B24" t="s">
        <v>30</v>
      </c>
      <c r="C24" s="16">
        <v>0.14000000000000001</v>
      </c>
      <c r="D24">
        <v>150</v>
      </c>
      <c r="E24" s="16">
        <v>0.14285714285714299</v>
      </c>
      <c r="F24">
        <v>21</v>
      </c>
      <c r="G24" s="16">
        <v>4.7619047619047603E-2</v>
      </c>
      <c r="H24">
        <v>21</v>
      </c>
      <c r="I24" s="16">
        <v>0.33333333333333298</v>
      </c>
      <c r="J24">
        <v>21</v>
      </c>
      <c r="K24" s="16">
        <v>0.14285714285714299</v>
      </c>
      <c r="L24">
        <v>21</v>
      </c>
      <c r="M24" s="16"/>
      <c r="O24" s="16">
        <v>0.33333333333333298</v>
      </c>
      <c r="P24">
        <v>21</v>
      </c>
      <c r="Q24" s="16">
        <v>0.148148148148148</v>
      </c>
      <c r="R24">
        <v>81</v>
      </c>
      <c r="S24" s="16">
        <v>0.16666666666666699</v>
      </c>
      <c r="T24">
        <v>12</v>
      </c>
      <c r="U24" s="16">
        <v>8.3333333333333301E-2</v>
      </c>
      <c r="V24">
        <v>12</v>
      </c>
      <c r="W24" s="16">
        <v>0.41666666666666702</v>
      </c>
      <c r="X24">
        <v>12</v>
      </c>
      <c r="Y24" s="16">
        <v>8.3333333333333301E-2</v>
      </c>
      <c r="Z24">
        <v>12</v>
      </c>
      <c r="AA24" s="16"/>
      <c r="AC24" s="16">
        <v>0.25</v>
      </c>
      <c r="AD24">
        <v>12</v>
      </c>
      <c r="AE24" s="16">
        <v>0.13043478260869601</v>
      </c>
      <c r="AF24">
        <v>69</v>
      </c>
      <c r="AG24" s="16">
        <v>0.11111111111111099</v>
      </c>
      <c r="AH24">
        <v>9</v>
      </c>
      <c r="AI24" s="16"/>
      <c r="AK24" s="16">
        <v>0.22222222222222199</v>
      </c>
      <c r="AL24">
        <v>9</v>
      </c>
      <c r="AM24" s="16">
        <v>0.22222222222222199</v>
      </c>
      <c r="AN24">
        <v>9</v>
      </c>
      <c r="AO24" s="16"/>
      <c r="AQ24" s="16">
        <v>0.44444444444444398</v>
      </c>
      <c r="AR24" s="11">
        <v>9</v>
      </c>
    </row>
    <row r="25" spans="1:44" outlineLevel="1" x14ac:dyDescent="0.25">
      <c r="A25" s="6" t="s">
        <v>15</v>
      </c>
      <c r="B25" t="s">
        <v>31</v>
      </c>
      <c r="C25" s="16">
        <v>0.18531768709187699</v>
      </c>
      <c r="D25">
        <v>593</v>
      </c>
      <c r="E25" s="16">
        <v>1.3015644382920199E-3</v>
      </c>
      <c r="F25">
        <v>174</v>
      </c>
      <c r="G25" s="16">
        <v>0.14825358837496</v>
      </c>
      <c r="H25">
        <v>174</v>
      </c>
      <c r="I25" s="16">
        <v>0.235117890861338</v>
      </c>
      <c r="J25">
        <v>174</v>
      </c>
      <c r="K25" s="16">
        <v>0.132398967961568</v>
      </c>
      <c r="L25">
        <v>174</v>
      </c>
      <c r="M25" s="16">
        <v>1.3199412966149999E-2</v>
      </c>
      <c r="N25">
        <v>174</v>
      </c>
      <c r="O25" s="16">
        <v>0.46972857539769203</v>
      </c>
      <c r="P25">
        <v>174</v>
      </c>
      <c r="Q25" s="16">
        <v>0.17461910652874801</v>
      </c>
      <c r="R25">
        <v>313</v>
      </c>
      <c r="S25" s="16">
        <v>2.45830452662782E-3</v>
      </c>
      <c r="T25">
        <v>90</v>
      </c>
      <c r="U25" s="16">
        <v>4.7460665401458997E-2</v>
      </c>
      <c r="V25">
        <v>90</v>
      </c>
      <c r="W25" s="16">
        <v>0.37927518971596902</v>
      </c>
      <c r="X25">
        <v>90</v>
      </c>
      <c r="Y25" s="16">
        <v>9.9620325801255002E-2</v>
      </c>
      <c r="Z25">
        <v>90</v>
      </c>
      <c r="AA25" s="16">
        <v>1.3221090087598799E-2</v>
      </c>
      <c r="AB25">
        <v>90</v>
      </c>
      <c r="AC25" s="16">
        <v>0.45796442446709001</v>
      </c>
      <c r="AD25">
        <v>90</v>
      </c>
      <c r="AE25" s="16">
        <v>0.1990392307404</v>
      </c>
      <c r="AF25">
        <v>280</v>
      </c>
      <c r="AG25" s="16"/>
      <c r="AI25" s="16">
        <v>0.26166582807917499</v>
      </c>
      <c r="AJ25">
        <v>84</v>
      </c>
      <c r="AK25" s="16">
        <v>7.2912037012730704E-2</v>
      </c>
      <c r="AL25">
        <v>84</v>
      </c>
      <c r="AM25" s="16">
        <v>0.16928151003093</v>
      </c>
      <c r="AN25">
        <v>84</v>
      </c>
      <c r="AO25" s="16">
        <v>1.3175021859896399E-2</v>
      </c>
      <c r="AP25">
        <v>84</v>
      </c>
      <c r="AQ25" s="16">
        <v>0.48296560301726699</v>
      </c>
      <c r="AR25" s="11">
        <v>84</v>
      </c>
    </row>
    <row r="26" spans="1:44" outlineLevel="1" x14ac:dyDescent="0.25">
      <c r="A26" s="6" t="s">
        <v>15</v>
      </c>
      <c r="B26" t="s">
        <v>32</v>
      </c>
      <c r="C26" s="16">
        <v>0.118421052631579</v>
      </c>
      <c r="D26">
        <v>152</v>
      </c>
      <c r="E26" s="16">
        <v>5.5555555555555601E-2</v>
      </c>
      <c r="F26">
        <v>18</v>
      </c>
      <c r="G26" s="16">
        <v>0.27777777777777801</v>
      </c>
      <c r="H26">
        <v>18</v>
      </c>
      <c r="I26" s="16">
        <v>0.16666666666666699</v>
      </c>
      <c r="J26">
        <v>18</v>
      </c>
      <c r="K26" s="16">
        <v>0.44444444444444398</v>
      </c>
      <c r="L26">
        <v>18</v>
      </c>
      <c r="M26" s="16"/>
      <c r="O26" s="16">
        <v>5.5555555555555601E-2</v>
      </c>
      <c r="P26">
        <v>18</v>
      </c>
      <c r="Q26" s="16">
        <v>0.12</v>
      </c>
      <c r="R26">
        <v>75</v>
      </c>
      <c r="S26" s="16"/>
      <c r="U26" s="16">
        <v>0.33333333333333298</v>
      </c>
      <c r="V26">
        <v>9</v>
      </c>
      <c r="W26" s="16">
        <v>0.11111111111111099</v>
      </c>
      <c r="X26">
        <v>9</v>
      </c>
      <c r="Y26" s="16">
        <v>0.44444444444444398</v>
      </c>
      <c r="Z26">
        <v>9</v>
      </c>
      <c r="AA26" s="16"/>
      <c r="AC26" s="16">
        <v>0.11111111111111099</v>
      </c>
      <c r="AD26">
        <v>9</v>
      </c>
      <c r="AE26" s="16">
        <v>0.11688311688311701</v>
      </c>
      <c r="AF26">
        <v>77</v>
      </c>
      <c r="AG26" s="16">
        <v>0.11111111111111099</v>
      </c>
      <c r="AH26">
        <v>9</v>
      </c>
      <c r="AI26" s="16">
        <v>0.22222222222222199</v>
      </c>
      <c r="AJ26">
        <v>9</v>
      </c>
      <c r="AK26" s="16">
        <v>0.22222222222222199</v>
      </c>
      <c r="AL26">
        <v>9</v>
      </c>
      <c r="AM26" s="16">
        <v>0.44444444444444398</v>
      </c>
      <c r="AN26">
        <v>9</v>
      </c>
      <c r="AO26" s="16"/>
      <c r="AQ26" s="16"/>
      <c r="AR26" s="11"/>
    </row>
    <row r="27" spans="1:44" outlineLevel="1" x14ac:dyDescent="0.25">
      <c r="A27" s="6" t="s">
        <v>15</v>
      </c>
      <c r="B27" t="s">
        <v>33</v>
      </c>
      <c r="C27" s="16">
        <v>0.47035935919196398</v>
      </c>
      <c r="D27">
        <v>1269</v>
      </c>
      <c r="E27" s="16">
        <v>1.21691670742033E-2</v>
      </c>
      <c r="F27">
        <v>681</v>
      </c>
      <c r="G27" s="16">
        <v>2.95695024527322E-2</v>
      </c>
      <c r="H27">
        <v>681</v>
      </c>
      <c r="I27" s="16">
        <v>0.147539543717046</v>
      </c>
      <c r="J27">
        <v>681</v>
      </c>
      <c r="K27" s="16">
        <v>3.6251462237217397E-2</v>
      </c>
      <c r="L27">
        <v>681</v>
      </c>
      <c r="M27" s="16">
        <v>0.68452765176220698</v>
      </c>
      <c r="N27">
        <v>681</v>
      </c>
      <c r="O27" s="16">
        <v>8.9942672756593803E-2</v>
      </c>
      <c r="P27">
        <v>681</v>
      </c>
      <c r="Q27" s="16">
        <v>0.45928374804166899</v>
      </c>
      <c r="R27">
        <v>641</v>
      </c>
      <c r="S27" s="16">
        <v>1.13853319838229E-2</v>
      </c>
      <c r="T27">
        <v>334</v>
      </c>
      <c r="U27" s="16">
        <v>2.0309325900573601E-2</v>
      </c>
      <c r="V27">
        <v>334</v>
      </c>
      <c r="W27" s="16">
        <v>0.17568888175966799</v>
      </c>
      <c r="X27">
        <v>334</v>
      </c>
      <c r="Y27" s="16">
        <v>3.8046074760801601E-2</v>
      </c>
      <c r="Z27">
        <v>334</v>
      </c>
      <c r="AA27" s="16">
        <v>0.65115711877202398</v>
      </c>
      <c r="AB27">
        <v>334</v>
      </c>
      <c r="AC27" s="16">
        <v>0.10341326682311</v>
      </c>
      <c r="AD27">
        <v>334</v>
      </c>
      <c r="AE27" s="16">
        <v>0.48203831000359598</v>
      </c>
      <c r="AF27">
        <v>627</v>
      </c>
      <c r="AG27" s="16">
        <v>1.3032186062633601E-2</v>
      </c>
      <c r="AH27">
        <v>346</v>
      </c>
      <c r="AI27" s="16">
        <v>3.9471735428829098E-2</v>
      </c>
      <c r="AJ27">
        <v>346</v>
      </c>
      <c r="AK27" s="16">
        <v>0.115479098974685</v>
      </c>
      <c r="AL27">
        <v>346</v>
      </c>
      <c r="AM27" s="16">
        <v>3.4440288826328699E-2</v>
      </c>
      <c r="AN27">
        <v>346</v>
      </c>
      <c r="AO27" s="16">
        <v>0.72169697804872701</v>
      </c>
      <c r="AP27">
        <v>346</v>
      </c>
      <c r="AQ27" s="16">
        <v>7.5879712658796894E-2</v>
      </c>
      <c r="AR27" s="11">
        <v>346</v>
      </c>
    </row>
    <row r="28" spans="1:44" outlineLevel="1" x14ac:dyDescent="0.25">
      <c r="A28" s="6" t="s">
        <v>15</v>
      </c>
      <c r="B28" t="s">
        <v>34</v>
      </c>
      <c r="C28" s="16">
        <v>0.76511062296732402</v>
      </c>
      <c r="D28">
        <v>536</v>
      </c>
      <c r="E28" s="16"/>
      <c r="G28" s="16">
        <v>2.4573702100840901E-2</v>
      </c>
      <c r="H28">
        <v>446</v>
      </c>
      <c r="I28" s="16">
        <v>2.4573702100840901E-2</v>
      </c>
      <c r="J28">
        <v>446</v>
      </c>
      <c r="K28" s="16">
        <v>4.36064808829437E-2</v>
      </c>
      <c r="L28">
        <v>446</v>
      </c>
      <c r="M28" s="16">
        <v>0.84688961265822105</v>
      </c>
      <c r="N28">
        <v>446</v>
      </c>
      <c r="O28" s="16">
        <v>6.03565022571537E-2</v>
      </c>
      <c r="P28">
        <v>446</v>
      </c>
      <c r="Q28" s="16">
        <v>0.73904798389909698</v>
      </c>
      <c r="R28">
        <v>262</v>
      </c>
      <c r="S28" s="16"/>
      <c r="U28" s="16">
        <v>2.66732580063637E-2</v>
      </c>
      <c r="V28">
        <v>216</v>
      </c>
      <c r="W28" s="16">
        <v>2.4213386979773498E-2</v>
      </c>
      <c r="X28">
        <v>216</v>
      </c>
      <c r="Y28" s="16">
        <v>2.6707642457835402E-3</v>
      </c>
      <c r="Z28">
        <v>216</v>
      </c>
      <c r="AA28" s="16">
        <v>0.89225250187857896</v>
      </c>
      <c r="AB28">
        <v>216</v>
      </c>
      <c r="AC28" s="16">
        <v>5.41900888895007E-2</v>
      </c>
      <c r="AD28">
        <v>216</v>
      </c>
      <c r="AE28" s="16">
        <v>0.79116213625404697</v>
      </c>
      <c r="AF28">
        <v>274</v>
      </c>
      <c r="AG28" s="16"/>
      <c r="AI28" s="16">
        <v>2.2612923270769001E-2</v>
      </c>
      <c r="AJ28">
        <v>230</v>
      </c>
      <c r="AK28" s="16">
        <v>2.4910201005054498E-2</v>
      </c>
      <c r="AL28">
        <v>230</v>
      </c>
      <c r="AM28" s="16">
        <v>8.1836416253955602E-2</v>
      </c>
      <c r="AN28">
        <v>230</v>
      </c>
      <c r="AO28" s="16">
        <v>0.80452513328417796</v>
      </c>
      <c r="AP28">
        <v>230</v>
      </c>
      <c r="AQ28" s="16">
        <v>6.61153261860431E-2</v>
      </c>
      <c r="AR28" s="11">
        <v>230</v>
      </c>
    </row>
    <row r="29" spans="1:44" outlineLevel="1" x14ac:dyDescent="0.25">
      <c r="A29" s="6" t="s">
        <v>15</v>
      </c>
      <c r="B29" t="s">
        <v>35</v>
      </c>
      <c r="C29" s="16">
        <v>0.14838709677419401</v>
      </c>
      <c r="D29">
        <v>155</v>
      </c>
      <c r="E29" s="16"/>
      <c r="G29" s="16">
        <v>0.217391304347826</v>
      </c>
      <c r="H29">
        <v>23</v>
      </c>
      <c r="I29" s="16"/>
      <c r="K29" s="16">
        <v>0.565217391304348</v>
      </c>
      <c r="L29">
        <v>23</v>
      </c>
      <c r="M29" s="16"/>
      <c r="O29" s="16">
        <v>0.217391304347826</v>
      </c>
      <c r="P29">
        <v>23</v>
      </c>
      <c r="Q29" s="16">
        <v>0.13698630136986301</v>
      </c>
      <c r="R29">
        <v>73</v>
      </c>
      <c r="S29" s="16"/>
      <c r="U29" s="16">
        <v>0.2</v>
      </c>
      <c r="V29">
        <v>10</v>
      </c>
      <c r="W29" s="16"/>
      <c r="Y29" s="16">
        <v>0.6</v>
      </c>
      <c r="Z29">
        <v>10</v>
      </c>
      <c r="AA29" s="16"/>
      <c r="AC29" s="16">
        <v>0.2</v>
      </c>
      <c r="AD29">
        <v>10</v>
      </c>
      <c r="AE29" s="16">
        <v>0.15853658536585399</v>
      </c>
      <c r="AF29">
        <v>82</v>
      </c>
      <c r="AG29" s="16"/>
      <c r="AI29" s="16">
        <v>0.230769230769231</v>
      </c>
      <c r="AJ29">
        <v>13</v>
      </c>
      <c r="AK29" s="16"/>
      <c r="AM29" s="16">
        <v>0.53846153846153899</v>
      </c>
      <c r="AN29">
        <v>13</v>
      </c>
      <c r="AO29" s="16"/>
      <c r="AQ29" s="16">
        <v>0.230769230769231</v>
      </c>
      <c r="AR29" s="11">
        <v>13</v>
      </c>
    </row>
    <row r="30" spans="1:44" outlineLevel="1" x14ac:dyDescent="0.25">
      <c r="A30" s="6" t="s">
        <v>15</v>
      </c>
      <c r="B30" t="s">
        <v>36</v>
      </c>
      <c r="C30" s="16">
        <v>0.41335999778702398</v>
      </c>
      <c r="D30">
        <v>454</v>
      </c>
      <c r="E30" s="16">
        <v>7.3311758409739802E-2</v>
      </c>
      <c r="F30">
        <v>258</v>
      </c>
      <c r="G30" s="16">
        <v>1.69798515855028E-2</v>
      </c>
      <c r="H30">
        <v>258</v>
      </c>
      <c r="I30" s="16">
        <v>2.9863960887653002E-2</v>
      </c>
      <c r="J30">
        <v>258</v>
      </c>
      <c r="K30" s="16">
        <v>0.148881287541892</v>
      </c>
      <c r="L30">
        <v>258</v>
      </c>
      <c r="M30" s="16">
        <v>0.45191554475768098</v>
      </c>
      <c r="N30">
        <v>258</v>
      </c>
      <c r="O30" s="16">
        <v>0.279047596817531</v>
      </c>
      <c r="P30">
        <v>258</v>
      </c>
      <c r="Q30" s="16">
        <v>0.42331018002872101</v>
      </c>
      <c r="R30">
        <v>256</v>
      </c>
      <c r="S30" s="16">
        <v>5.4197180948938301E-2</v>
      </c>
      <c r="T30">
        <v>153</v>
      </c>
      <c r="U30" s="16">
        <v>3.1717165022440599E-3</v>
      </c>
      <c r="V30">
        <v>153</v>
      </c>
      <c r="W30" s="16">
        <v>1.8646923820020999E-3</v>
      </c>
      <c r="X30">
        <v>153</v>
      </c>
      <c r="Y30" s="16">
        <v>0.11325647771380599</v>
      </c>
      <c r="Z30">
        <v>153</v>
      </c>
      <c r="AA30" s="16">
        <v>0.42625884190296198</v>
      </c>
      <c r="AB30">
        <v>153</v>
      </c>
      <c r="AC30" s="16">
        <v>0.40125109055004798</v>
      </c>
      <c r="AD30">
        <v>153</v>
      </c>
      <c r="AE30" s="16">
        <v>0.40218116004987298</v>
      </c>
      <c r="AF30">
        <v>198</v>
      </c>
      <c r="AG30" s="16">
        <v>9.5335573716479799E-2</v>
      </c>
      <c r="AH30">
        <v>105</v>
      </c>
      <c r="AI30" s="16">
        <v>3.2889584219030703E-2</v>
      </c>
      <c r="AJ30">
        <v>105</v>
      </c>
      <c r="AK30" s="16">
        <v>6.2124716824155102E-2</v>
      </c>
      <c r="AL30">
        <v>105</v>
      </c>
      <c r="AM30" s="16">
        <v>0.18992819185356</v>
      </c>
      <c r="AN30">
        <v>105</v>
      </c>
      <c r="AO30" s="16">
        <v>0.48147719665456601</v>
      </c>
      <c r="AP30">
        <v>105</v>
      </c>
      <c r="AQ30" s="16">
        <v>0.138244736732208</v>
      </c>
      <c r="AR30" s="11">
        <v>105</v>
      </c>
    </row>
    <row r="31" spans="1:44" outlineLevel="1" x14ac:dyDescent="0.25">
      <c r="A31" s="6" t="s">
        <v>15</v>
      </c>
      <c r="B31" t="s">
        <v>37</v>
      </c>
      <c r="C31" s="16">
        <v>0.13828228736899401</v>
      </c>
      <c r="D31">
        <v>458</v>
      </c>
      <c r="E31" s="16">
        <v>5.0112534800533903E-2</v>
      </c>
      <c r="F31">
        <v>147</v>
      </c>
      <c r="G31" s="16">
        <v>0.22536303498975799</v>
      </c>
      <c r="H31">
        <v>147</v>
      </c>
      <c r="I31" s="16">
        <v>0.182250399915033</v>
      </c>
      <c r="J31">
        <v>147</v>
      </c>
      <c r="K31" s="16">
        <v>0.18703511289795999</v>
      </c>
      <c r="L31">
        <v>147</v>
      </c>
      <c r="M31" s="16">
        <v>7.3188805913373303E-2</v>
      </c>
      <c r="N31">
        <v>147</v>
      </c>
      <c r="O31" s="16">
        <v>0.28205011148334203</v>
      </c>
      <c r="P31">
        <v>147</v>
      </c>
      <c r="Q31" s="16">
        <v>0.121327097063641</v>
      </c>
      <c r="R31">
        <v>216</v>
      </c>
      <c r="S31" s="16">
        <v>6.1398396528976398E-3</v>
      </c>
      <c r="T31">
        <v>69</v>
      </c>
      <c r="U31" s="16">
        <v>0.100678574756748</v>
      </c>
      <c r="V31">
        <v>69</v>
      </c>
      <c r="W31" s="16">
        <v>0.298965804443795</v>
      </c>
      <c r="X31">
        <v>69</v>
      </c>
      <c r="Y31" s="16">
        <v>0.30553308038140797</v>
      </c>
      <c r="Z31">
        <v>69</v>
      </c>
      <c r="AA31" s="16">
        <v>8.6385191425282101E-2</v>
      </c>
      <c r="AB31">
        <v>69</v>
      </c>
      <c r="AC31" s="16">
        <v>0.20229750933986901</v>
      </c>
      <c r="AD31">
        <v>69</v>
      </c>
      <c r="AE31" s="16">
        <v>0.15663281677344401</v>
      </c>
      <c r="AF31">
        <v>242</v>
      </c>
      <c r="AG31" s="16">
        <v>8.6976671067497596E-2</v>
      </c>
      <c r="AH31">
        <v>78</v>
      </c>
      <c r="AI31" s="16">
        <v>0.32989119540772499</v>
      </c>
      <c r="AJ31">
        <v>78</v>
      </c>
      <c r="AK31" s="16">
        <v>8.4403029801459695E-2</v>
      </c>
      <c r="AL31">
        <v>78</v>
      </c>
      <c r="AM31" s="16">
        <v>8.7693346240228495E-2</v>
      </c>
      <c r="AN31">
        <v>78</v>
      </c>
      <c r="AO31" s="16">
        <v>6.2125727971275801E-2</v>
      </c>
      <c r="AP31">
        <v>78</v>
      </c>
      <c r="AQ31" s="16">
        <v>0.34891002951181399</v>
      </c>
      <c r="AR31" s="11">
        <v>78</v>
      </c>
    </row>
    <row r="32" spans="1:44" outlineLevel="1" x14ac:dyDescent="0.25">
      <c r="A32" s="6" t="s">
        <v>15</v>
      </c>
      <c r="B32" t="s">
        <v>38</v>
      </c>
      <c r="C32" s="16">
        <v>0.25829867188309302</v>
      </c>
      <c r="D32">
        <v>333</v>
      </c>
      <c r="E32" s="16">
        <v>1.7266282888561101E-2</v>
      </c>
      <c r="F32">
        <v>116</v>
      </c>
      <c r="G32" s="16">
        <v>0.10359769733136701</v>
      </c>
      <c r="H32">
        <v>116</v>
      </c>
      <c r="I32" s="16">
        <v>0.28378279751957503</v>
      </c>
      <c r="J32">
        <v>116</v>
      </c>
      <c r="K32" s="16">
        <v>8.0292972524397405E-2</v>
      </c>
      <c r="L32">
        <v>116</v>
      </c>
      <c r="M32" s="16">
        <v>0.31412556092674498</v>
      </c>
      <c r="N32">
        <v>116</v>
      </c>
      <c r="O32" s="16">
        <v>0.200934688809356</v>
      </c>
      <c r="P32">
        <v>116</v>
      </c>
      <c r="Q32" s="16">
        <v>0.30783882355777997</v>
      </c>
      <c r="R32">
        <v>160</v>
      </c>
      <c r="S32" s="16">
        <v>2.9201393393456902E-2</v>
      </c>
      <c r="T32">
        <v>57</v>
      </c>
      <c r="U32" s="16">
        <v>0.14600696696728399</v>
      </c>
      <c r="V32">
        <v>57</v>
      </c>
      <c r="W32" s="16">
        <v>0.32121532732802599</v>
      </c>
      <c r="X32">
        <v>57</v>
      </c>
      <c r="Y32" s="16">
        <v>6.6884087401804404E-2</v>
      </c>
      <c r="Z32">
        <v>57</v>
      </c>
      <c r="AA32" s="16">
        <v>0.31361965117653101</v>
      </c>
      <c r="AB32">
        <v>57</v>
      </c>
      <c r="AC32" s="16">
        <v>0.123072573732898</v>
      </c>
      <c r="AD32">
        <v>57</v>
      </c>
      <c r="AE32" s="16">
        <v>0.20978948853708701</v>
      </c>
      <c r="AF32">
        <v>172</v>
      </c>
      <c r="AG32" s="16"/>
      <c r="AI32" s="16">
        <v>4.22450650008446E-2</v>
      </c>
      <c r="AJ32">
        <v>59</v>
      </c>
      <c r="AK32" s="16">
        <v>0.22962991400483099</v>
      </c>
      <c r="AL32">
        <v>59</v>
      </c>
      <c r="AM32" s="16">
        <v>9.9691335334020303E-2</v>
      </c>
      <c r="AN32">
        <v>59</v>
      </c>
      <c r="AO32" s="16">
        <v>0.31485745032648599</v>
      </c>
      <c r="AP32">
        <v>59</v>
      </c>
      <c r="AQ32" s="16">
        <v>0.31357623533381801</v>
      </c>
      <c r="AR32" s="11">
        <v>59</v>
      </c>
    </row>
    <row r="33" spans="1:44" outlineLevel="1" x14ac:dyDescent="0.25">
      <c r="A33" s="7" t="s">
        <v>15</v>
      </c>
      <c r="B33" s="9" t="s">
        <v>39</v>
      </c>
      <c r="C33" s="15">
        <v>0.128630654446308</v>
      </c>
      <c r="D33" s="9">
        <v>465</v>
      </c>
      <c r="E33" s="15">
        <v>0.192464612556386</v>
      </c>
      <c r="F33" s="9">
        <v>155</v>
      </c>
      <c r="G33" s="15">
        <v>0.17642540092898201</v>
      </c>
      <c r="H33" s="9">
        <v>155</v>
      </c>
      <c r="I33" s="15">
        <v>0.175574845907702</v>
      </c>
      <c r="J33" s="9">
        <v>155</v>
      </c>
      <c r="K33" s="15">
        <v>0.24459136932355199</v>
      </c>
      <c r="L33" s="9">
        <v>155</v>
      </c>
      <c r="M33" s="15"/>
      <c r="N33" s="9"/>
      <c r="O33" s="15">
        <v>0.21094377128337799</v>
      </c>
      <c r="P33" s="9">
        <v>155</v>
      </c>
      <c r="Q33" s="15">
        <v>0.13698400418600101</v>
      </c>
      <c r="R33" s="9">
        <v>215</v>
      </c>
      <c r="S33" s="15">
        <v>0.18982673585975901</v>
      </c>
      <c r="T33" s="9">
        <v>65</v>
      </c>
      <c r="U33" s="15">
        <v>0.122738100157643</v>
      </c>
      <c r="V33" s="9">
        <v>65</v>
      </c>
      <c r="W33" s="15">
        <v>0.19975813983104701</v>
      </c>
      <c r="X33" s="9">
        <v>65</v>
      </c>
      <c r="Y33" s="15">
        <v>0.28474010378963899</v>
      </c>
      <c r="Z33" s="9">
        <v>65</v>
      </c>
      <c r="AA33" s="15"/>
      <c r="AB33" s="9"/>
      <c r="AC33" s="15">
        <v>0.20293692036191199</v>
      </c>
      <c r="AD33" s="9">
        <v>65</v>
      </c>
      <c r="AE33" s="15">
        <v>0.12104145714616001</v>
      </c>
      <c r="AF33" s="9">
        <v>250</v>
      </c>
      <c r="AG33" s="15">
        <v>0.19517683548812201</v>
      </c>
      <c r="AH33" s="9">
        <v>90</v>
      </c>
      <c r="AI33" s="15">
        <v>0.231625831063282</v>
      </c>
      <c r="AJ33" s="9">
        <v>90</v>
      </c>
      <c r="AK33" s="15">
        <v>0.15070996711041501</v>
      </c>
      <c r="AL33" s="9">
        <v>90</v>
      </c>
      <c r="AM33" s="15">
        <v>0.20331107808084301</v>
      </c>
      <c r="AN33" s="9">
        <v>90</v>
      </c>
      <c r="AO33" s="15"/>
      <c r="AP33" s="9"/>
      <c r="AQ33" s="15">
        <v>0.21917628825733801</v>
      </c>
      <c r="AR33" s="12">
        <v>90</v>
      </c>
    </row>
    <row r="34" spans="1:44" x14ac:dyDescent="0.25">
      <c r="C34" s="16"/>
      <c r="E34" s="16"/>
      <c r="G34" s="16"/>
      <c r="I34" s="16"/>
      <c r="K34" s="16"/>
      <c r="M34" s="16"/>
      <c r="O34" s="16"/>
      <c r="Q34" s="16"/>
      <c r="S34" s="16"/>
      <c r="U34" s="16"/>
      <c r="W34" s="16"/>
      <c r="Y34" s="16"/>
      <c r="AA34" s="16"/>
      <c r="AC34" s="16"/>
      <c r="AE34" s="16"/>
      <c r="AG34" s="16"/>
      <c r="AI34" s="16"/>
      <c r="AK34" s="16"/>
      <c r="AM34" s="16"/>
      <c r="AO34" s="16"/>
      <c r="AQ34" s="16"/>
    </row>
    <row r="35" spans="1:44" x14ac:dyDescent="0.25">
      <c r="A35" s="19" t="s">
        <v>40</v>
      </c>
      <c r="B35" s="19"/>
      <c r="C35" s="20"/>
      <c r="D35" s="19"/>
      <c r="E35" s="20"/>
      <c r="F35" s="19"/>
      <c r="G35" s="20"/>
      <c r="H35" s="19"/>
      <c r="I35" s="20"/>
      <c r="J35" s="19"/>
      <c r="K35" s="20"/>
      <c r="L35" s="19"/>
      <c r="M35" s="20"/>
      <c r="N35" s="19"/>
      <c r="O35" s="20"/>
      <c r="P35" s="19"/>
      <c r="Q35" s="20"/>
      <c r="R35" s="19"/>
      <c r="S35" s="20"/>
      <c r="T35" s="19"/>
      <c r="U35" s="20"/>
      <c r="V35" s="19"/>
      <c r="W35" s="20"/>
      <c r="X35" s="19"/>
      <c r="Y35" s="20"/>
      <c r="Z35" s="19"/>
      <c r="AA35" s="20"/>
      <c r="AB35" s="19"/>
      <c r="AC35" s="20"/>
      <c r="AD35" s="19"/>
      <c r="AE35" s="20"/>
      <c r="AF35" s="19"/>
      <c r="AG35" s="20"/>
      <c r="AH35" s="19"/>
      <c r="AI35" s="20"/>
      <c r="AJ35" s="19"/>
      <c r="AK35" s="20"/>
      <c r="AL35" s="19"/>
      <c r="AM35" s="20"/>
      <c r="AN35" s="19"/>
      <c r="AO35" s="20"/>
      <c r="AP35" s="19"/>
      <c r="AQ35" s="20"/>
      <c r="AR35" s="19"/>
    </row>
    <row r="36" spans="1:44" outlineLevel="1" x14ac:dyDescent="0.25">
      <c r="A36" s="5" t="s">
        <v>15</v>
      </c>
      <c r="B36" s="8" t="s">
        <v>41</v>
      </c>
      <c r="C36" s="14">
        <v>7.5884439104733303E-2</v>
      </c>
      <c r="D36" s="8">
        <v>131</v>
      </c>
      <c r="E36" s="14">
        <v>0.215621564292058</v>
      </c>
      <c r="F36" s="8">
        <v>9</v>
      </c>
      <c r="G36" s="14">
        <v>0.115782707645661</v>
      </c>
      <c r="H36" s="8">
        <v>9</v>
      </c>
      <c r="I36" s="14">
        <v>0.1044726103826</v>
      </c>
      <c r="J36" s="8">
        <v>9</v>
      </c>
      <c r="K36" s="14">
        <v>0.21347095992317</v>
      </c>
      <c r="L36" s="8">
        <v>9</v>
      </c>
      <c r="M36" s="14"/>
      <c r="N36" s="8"/>
      <c r="O36" s="14">
        <v>0.35065215775650999</v>
      </c>
      <c r="P36" s="8">
        <v>9</v>
      </c>
      <c r="Q36" s="14">
        <v>5.7847848776157E-2</v>
      </c>
      <c r="R36" s="8">
        <v>66</v>
      </c>
      <c r="S36" s="14">
        <v>0.251347756470715</v>
      </c>
      <c r="T36" s="8">
        <v>4</v>
      </c>
      <c r="U36" s="14"/>
      <c r="V36" s="8"/>
      <c r="W36" s="14">
        <v>0.24356521406864601</v>
      </c>
      <c r="X36" s="8">
        <v>4</v>
      </c>
      <c r="Y36" s="14">
        <v>0.249859296418041</v>
      </c>
      <c r="Z36" s="8">
        <v>4</v>
      </c>
      <c r="AA36" s="14"/>
      <c r="AB36" s="8"/>
      <c r="AC36" s="14">
        <v>0.25522773304259799</v>
      </c>
      <c r="AD36" s="8">
        <v>4</v>
      </c>
      <c r="AE36" s="14">
        <v>9.4206824229116498E-2</v>
      </c>
      <c r="AF36" s="8">
        <v>65</v>
      </c>
      <c r="AG36" s="14">
        <v>0.18878758134096299</v>
      </c>
      <c r="AH36" s="8">
        <v>5</v>
      </c>
      <c r="AI36" s="14">
        <v>0.20274722901022299</v>
      </c>
      <c r="AJ36" s="8">
        <v>5</v>
      </c>
      <c r="AK36" s="14"/>
      <c r="AL36" s="8"/>
      <c r="AM36" s="14">
        <v>0.186139639634707</v>
      </c>
      <c r="AN36" s="8">
        <v>5</v>
      </c>
      <c r="AO36" s="14"/>
      <c r="AP36" s="8"/>
      <c r="AQ36" s="14">
        <v>0.42232555001410599</v>
      </c>
      <c r="AR36" s="10">
        <v>5</v>
      </c>
    </row>
    <row r="37" spans="1:44" outlineLevel="1" x14ac:dyDescent="0.25">
      <c r="A37" s="6" t="s">
        <v>15</v>
      </c>
      <c r="B37" t="s">
        <v>42</v>
      </c>
      <c r="C37" s="16">
        <v>0.29680365296803701</v>
      </c>
      <c r="D37">
        <v>219</v>
      </c>
      <c r="E37" s="16">
        <v>3.0769230769230799E-2</v>
      </c>
      <c r="F37">
        <v>65</v>
      </c>
      <c r="G37" s="16">
        <v>3.0769230769230799E-2</v>
      </c>
      <c r="H37">
        <v>65</v>
      </c>
      <c r="I37" s="16">
        <v>1.5384615384615399E-2</v>
      </c>
      <c r="J37">
        <v>65</v>
      </c>
      <c r="K37" s="16">
        <v>0.261538461538462</v>
      </c>
      <c r="L37">
        <v>65</v>
      </c>
      <c r="M37" s="16">
        <v>0.44615384615384601</v>
      </c>
      <c r="N37">
        <v>65</v>
      </c>
      <c r="O37" s="16">
        <v>0.21538461538461501</v>
      </c>
      <c r="P37">
        <v>65</v>
      </c>
      <c r="Q37" s="16">
        <v>0.3</v>
      </c>
      <c r="R37">
        <v>110</v>
      </c>
      <c r="S37" s="16">
        <v>3.03030303030303E-2</v>
      </c>
      <c r="T37">
        <v>33</v>
      </c>
      <c r="U37" s="16"/>
      <c r="W37" s="16">
        <v>3.03030303030303E-2</v>
      </c>
      <c r="X37">
        <v>33</v>
      </c>
      <c r="Y37" s="16">
        <v>0.27272727272727298</v>
      </c>
      <c r="Z37">
        <v>33</v>
      </c>
      <c r="AA37" s="16">
        <v>0.36363636363636398</v>
      </c>
      <c r="AB37">
        <v>33</v>
      </c>
      <c r="AC37" s="16">
        <v>0.30303030303030298</v>
      </c>
      <c r="AD37">
        <v>33</v>
      </c>
      <c r="AE37" s="16">
        <v>0.293577981651376</v>
      </c>
      <c r="AF37">
        <v>109</v>
      </c>
      <c r="AG37" s="16">
        <v>3.125E-2</v>
      </c>
      <c r="AH37">
        <v>32</v>
      </c>
      <c r="AI37" s="16">
        <v>6.25E-2</v>
      </c>
      <c r="AJ37">
        <v>32</v>
      </c>
      <c r="AK37" s="16"/>
      <c r="AM37" s="16">
        <v>0.25</v>
      </c>
      <c r="AN37">
        <v>32</v>
      </c>
      <c r="AO37" s="16">
        <v>0.53125</v>
      </c>
      <c r="AP37">
        <v>32</v>
      </c>
      <c r="AQ37" s="16">
        <v>0.125</v>
      </c>
      <c r="AR37" s="11">
        <v>32</v>
      </c>
    </row>
    <row r="38" spans="1:44" outlineLevel="1" x14ac:dyDescent="0.25">
      <c r="A38" s="6" t="s">
        <v>15</v>
      </c>
      <c r="B38" t="s">
        <v>43</v>
      </c>
      <c r="C38" s="16">
        <v>0.212389380530973</v>
      </c>
      <c r="D38">
        <v>226</v>
      </c>
      <c r="E38" s="16">
        <v>2.0833333333333301E-2</v>
      </c>
      <c r="F38">
        <v>48</v>
      </c>
      <c r="G38" s="16">
        <v>2.0833333333333301E-2</v>
      </c>
      <c r="H38">
        <v>48</v>
      </c>
      <c r="I38" s="16">
        <v>0.1875</v>
      </c>
      <c r="J38">
        <v>48</v>
      </c>
      <c r="K38" s="16">
        <v>0.45833333333333298</v>
      </c>
      <c r="L38">
        <v>48</v>
      </c>
      <c r="M38" s="16">
        <v>0.14583333333333301</v>
      </c>
      <c r="N38">
        <v>48</v>
      </c>
      <c r="O38" s="16">
        <v>0.16666666666666699</v>
      </c>
      <c r="P38">
        <v>48</v>
      </c>
      <c r="Q38" s="16">
        <v>0.18699186991869901</v>
      </c>
      <c r="R38">
        <v>123</v>
      </c>
      <c r="S38" s="16">
        <v>4.3478260869565202E-2</v>
      </c>
      <c r="T38">
        <v>23</v>
      </c>
      <c r="U38" s="16"/>
      <c r="W38" s="16">
        <v>0.217391304347826</v>
      </c>
      <c r="X38">
        <v>23</v>
      </c>
      <c r="Y38" s="16">
        <v>0.30434782608695699</v>
      </c>
      <c r="Z38">
        <v>23</v>
      </c>
      <c r="AA38" s="16">
        <v>0.26086956521739102</v>
      </c>
      <c r="AB38">
        <v>23</v>
      </c>
      <c r="AC38" s="16">
        <v>0.173913043478261</v>
      </c>
      <c r="AD38">
        <v>23</v>
      </c>
      <c r="AE38" s="16">
        <v>0.242718446601942</v>
      </c>
      <c r="AF38">
        <v>103</v>
      </c>
      <c r="AG38" s="16"/>
      <c r="AI38" s="16">
        <v>0.04</v>
      </c>
      <c r="AJ38">
        <v>25</v>
      </c>
      <c r="AK38" s="16">
        <v>0.16</v>
      </c>
      <c r="AL38">
        <v>25</v>
      </c>
      <c r="AM38" s="16">
        <v>0.6</v>
      </c>
      <c r="AN38">
        <v>25</v>
      </c>
      <c r="AO38" s="16">
        <v>0.04</v>
      </c>
      <c r="AP38">
        <v>25</v>
      </c>
      <c r="AQ38" s="16">
        <v>0.16</v>
      </c>
      <c r="AR38" s="11">
        <v>25</v>
      </c>
    </row>
    <row r="39" spans="1:44" outlineLevel="1" x14ac:dyDescent="0.25">
      <c r="A39" s="6" t="s">
        <v>15</v>
      </c>
      <c r="B39" t="s">
        <v>44</v>
      </c>
      <c r="C39" s="16">
        <v>0.45544554455445502</v>
      </c>
      <c r="D39">
        <v>101</v>
      </c>
      <c r="E39" s="16"/>
      <c r="G39" s="16">
        <v>6.5217391304347797E-2</v>
      </c>
      <c r="H39">
        <v>46</v>
      </c>
      <c r="I39" s="16">
        <v>0.23913043478260901</v>
      </c>
      <c r="J39">
        <v>46</v>
      </c>
      <c r="K39" s="16">
        <v>0.173913043478261</v>
      </c>
      <c r="L39">
        <v>46</v>
      </c>
      <c r="M39" s="16">
        <v>0.41304347826087001</v>
      </c>
      <c r="N39">
        <v>46</v>
      </c>
      <c r="O39" s="16">
        <v>0.108695652173913</v>
      </c>
      <c r="P39">
        <v>46</v>
      </c>
      <c r="Q39" s="16">
        <v>0.38596491228070201</v>
      </c>
      <c r="R39">
        <v>57</v>
      </c>
      <c r="S39" s="16"/>
      <c r="U39" s="16"/>
      <c r="W39" s="16">
        <v>0.31818181818181801</v>
      </c>
      <c r="X39">
        <v>22</v>
      </c>
      <c r="Y39" s="16">
        <v>0.22727272727272699</v>
      </c>
      <c r="Z39">
        <v>22</v>
      </c>
      <c r="AA39" s="16">
        <v>0.40909090909090901</v>
      </c>
      <c r="AB39">
        <v>22</v>
      </c>
      <c r="AC39" s="16">
        <v>4.5454545454545497E-2</v>
      </c>
      <c r="AD39">
        <v>22</v>
      </c>
      <c r="AE39" s="16">
        <v>0.54545454545454497</v>
      </c>
      <c r="AF39">
        <v>44</v>
      </c>
      <c r="AG39" s="16"/>
      <c r="AI39" s="16">
        <v>0.125</v>
      </c>
      <c r="AJ39">
        <v>24</v>
      </c>
      <c r="AK39" s="16">
        <v>0.16666666666666699</v>
      </c>
      <c r="AL39">
        <v>24</v>
      </c>
      <c r="AM39" s="16">
        <v>0.125</v>
      </c>
      <c r="AN39">
        <v>24</v>
      </c>
      <c r="AO39" s="16">
        <v>0.41666666666666702</v>
      </c>
      <c r="AP39">
        <v>24</v>
      </c>
      <c r="AQ39" s="16">
        <v>0.16666666666666699</v>
      </c>
      <c r="AR39" s="11">
        <v>24</v>
      </c>
    </row>
    <row r="40" spans="1:44" outlineLevel="1" x14ac:dyDescent="0.25">
      <c r="A40" s="6" t="s">
        <v>15</v>
      </c>
      <c r="B40" t="s">
        <v>45</v>
      </c>
      <c r="C40" s="16">
        <v>0.183442506908327</v>
      </c>
      <c r="D40">
        <v>126</v>
      </c>
      <c r="E40" s="16"/>
      <c r="G40" s="16">
        <v>0.26345946295443201</v>
      </c>
      <c r="H40">
        <v>23</v>
      </c>
      <c r="I40" s="16">
        <v>0.12911016151566501</v>
      </c>
      <c r="J40">
        <v>23</v>
      </c>
      <c r="K40" s="16">
        <v>0.17520792051352199</v>
      </c>
      <c r="L40">
        <v>23</v>
      </c>
      <c r="M40" s="16"/>
      <c r="O40" s="16">
        <v>0.43222245501638001</v>
      </c>
      <c r="P40">
        <v>23</v>
      </c>
      <c r="Q40" s="16">
        <v>0.164302045373596</v>
      </c>
      <c r="R40">
        <v>61</v>
      </c>
      <c r="S40" s="16"/>
      <c r="U40" s="16">
        <v>0.30456888274253902</v>
      </c>
      <c r="V40">
        <v>10</v>
      </c>
      <c r="W40" s="16">
        <v>0.29666712682744301</v>
      </c>
      <c r="X40">
        <v>10</v>
      </c>
      <c r="Y40" s="16"/>
      <c r="AA40" s="16"/>
      <c r="AC40" s="16">
        <v>0.39876399043001798</v>
      </c>
      <c r="AD40">
        <v>10</v>
      </c>
      <c r="AE40" s="16">
        <v>0.20153314366658401</v>
      </c>
      <c r="AF40">
        <v>65</v>
      </c>
      <c r="AG40" s="16"/>
      <c r="AI40" s="16">
        <v>0.231782810069357</v>
      </c>
      <c r="AJ40">
        <v>13</v>
      </c>
      <c r="AK40" s="16"/>
      <c r="AM40" s="16">
        <v>0.310213486377245</v>
      </c>
      <c r="AN40">
        <v>13</v>
      </c>
      <c r="AO40" s="16"/>
      <c r="AQ40" s="16">
        <v>0.45800370355339798</v>
      </c>
      <c r="AR40" s="11">
        <v>13</v>
      </c>
    </row>
    <row r="41" spans="1:44" outlineLevel="1" x14ac:dyDescent="0.25">
      <c r="A41" s="6" t="s">
        <v>15</v>
      </c>
      <c r="B41" t="s">
        <v>46</v>
      </c>
      <c r="C41" s="16">
        <v>0.67045454545454497</v>
      </c>
      <c r="D41">
        <v>264</v>
      </c>
      <c r="E41" s="16">
        <v>5.6497175141242903E-3</v>
      </c>
      <c r="F41">
        <v>177</v>
      </c>
      <c r="G41" s="16">
        <v>5.6497175141242903E-3</v>
      </c>
      <c r="H41">
        <v>177</v>
      </c>
      <c r="I41" s="16">
        <v>6.7796610169491497E-2</v>
      </c>
      <c r="J41">
        <v>177</v>
      </c>
      <c r="K41" s="16">
        <v>2.2598870056497199E-2</v>
      </c>
      <c r="L41">
        <v>177</v>
      </c>
      <c r="M41" s="16">
        <v>0.85310734463276805</v>
      </c>
      <c r="N41">
        <v>177</v>
      </c>
      <c r="O41" s="16">
        <v>4.5197740112994399E-2</v>
      </c>
      <c r="P41">
        <v>177</v>
      </c>
      <c r="Q41" s="16">
        <v>0.678832116788321</v>
      </c>
      <c r="R41">
        <v>137</v>
      </c>
      <c r="S41" s="16">
        <v>1.0752688172042999E-2</v>
      </c>
      <c r="T41">
        <v>93</v>
      </c>
      <c r="U41" s="16">
        <v>1.0752688172042999E-2</v>
      </c>
      <c r="V41">
        <v>93</v>
      </c>
      <c r="W41" s="16">
        <v>4.3010752688171998E-2</v>
      </c>
      <c r="X41">
        <v>93</v>
      </c>
      <c r="Y41" s="16">
        <v>3.2258064516128997E-2</v>
      </c>
      <c r="Z41">
        <v>93</v>
      </c>
      <c r="AA41" s="16">
        <v>0.84946236559139798</v>
      </c>
      <c r="AB41">
        <v>93</v>
      </c>
      <c r="AC41" s="16">
        <v>5.3763440860214999E-2</v>
      </c>
      <c r="AD41">
        <v>93</v>
      </c>
      <c r="AE41" s="16">
        <v>0.66141732283464605</v>
      </c>
      <c r="AF41">
        <v>127</v>
      </c>
      <c r="AG41" s="16"/>
      <c r="AI41" s="16"/>
      <c r="AK41" s="16">
        <v>9.5238095238095205E-2</v>
      </c>
      <c r="AL41">
        <v>84</v>
      </c>
      <c r="AM41" s="16">
        <v>1.1904761904761901E-2</v>
      </c>
      <c r="AN41">
        <v>84</v>
      </c>
      <c r="AO41" s="16">
        <v>0.85714285714285698</v>
      </c>
      <c r="AP41">
        <v>84</v>
      </c>
      <c r="AQ41" s="16">
        <v>3.5714285714285698E-2</v>
      </c>
      <c r="AR41" s="11">
        <v>84</v>
      </c>
    </row>
    <row r="42" spans="1:44" outlineLevel="1" x14ac:dyDescent="0.25">
      <c r="A42" s="6" t="s">
        <v>15</v>
      </c>
      <c r="B42" t="s">
        <v>47</v>
      </c>
      <c r="C42" s="16">
        <v>0.66193181818181801</v>
      </c>
      <c r="D42">
        <v>352</v>
      </c>
      <c r="E42" s="16">
        <v>8.58369098712446E-3</v>
      </c>
      <c r="F42">
        <v>233</v>
      </c>
      <c r="G42" s="16"/>
      <c r="I42" s="16">
        <v>6.0085836909871203E-2</v>
      </c>
      <c r="J42">
        <v>233</v>
      </c>
      <c r="K42" s="16">
        <v>1.28755364806867E-2</v>
      </c>
      <c r="L42">
        <v>233</v>
      </c>
      <c r="M42" s="16">
        <v>0.63948497854077302</v>
      </c>
      <c r="N42">
        <v>233</v>
      </c>
      <c r="O42" s="16">
        <v>0.27896995708154498</v>
      </c>
      <c r="P42">
        <v>233</v>
      </c>
      <c r="Q42" s="16">
        <v>0.655555555555556</v>
      </c>
      <c r="R42">
        <v>180</v>
      </c>
      <c r="S42" s="16">
        <v>1.6949152542372899E-2</v>
      </c>
      <c r="T42">
        <v>118</v>
      </c>
      <c r="U42" s="16"/>
      <c r="W42" s="16">
        <v>7.6271186440677999E-2</v>
      </c>
      <c r="X42">
        <v>118</v>
      </c>
      <c r="Y42" s="16"/>
      <c r="AA42" s="16">
        <v>0.69491525423728795</v>
      </c>
      <c r="AB42">
        <v>118</v>
      </c>
      <c r="AC42" s="16">
        <v>0.21186440677966101</v>
      </c>
      <c r="AD42">
        <v>118</v>
      </c>
      <c r="AE42" s="16">
        <v>0.668604651162791</v>
      </c>
      <c r="AF42">
        <v>172</v>
      </c>
      <c r="AG42" s="16"/>
      <c r="AI42" s="16"/>
      <c r="AK42" s="16">
        <v>4.3478260869565202E-2</v>
      </c>
      <c r="AL42">
        <v>115</v>
      </c>
      <c r="AM42" s="16">
        <v>2.6086956521739101E-2</v>
      </c>
      <c r="AN42">
        <v>115</v>
      </c>
      <c r="AO42" s="16">
        <v>0.58260869565217399</v>
      </c>
      <c r="AP42">
        <v>115</v>
      </c>
      <c r="AQ42" s="16">
        <v>0.34782608695652201</v>
      </c>
      <c r="AR42" s="11">
        <v>115</v>
      </c>
    </row>
    <row r="43" spans="1:44" outlineLevel="1" x14ac:dyDescent="0.25">
      <c r="A43" s="6" t="s">
        <v>15</v>
      </c>
      <c r="B43" t="s">
        <v>48</v>
      </c>
      <c r="C43" s="16">
        <v>0.57499999999999996</v>
      </c>
      <c r="D43">
        <v>160</v>
      </c>
      <c r="E43" s="16">
        <v>3.2608695652173898E-2</v>
      </c>
      <c r="F43">
        <v>92</v>
      </c>
      <c r="G43" s="16"/>
      <c r="I43" s="16"/>
      <c r="K43" s="16">
        <v>4.3478260869565202E-2</v>
      </c>
      <c r="L43">
        <v>92</v>
      </c>
      <c r="M43" s="16">
        <v>0.84782608695652195</v>
      </c>
      <c r="N43">
        <v>92</v>
      </c>
      <c r="O43" s="16">
        <v>7.6086956521739094E-2</v>
      </c>
      <c r="P43">
        <v>92</v>
      </c>
      <c r="Q43" s="16">
        <v>0.530120481927711</v>
      </c>
      <c r="R43">
        <v>83</v>
      </c>
      <c r="S43" s="16">
        <v>6.8181818181818205E-2</v>
      </c>
      <c r="T43">
        <v>44</v>
      </c>
      <c r="U43" s="16"/>
      <c r="W43" s="16"/>
      <c r="Y43" s="16">
        <v>2.27272727272727E-2</v>
      </c>
      <c r="Z43">
        <v>44</v>
      </c>
      <c r="AA43" s="16">
        <v>0.86363636363636398</v>
      </c>
      <c r="AB43">
        <v>44</v>
      </c>
      <c r="AC43" s="16">
        <v>4.5454545454545497E-2</v>
      </c>
      <c r="AD43">
        <v>44</v>
      </c>
      <c r="AE43" s="16">
        <v>0.62337662337662303</v>
      </c>
      <c r="AF43">
        <v>77</v>
      </c>
      <c r="AG43" s="16"/>
      <c r="AI43" s="16"/>
      <c r="AK43" s="16"/>
      <c r="AM43" s="16">
        <v>6.25E-2</v>
      </c>
      <c r="AN43">
        <v>48</v>
      </c>
      <c r="AO43" s="16">
        <v>0.83333333333333304</v>
      </c>
      <c r="AP43">
        <v>48</v>
      </c>
      <c r="AQ43" s="16">
        <v>0.104166666666667</v>
      </c>
      <c r="AR43" s="11">
        <v>48</v>
      </c>
    </row>
    <row r="44" spans="1:44" outlineLevel="1" x14ac:dyDescent="0.25">
      <c r="A44" s="6" t="s">
        <v>15</v>
      </c>
      <c r="B44" t="s">
        <v>49</v>
      </c>
      <c r="C44" s="16">
        <v>0.27843137254902001</v>
      </c>
      <c r="D44">
        <v>255</v>
      </c>
      <c r="E44" s="16"/>
      <c r="G44" s="16"/>
      <c r="I44" s="16">
        <v>7.0422535211267595E-2</v>
      </c>
      <c r="J44">
        <v>71</v>
      </c>
      <c r="K44" s="16">
        <v>0.183098591549296</v>
      </c>
      <c r="L44">
        <v>71</v>
      </c>
      <c r="M44" s="16">
        <v>0.22535211267605601</v>
      </c>
      <c r="N44">
        <v>71</v>
      </c>
      <c r="O44" s="16">
        <v>0.52112676056338003</v>
      </c>
      <c r="P44">
        <v>71</v>
      </c>
      <c r="Q44" s="16">
        <v>0.22727272727272699</v>
      </c>
      <c r="R44">
        <v>132</v>
      </c>
      <c r="S44" s="16"/>
      <c r="U44" s="16"/>
      <c r="W44" s="16">
        <v>3.3333333333333298E-2</v>
      </c>
      <c r="X44">
        <v>30</v>
      </c>
      <c r="Y44" s="16">
        <v>0.133333333333333</v>
      </c>
      <c r="Z44">
        <v>30</v>
      </c>
      <c r="AA44" s="16">
        <v>0.266666666666667</v>
      </c>
      <c r="AB44">
        <v>30</v>
      </c>
      <c r="AC44" s="16">
        <v>0.56666666666666698</v>
      </c>
      <c r="AD44">
        <v>30</v>
      </c>
      <c r="AE44" s="16">
        <v>0.33333333333333298</v>
      </c>
      <c r="AF44">
        <v>123</v>
      </c>
      <c r="AG44" s="16"/>
      <c r="AI44" s="16"/>
      <c r="AK44" s="16">
        <v>9.7560975609756101E-2</v>
      </c>
      <c r="AL44">
        <v>41</v>
      </c>
      <c r="AM44" s="16">
        <v>0.219512195121951</v>
      </c>
      <c r="AN44">
        <v>41</v>
      </c>
      <c r="AO44" s="16">
        <v>0.19512195121951201</v>
      </c>
      <c r="AP44">
        <v>41</v>
      </c>
      <c r="AQ44" s="16">
        <v>0.48780487804877998</v>
      </c>
      <c r="AR44" s="11">
        <v>41</v>
      </c>
    </row>
    <row r="45" spans="1:44" outlineLevel="1" x14ac:dyDescent="0.25">
      <c r="A45" s="6" t="s">
        <v>15</v>
      </c>
      <c r="B45" t="s">
        <v>50</v>
      </c>
      <c r="C45" s="16">
        <v>0.24852071005917201</v>
      </c>
      <c r="D45">
        <v>169</v>
      </c>
      <c r="E45" s="16"/>
      <c r="G45" s="16">
        <v>2.4390243902439001E-2</v>
      </c>
      <c r="H45">
        <v>41</v>
      </c>
      <c r="I45" s="16">
        <v>9.7560975609756101E-2</v>
      </c>
      <c r="J45">
        <v>41</v>
      </c>
      <c r="K45" s="16">
        <v>9.7560975609756101E-2</v>
      </c>
      <c r="L45">
        <v>41</v>
      </c>
      <c r="M45" s="16">
        <v>0.56097560975609795</v>
      </c>
      <c r="N45">
        <v>41</v>
      </c>
      <c r="O45" s="16">
        <v>0.219512195121951</v>
      </c>
      <c r="P45">
        <v>41</v>
      </c>
      <c r="Q45" s="16">
        <v>0.252873563218391</v>
      </c>
      <c r="R45">
        <v>87</v>
      </c>
      <c r="S45" s="16"/>
      <c r="U45" s="16"/>
      <c r="W45" s="16">
        <v>4.7619047619047603E-2</v>
      </c>
      <c r="X45">
        <v>21</v>
      </c>
      <c r="Y45" s="16">
        <v>4.7619047619047603E-2</v>
      </c>
      <c r="Z45">
        <v>21</v>
      </c>
      <c r="AA45" s="16">
        <v>0.66666666666666696</v>
      </c>
      <c r="AB45">
        <v>21</v>
      </c>
      <c r="AC45" s="16">
        <v>0.238095238095238</v>
      </c>
      <c r="AD45">
        <v>21</v>
      </c>
      <c r="AE45" s="16">
        <v>0.24390243902438999</v>
      </c>
      <c r="AF45">
        <v>82</v>
      </c>
      <c r="AG45" s="16"/>
      <c r="AI45" s="16">
        <v>0.05</v>
      </c>
      <c r="AJ45">
        <v>20</v>
      </c>
      <c r="AK45" s="16">
        <v>0.15</v>
      </c>
      <c r="AL45">
        <v>20</v>
      </c>
      <c r="AM45" s="16">
        <v>0.15</v>
      </c>
      <c r="AN45">
        <v>20</v>
      </c>
      <c r="AO45" s="16">
        <v>0.45</v>
      </c>
      <c r="AP45">
        <v>20</v>
      </c>
      <c r="AQ45" s="16">
        <v>0.2</v>
      </c>
      <c r="AR45" s="11">
        <v>20</v>
      </c>
    </row>
    <row r="46" spans="1:44" outlineLevel="1" x14ac:dyDescent="0.25">
      <c r="A46" s="6" t="s">
        <v>15</v>
      </c>
      <c r="B46" t="s">
        <v>51</v>
      </c>
      <c r="C46" s="16">
        <v>0.38888888888888901</v>
      </c>
      <c r="D46">
        <v>180</v>
      </c>
      <c r="E46" s="16">
        <v>2.8571428571428598E-2</v>
      </c>
      <c r="F46">
        <v>70</v>
      </c>
      <c r="G46" s="16">
        <v>1.4285714285714299E-2</v>
      </c>
      <c r="H46">
        <v>70</v>
      </c>
      <c r="I46" s="16">
        <v>0.1</v>
      </c>
      <c r="J46">
        <v>70</v>
      </c>
      <c r="K46" s="16">
        <v>7.1428571428571397E-2</v>
      </c>
      <c r="L46">
        <v>70</v>
      </c>
      <c r="M46" s="16">
        <v>0.628571428571429</v>
      </c>
      <c r="N46">
        <v>70</v>
      </c>
      <c r="O46" s="16">
        <v>0.157142857142857</v>
      </c>
      <c r="P46">
        <v>70</v>
      </c>
      <c r="Q46" s="16">
        <v>0.37373737373737398</v>
      </c>
      <c r="R46">
        <v>99</v>
      </c>
      <c r="S46" s="16">
        <v>2.7027027027027001E-2</v>
      </c>
      <c r="T46">
        <v>37</v>
      </c>
      <c r="U46" s="16"/>
      <c r="W46" s="16">
        <v>5.4054054054054099E-2</v>
      </c>
      <c r="X46">
        <v>37</v>
      </c>
      <c r="Y46" s="16">
        <v>8.1081081081081099E-2</v>
      </c>
      <c r="Z46">
        <v>37</v>
      </c>
      <c r="AA46" s="16">
        <v>0.70270270270270296</v>
      </c>
      <c r="AB46">
        <v>37</v>
      </c>
      <c r="AC46" s="16">
        <v>0.135135135135135</v>
      </c>
      <c r="AD46">
        <v>37</v>
      </c>
      <c r="AE46" s="16">
        <v>0.407407407407407</v>
      </c>
      <c r="AF46">
        <v>81</v>
      </c>
      <c r="AG46" s="16">
        <v>3.03030303030303E-2</v>
      </c>
      <c r="AH46">
        <v>33</v>
      </c>
      <c r="AI46" s="16">
        <v>3.03030303030303E-2</v>
      </c>
      <c r="AJ46">
        <v>33</v>
      </c>
      <c r="AK46" s="16">
        <v>0.15151515151515199</v>
      </c>
      <c r="AL46">
        <v>33</v>
      </c>
      <c r="AM46" s="16">
        <v>6.0606060606060601E-2</v>
      </c>
      <c r="AN46">
        <v>33</v>
      </c>
      <c r="AO46" s="16">
        <v>0.54545454545454497</v>
      </c>
      <c r="AP46">
        <v>33</v>
      </c>
      <c r="AQ46" s="16">
        <v>0.18181818181818199</v>
      </c>
      <c r="AR46" s="11">
        <v>33</v>
      </c>
    </row>
    <row r="47" spans="1:44" outlineLevel="1" x14ac:dyDescent="0.25">
      <c r="A47" s="6" t="s">
        <v>15</v>
      </c>
      <c r="B47" t="s">
        <v>52</v>
      </c>
      <c r="C47" s="16">
        <v>0.48898702805594002</v>
      </c>
      <c r="D47">
        <v>265</v>
      </c>
      <c r="E47" s="16"/>
      <c r="G47" s="16"/>
      <c r="I47" s="16"/>
      <c r="K47" s="16">
        <v>1.6385042732458499E-2</v>
      </c>
      <c r="L47">
        <v>132</v>
      </c>
      <c r="M47" s="16">
        <v>0.82024710222628805</v>
      </c>
      <c r="N47">
        <v>132</v>
      </c>
      <c r="O47" s="16">
        <v>0.16336785504125401</v>
      </c>
      <c r="P47">
        <v>132</v>
      </c>
      <c r="Q47" s="16">
        <v>0.47260354001423599</v>
      </c>
      <c r="R47">
        <v>121</v>
      </c>
      <c r="S47" s="16"/>
      <c r="U47" s="16"/>
      <c r="W47" s="16"/>
      <c r="Y47" s="16"/>
      <c r="AA47" s="16">
        <v>0.89768031649864399</v>
      </c>
      <c r="AB47">
        <v>58</v>
      </c>
      <c r="AC47" s="16">
        <v>0.10231968350135601</v>
      </c>
      <c r="AD47">
        <v>58</v>
      </c>
      <c r="AE47" s="16">
        <v>0.506615331045418</v>
      </c>
      <c r="AF47">
        <v>143</v>
      </c>
      <c r="AG47" s="16"/>
      <c r="AI47" s="16"/>
      <c r="AK47" s="16"/>
      <c r="AM47" s="16">
        <v>2.94304563736929E-2</v>
      </c>
      <c r="AN47">
        <v>74</v>
      </c>
      <c r="AO47" s="16">
        <v>0.75859646595714103</v>
      </c>
      <c r="AP47">
        <v>74</v>
      </c>
      <c r="AQ47" s="16">
        <v>0.21197307766916601</v>
      </c>
      <c r="AR47" s="11">
        <v>74</v>
      </c>
    </row>
    <row r="48" spans="1:44" outlineLevel="1" x14ac:dyDescent="0.25">
      <c r="A48" s="6" t="s">
        <v>15</v>
      </c>
      <c r="B48" t="s">
        <v>53</v>
      </c>
      <c r="C48" s="16">
        <v>0.63099630996309997</v>
      </c>
      <c r="D48">
        <v>271</v>
      </c>
      <c r="E48" s="16">
        <v>5.8479532163742704E-3</v>
      </c>
      <c r="F48">
        <v>171</v>
      </c>
      <c r="G48" s="16"/>
      <c r="I48" s="16">
        <v>1.1695906432748499E-2</v>
      </c>
      <c r="J48">
        <v>171</v>
      </c>
      <c r="K48" s="16">
        <v>3.5087719298245598E-2</v>
      </c>
      <c r="L48">
        <v>171</v>
      </c>
      <c r="M48" s="16">
        <v>0.86549707602339199</v>
      </c>
      <c r="N48">
        <v>171</v>
      </c>
      <c r="O48" s="16">
        <v>8.1871345029239803E-2</v>
      </c>
      <c r="P48">
        <v>171</v>
      </c>
      <c r="Q48" s="16">
        <v>0.625</v>
      </c>
      <c r="R48">
        <v>144</v>
      </c>
      <c r="S48" s="16">
        <v>1.1111111111111099E-2</v>
      </c>
      <c r="T48">
        <v>90</v>
      </c>
      <c r="U48" s="16"/>
      <c r="W48" s="16">
        <v>1.1111111111111099E-2</v>
      </c>
      <c r="X48">
        <v>90</v>
      </c>
      <c r="Y48" s="16">
        <v>2.2222222222222199E-2</v>
      </c>
      <c r="Z48">
        <v>90</v>
      </c>
      <c r="AA48" s="16">
        <v>0.9</v>
      </c>
      <c r="AB48">
        <v>90</v>
      </c>
      <c r="AC48" s="16">
        <v>5.5555555555555601E-2</v>
      </c>
      <c r="AD48">
        <v>90</v>
      </c>
      <c r="AE48" s="16">
        <v>0.63779527559055105</v>
      </c>
      <c r="AF48">
        <v>127</v>
      </c>
      <c r="AG48" s="16"/>
      <c r="AI48" s="16"/>
      <c r="AK48" s="16">
        <v>1.2345679012345699E-2</v>
      </c>
      <c r="AL48">
        <v>81</v>
      </c>
      <c r="AM48" s="16">
        <v>4.9382716049382699E-2</v>
      </c>
      <c r="AN48">
        <v>81</v>
      </c>
      <c r="AO48" s="16">
        <v>0.82716049382715995</v>
      </c>
      <c r="AP48">
        <v>81</v>
      </c>
      <c r="AQ48" s="16">
        <v>0.11111111111111099</v>
      </c>
      <c r="AR48" s="11">
        <v>81</v>
      </c>
    </row>
    <row r="49" spans="1:44" outlineLevel="1" x14ac:dyDescent="0.25">
      <c r="A49" s="6" t="s">
        <v>15</v>
      </c>
      <c r="B49" t="s">
        <v>54</v>
      </c>
      <c r="C49" s="16">
        <v>0.55995584299990198</v>
      </c>
      <c r="D49">
        <v>294</v>
      </c>
      <c r="E49" s="16">
        <v>6.28593251654057E-3</v>
      </c>
      <c r="F49">
        <v>164</v>
      </c>
      <c r="G49" s="16">
        <v>6.28593251654057E-3</v>
      </c>
      <c r="H49">
        <v>164</v>
      </c>
      <c r="I49" s="16">
        <v>5.8627416574631303E-3</v>
      </c>
      <c r="J49">
        <v>164</v>
      </c>
      <c r="K49" s="16">
        <v>7.7485214124252993E-2</v>
      </c>
      <c r="L49">
        <v>164</v>
      </c>
      <c r="M49" s="16">
        <v>0.77503793235139296</v>
      </c>
      <c r="N49">
        <v>164</v>
      </c>
      <c r="O49" s="16">
        <v>0.12904224683380999</v>
      </c>
      <c r="P49">
        <v>164</v>
      </c>
      <c r="Q49" s="16">
        <v>0.55911900603267795</v>
      </c>
      <c r="R49">
        <v>137</v>
      </c>
      <c r="S49" s="16">
        <v>1.3492555831265501E-2</v>
      </c>
      <c r="T49">
        <v>76</v>
      </c>
      <c r="U49" s="16"/>
      <c r="W49" s="16">
        <v>1.25841900035448E-2</v>
      </c>
      <c r="X49">
        <v>76</v>
      </c>
      <c r="Y49" s="16">
        <v>2.5168380007089701E-2</v>
      </c>
      <c r="Z49">
        <v>76</v>
      </c>
      <c r="AA49" s="16">
        <v>0.8012451258419</v>
      </c>
      <c r="AB49">
        <v>76</v>
      </c>
      <c r="AC49" s="16">
        <v>0.14750974831620001</v>
      </c>
      <c r="AD49">
        <v>76</v>
      </c>
      <c r="AE49" s="16">
        <v>0.55796738040207605</v>
      </c>
      <c r="AF49">
        <v>156</v>
      </c>
      <c r="AG49" s="16"/>
      <c r="AI49" s="16">
        <v>1.1899411868148999E-2</v>
      </c>
      <c r="AJ49">
        <v>87</v>
      </c>
      <c r="AK49" s="16"/>
      <c r="AM49" s="16">
        <v>0.113386349870064</v>
      </c>
      <c r="AN49">
        <v>87</v>
      </c>
      <c r="AO49" s="16">
        <v>0.76052677856151896</v>
      </c>
      <c r="AP49">
        <v>87</v>
      </c>
      <c r="AQ49" s="16">
        <v>0.114187459700268</v>
      </c>
      <c r="AR49" s="11">
        <v>87</v>
      </c>
    </row>
    <row r="50" spans="1:44" outlineLevel="1" x14ac:dyDescent="0.25">
      <c r="A50" s="6" t="s">
        <v>15</v>
      </c>
      <c r="B50" t="s">
        <v>55</v>
      </c>
      <c r="C50" s="16">
        <v>0.32365566281730002</v>
      </c>
      <c r="D50">
        <v>235</v>
      </c>
      <c r="E50" s="16">
        <v>1.13092737755563E-2</v>
      </c>
      <c r="F50">
        <v>77</v>
      </c>
      <c r="G50" s="16">
        <v>2.0186374646710501E-2</v>
      </c>
      <c r="H50">
        <v>77</v>
      </c>
      <c r="I50" s="16">
        <v>0.10324015966845999</v>
      </c>
      <c r="J50">
        <v>77</v>
      </c>
      <c r="K50" s="16">
        <v>0.28208707866307497</v>
      </c>
      <c r="L50">
        <v>77</v>
      </c>
      <c r="M50" s="16">
        <v>0.397354479607616</v>
      </c>
      <c r="N50">
        <v>77</v>
      </c>
      <c r="O50" s="16">
        <v>0.18582263363858201</v>
      </c>
      <c r="P50">
        <v>77</v>
      </c>
      <c r="Q50" s="16">
        <v>0.280184757667711</v>
      </c>
      <c r="R50">
        <v>112</v>
      </c>
      <c r="S50" s="16">
        <v>2.7569555206600101E-2</v>
      </c>
      <c r="T50">
        <v>31</v>
      </c>
      <c r="U50" s="16"/>
      <c r="W50" s="16">
        <v>8.3778448959026197E-2</v>
      </c>
      <c r="X50">
        <v>31</v>
      </c>
      <c r="Y50" s="16">
        <v>0.292036685367631</v>
      </c>
      <c r="Z50">
        <v>31</v>
      </c>
      <c r="AA50" s="16">
        <v>0.43997112796328303</v>
      </c>
      <c r="AB50">
        <v>31</v>
      </c>
      <c r="AC50" s="16">
        <v>0.15664418250345899</v>
      </c>
      <c r="AD50">
        <v>31</v>
      </c>
      <c r="AE50" s="16">
        <v>0.35315164450364001</v>
      </c>
      <c r="AF50">
        <v>121</v>
      </c>
      <c r="AG50" s="16"/>
      <c r="AI50" s="16">
        <v>3.5694723275468403E-2</v>
      </c>
      <c r="AJ50">
        <v>44</v>
      </c>
      <c r="AK50" s="16">
        <v>0.12178614054171</v>
      </c>
      <c r="AL50">
        <v>44</v>
      </c>
      <c r="AM50" s="16">
        <v>0.28697251175965999</v>
      </c>
      <c r="AN50">
        <v>44</v>
      </c>
      <c r="AO50" s="16">
        <v>0.34058687285967298</v>
      </c>
      <c r="AP50">
        <v>44</v>
      </c>
      <c r="AQ50" s="16">
        <v>0.21495975156348901</v>
      </c>
      <c r="AR50" s="11">
        <v>44</v>
      </c>
    </row>
    <row r="51" spans="1:44" outlineLevel="1" x14ac:dyDescent="0.25">
      <c r="A51" s="6" t="s">
        <v>15</v>
      </c>
      <c r="B51" t="s">
        <v>56</v>
      </c>
      <c r="C51" s="16">
        <v>0.43418087502811498</v>
      </c>
      <c r="D51">
        <v>208</v>
      </c>
      <c r="E51" s="16"/>
      <c r="G51" s="16">
        <v>1.14259902355234E-2</v>
      </c>
      <c r="H51">
        <v>89</v>
      </c>
      <c r="I51" s="16">
        <v>0.323919661668786</v>
      </c>
      <c r="J51">
        <v>89</v>
      </c>
      <c r="K51" s="16">
        <v>8.9578493082195398E-2</v>
      </c>
      <c r="L51">
        <v>89</v>
      </c>
      <c r="M51" s="16">
        <v>0.39919555522813699</v>
      </c>
      <c r="N51">
        <v>89</v>
      </c>
      <c r="O51" s="16">
        <v>0.17588029978535799</v>
      </c>
      <c r="P51">
        <v>89</v>
      </c>
      <c r="Q51" s="16">
        <v>0.47434171070689302</v>
      </c>
      <c r="R51">
        <v>114</v>
      </c>
      <c r="S51" s="16"/>
      <c r="U51" s="16">
        <v>1.8891135265724099E-2</v>
      </c>
      <c r="V51">
        <v>54</v>
      </c>
      <c r="W51" s="16">
        <v>0.40683147414871101</v>
      </c>
      <c r="X51">
        <v>54</v>
      </c>
      <c r="Y51" s="16">
        <v>0.12921326486358001</v>
      </c>
      <c r="Z51">
        <v>54</v>
      </c>
      <c r="AA51" s="16">
        <v>0.24422694300043701</v>
      </c>
      <c r="AB51">
        <v>54</v>
      </c>
      <c r="AC51" s="16">
        <v>0.20083718272154799</v>
      </c>
      <c r="AD51">
        <v>54</v>
      </c>
      <c r="AE51" s="16">
        <v>0.38935637009207102</v>
      </c>
      <c r="AF51">
        <v>93</v>
      </c>
      <c r="AG51" s="16"/>
      <c r="AI51" s="16"/>
      <c r="AK51" s="16">
        <v>0.197016626835221</v>
      </c>
      <c r="AL51">
        <v>35</v>
      </c>
      <c r="AM51" s="16">
        <v>2.8914364853044699E-2</v>
      </c>
      <c r="AN51">
        <v>35</v>
      </c>
      <c r="AO51" s="16">
        <v>0.63638717614949503</v>
      </c>
      <c r="AP51">
        <v>35</v>
      </c>
      <c r="AQ51" s="16">
        <v>0.13768183216224</v>
      </c>
      <c r="AR51" s="11">
        <v>35</v>
      </c>
    </row>
    <row r="52" spans="1:44" outlineLevel="1" x14ac:dyDescent="0.25">
      <c r="A52" s="6" t="s">
        <v>15</v>
      </c>
      <c r="B52" t="s">
        <v>57</v>
      </c>
      <c r="C52" s="16">
        <v>0.495356095325998</v>
      </c>
      <c r="D52">
        <v>191</v>
      </c>
      <c r="E52" s="16">
        <v>1.06989662468264E-2</v>
      </c>
      <c r="F52">
        <v>93</v>
      </c>
      <c r="G52" s="16"/>
      <c r="I52" s="16">
        <v>9.5559402758325404E-2</v>
      </c>
      <c r="J52">
        <v>93</v>
      </c>
      <c r="K52" s="16">
        <v>8.4269946265795898E-2</v>
      </c>
      <c r="L52">
        <v>93</v>
      </c>
      <c r="M52" s="16">
        <v>0.74557745592783198</v>
      </c>
      <c r="N52">
        <v>93</v>
      </c>
      <c r="O52" s="16">
        <v>6.3894228801220296E-2</v>
      </c>
      <c r="P52">
        <v>93</v>
      </c>
      <c r="Q52" s="16">
        <v>0.46139440876921101</v>
      </c>
      <c r="R52">
        <v>94</v>
      </c>
      <c r="S52" s="16"/>
      <c r="U52" s="16"/>
      <c r="W52" s="16">
        <v>0.11764926613671201</v>
      </c>
      <c r="X52">
        <v>42</v>
      </c>
      <c r="Y52" s="16">
        <v>7.03427530882232E-2</v>
      </c>
      <c r="Z52">
        <v>42</v>
      </c>
      <c r="AA52" s="16">
        <v>0.71731399410137298</v>
      </c>
      <c r="AB52">
        <v>42</v>
      </c>
      <c r="AC52" s="16">
        <v>9.4693986673692193E-2</v>
      </c>
      <c r="AD52">
        <v>42</v>
      </c>
      <c r="AE52" s="16">
        <v>0.52817531884976199</v>
      </c>
      <c r="AF52">
        <v>97</v>
      </c>
      <c r="AG52" s="16">
        <v>1.9522924646365101E-2</v>
      </c>
      <c r="AH52">
        <v>51</v>
      </c>
      <c r="AI52" s="16"/>
      <c r="AK52" s="16">
        <v>7.7340816868292403E-2</v>
      </c>
      <c r="AL52">
        <v>51</v>
      </c>
      <c r="AM52" s="16">
        <v>9.5756380598430002E-2</v>
      </c>
      <c r="AN52">
        <v>51</v>
      </c>
      <c r="AO52" s="16">
        <v>0.76888770905229598</v>
      </c>
      <c r="AP52">
        <v>51</v>
      </c>
      <c r="AQ52" s="16">
        <v>3.8492168834616397E-2</v>
      </c>
      <c r="AR52" s="11">
        <v>51</v>
      </c>
    </row>
    <row r="53" spans="1:44" outlineLevel="1" x14ac:dyDescent="0.25">
      <c r="A53" s="6" t="s">
        <v>15</v>
      </c>
      <c r="B53" t="s">
        <v>58</v>
      </c>
      <c r="C53" s="16">
        <v>0.53801772115989999</v>
      </c>
      <c r="D53">
        <v>152</v>
      </c>
      <c r="E53" s="16"/>
      <c r="G53" s="16"/>
      <c r="I53" s="16">
        <v>0.24100326900763699</v>
      </c>
      <c r="J53">
        <v>72</v>
      </c>
      <c r="K53" s="16">
        <v>1.55277711817184E-2</v>
      </c>
      <c r="L53">
        <v>72</v>
      </c>
      <c r="M53" s="16">
        <v>0.44328767126499402</v>
      </c>
      <c r="N53">
        <v>72</v>
      </c>
      <c r="O53" s="16">
        <v>0.30018128854565101</v>
      </c>
      <c r="P53">
        <v>72</v>
      </c>
      <c r="Q53" s="16">
        <v>0.54592422811613595</v>
      </c>
      <c r="R53">
        <v>73</v>
      </c>
      <c r="S53" s="16"/>
      <c r="U53" s="16"/>
      <c r="W53" s="16">
        <v>0.22629179223635201</v>
      </c>
      <c r="X53">
        <v>36</v>
      </c>
      <c r="Y53" s="16">
        <v>3.1837764440041702E-2</v>
      </c>
      <c r="Z53">
        <v>36</v>
      </c>
      <c r="AA53" s="16">
        <v>0.44715683238550202</v>
      </c>
      <c r="AB53">
        <v>36</v>
      </c>
      <c r="AC53" s="16">
        <v>0.294713610938104</v>
      </c>
      <c r="AD53">
        <v>36</v>
      </c>
      <c r="AE53" s="16">
        <v>0.53105083215976401</v>
      </c>
      <c r="AF53">
        <v>79</v>
      </c>
      <c r="AG53" s="16"/>
      <c r="AI53" s="16"/>
      <c r="AK53" s="16">
        <v>0.25500918804338502</v>
      </c>
      <c r="AL53">
        <v>36</v>
      </c>
      <c r="AM53" s="16"/>
      <c r="AO53" s="16">
        <v>0.43960407387823303</v>
      </c>
      <c r="AP53">
        <v>36</v>
      </c>
      <c r="AQ53" s="16">
        <v>0.30538673807838201</v>
      </c>
      <c r="AR53" s="11">
        <v>36</v>
      </c>
    </row>
    <row r="54" spans="1:44" outlineLevel="1" x14ac:dyDescent="0.25">
      <c r="A54" s="6" t="s">
        <v>15</v>
      </c>
      <c r="B54" t="s">
        <v>59</v>
      </c>
      <c r="C54" s="16">
        <v>0.24203821656051</v>
      </c>
      <c r="D54">
        <v>157</v>
      </c>
      <c r="E54" s="16">
        <v>2.9411764705882401E-2</v>
      </c>
      <c r="F54">
        <v>34</v>
      </c>
      <c r="G54" s="16"/>
      <c r="I54" s="16">
        <v>0.29411764705882398</v>
      </c>
      <c r="J54">
        <v>34</v>
      </c>
      <c r="K54" s="16">
        <v>0.14705882352941199</v>
      </c>
      <c r="L54">
        <v>34</v>
      </c>
      <c r="M54" s="16">
        <v>0.38235294117647101</v>
      </c>
      <c r="N54">
        <v>34</v>
      </c>
      <c r="O54" s="16">
        <v>0.14705882352941199</v>
      </c>
      <c r="P54">
        <v>34</v>
      </c>
      <c r="Q54" s="16">
        <v>0.240963855421687</v>
      </c>
      <c r="R54">
        <v>83</v>
      </c>
      <c r="S54" s="16">
        <v>5.5555555555555601E-2</v>
      </c>
      <c r="T54">
        <v>18</v>
      </c>
      <c r="U54" s="16"/>
      <c r="W54" s="16">
        <v>0.33333333333333298</v>
      </c>
      <c r="X54">
        <v>18</v>
      </c>
      <c r="Y54" s="16">
        <v>5.5555555555555601E-2</v>
      </c>
      <c r="Z54">
        <v>18</v>
      </c>
      <c r="AA54" s="16">
        <v>0.5</v>
      </c>
      <c r="AB54">
        <v>18</v>
      </c>
      <c r="AC54" s="16">
        <v>5.5555555555555601E-2</v>
      </c>
      <c r="AD54">
        <v>18</v>
      </c>
      <c r="AE54" s="16">
        <v>0.24324324324324301</v>
      </c>
      <c r="AF54">
        <v>74</v>
      </c>
      <c r="AG54" s="16"/>
      <c r="AI54" s="16"/>
      <c r="AK54" s="16">
        <v>0.25</v>
      </c>
      <c r="AL54">
        <v>16</v>
      </c>
      <c r="AM54" s="16">
        <v>0.25</v>
      </c>
      <c r="AN54">
        <v>16</v>
      </c>
      <c r="AO54" s="16">
        <v>0.25</v>
      </c>
      <c r="AP54">
        <v>16</v>
      </c>
      <c r="AQ54" s="16">
        <v>0.25</v>
      </c>
      <c r="AR54" s="11">
        <v>16</v>
      </c>
    </row>
    <row r="55" spans="1:44" outlineLevel="1" x14ac:dyDescent="0.25">
      <c r="A55" s="6" t="s">
        <v>15</v>
      </c>
      <c r="B55" t="s">
        <v>60</v>
      </c>
      <c r="C55" s="16">
        <v>0.60248447204968902</v>
      </c>
      <c r="D55">
        <v>161</v>
      </c>
      <c r="E55" s="16">
        <v>3.03030303030303E-2</v>
      </c>
      <c r="F55">
        <v>66</v>
      </c>
      <c r="G55" s="16"/>
      <c r="I55" s="16">
        <v>1.5151515151515201E-2</v>
      </c>
      <c r="J55">
        <v>66</v>
      </c>
      <c r="K55" s="16">
        <v>1.5151515151515201E-2</v>
      </c>
      <c r="L55">
        <v>66</v>
      </c>
      <c r="M55" s="16">
        <v>0.71212121212121204</v>
      </c>
      <c r="N55">
        <v>66</v>
      </c>
      <c r="O55" s="16">
        <v>0.22727272727272699</v>
      </c>
      <c r="P55">
        <v>66</v>
      </c>
      <c r="Q55" s="16">
        <v>0.63749999999999996</v>
      </c>
      <c r="R55">
        <v>80</v>
      </c>
      <c r="S55" s="16">
        <v>3.03030303030303E-2</v>
      </c>
      <c r="T55">
        <v>33</v>
      </c>
      <c r="U55" s="16"/>
      <c r="W55" s="16">
        <v>3.03030303030303E-2</v>
      </c>
      <c r="X55">
        <v>33</v>
      </c>
      <c r="Y55" s="16">
        <v>3.03030303030303E-2</v>
      </c>
      <c r="Z55">
        <v>33</v>
      </c>
      <c r="AA55" s="16">
        <v>0.60606060606060597</v>
      </c>
      <c r="AB55">
        <v>33</v>
      </c>
      <c r="AC55" s="16">
        <v>0.30303030303030298</v>
      </c>
      <c r="AD55">
        <v>33</v>
      </c>
      <c r="AE55" s="16">
        <v>0.56790123456790098</v>
      </c>
      <c r="AF55">
        <v>81</v>
      </c>
      <c r="AG55" s="16">
        <v>3.03030303030303E-2</v>
      </c>
      <c r="AH55">
        <v>33</v>
      </c>
      <c r="AI55" s="16"/>
      <c r="AK55" s="16"/>
      <c r="AM55" s="16"/>
      <c r="AO55" s="16">
        <v>0.81818181818181801</v>
      </c>
      <c r="AP55">
        <v>33</v>
      </c>
      <c r="AQ55" s="16">
        <v>0.15151515151515199</v>
      </c>
      <c r="AR55" s="11">
        <v>33</v>
      </c>
    </row>
    <row r="56" spans="1:44" outlineLevel="1" x14ac:dyDescent="0.25">
      <c r="A56" s="6" t="s">
        <v>15</v>
      </c>
      <c r="B56" t="s">
        <v>61</v>
      </c>
      <c r="C56" s="16">
        <v>0.14000000000000001</v>
      </c>
      <c r="D56">
        <v>150</v>
      </c>
      <c r="E56" s="16">
        <v>0.14285714285714299</v>
      </c>
      <c r="F56">
        <v>21</v>
      </c>
      <c r="G56" s="16">
        <v>4.7619047619047603E-2</v>
      </c>
      <c r="H56">
        <v>21</v>
      </c>
      <c r="I56" s="16">
        <v>0.33333333333333298</v>
      </c>
      <c r="J56">
        <v>21</v>
      </c>
      <c r="K56" s="16">
        <v>0.14285714285714299</v>
      </c>
      <c r="L56">
        <v>21</v>
      </c>
      <c r="M56" s="16"/>
      <c r="O56" s="16">
        <v>0.33333333333333298</v>
      </c>
      <c r="P56">
        <v>21</v>
      </c>
      <c r="Q56" s="16">
        <v>0.148148148148148</v>
      </c>
      <c r="R56">
        <v>81</v>
      </c>
      <c r="S56" s="16">
        <v>0.16666666666666699</v>
      </c>
      <c r="T56">
        <v>12</v>
      </c>
      <c r="U56" s="16">
        <v>8.3333333333333301E-2</v>
      </c>
      <c r="V56">
        <v>12</v>
      </c>
      <c r="W56" s="16">
        <v>0.41666666666666702</v>
      </c>
      <c r="X56">
        <v>12</v>
      </c>
      <c r="Y56" s="16">
        <v>8.3333333333333301E-2</v>
      </c>
      <c r="Z56">
        <v>12</v>
      </c>
      <c r="AA56" s="16"/>
      <c r="AC56" s="16">
        <v>0.25</v>
      </c>
      <c r="AD56">
        <v>12</v>
      </c>
      <c r="AE56" s="16">
        <v>0.13043478260869601</v>
      </c>
      <c r="AF56">
        <v>69</v>
      </c>
      <c r="AG56" s="16">
        <v>0.11111111111111099</v>
      </c>
      <c r="AH56">
        <v>9</v>
      </c>
      <c r="AI56" s="16"/>
      <c r="AK56" s="16">
        <v>0.22222222222222199</v>
      </c>
      <c r="AL56">
        <v>9</v>
      </c>
      <c r="AM56" s="16">
        <v>0.22222222222222199</v>
      </c>
      <c r="AN56">
        <v>9</v>
      </c>
      <c r="AO56" s="16"/>
      <c r="AQ56" s="16">
        <v>0.44444444444444398</v>
      </c>
      <c r="AR56" s="11">
        <v>9</v>
      </c>
    </row>
    <row r="57" spans="1:44" outlineLevel="1" x14ac:dyDescent="0.25">
      <c r="A57" s="6" t="s">
        <v>15</v>
      </c>
      <c r="B57" t="s">
        <v>62</v>
      </c>
      <c r="C57" s="16">
        <v>0.33600533055063198</v>
      </c>
      <c r="D57">
        <v>195</v>
      </c>
      <c r="E57" s="16">
        <v>1.6399016403442001E-2</v>
      </c>
      <c r="F57">
        <v>65</v>
      </c>
      <c r="G57" s="16">
        <v>4.2359654020997901E-2</v>
      </c>
      <c r="H57">
        <v>65</v>
      </c>
      <c r="I57" s="16">
        <v>0.33853895489161701</v>
      </c>
      <c r="J57">
        <v>65</v>
      </c>
      <c r="K57" s="16">
        <v>6.3497103019703793E-2</v>
      </c>
      <c r="L57">
        <v>65</v>
      </c>
      <c r="M57" s="16">
        <v>0.23184789754263499</v>
      </c>
      <c r="N57">
        <v>65</v>
      </c>
      <c r="O57" s="16">
        <v>0.30735737412160502</v>
      </c>
      <c r="P57">
        <v>65</v>
      </c>
      <c r="Q57" s="16">
        <v>0.377418058768975</v>
      </c>
      <c r="R57">
        <v>91</v>
      </c>
      <c r="S57" s="16">
        <v>3.1022942620694501E-2</v>
      </c>
      <c r="T57">
        <v>34</v>
      </c>
      <c r="U57" s="16"/>
      <c r="W57" s="16">
        <v>0.37706396053086599</v>
      </c>
      <c r="X57">
        <v>34</v>
      </c>
      <c r="Y57" s="16">
        <v>3.1851155978878901E-2</v>
      </c>
      <c r="Z57">
        <v>34</v>
      </c>
      <c r="AA57" s="16">
        <v>0.23317705493910099</v>
      </c>
      <c r="AB57">
        <v>34</v>
      </c>
      <c r="AC57" s="16">
        <v>0.326884885930459</v>
      </c>
      <c r="AD57">
        <v>34</v>
      </c>
      <c r="AE57" s="16">
        <v>0.299191256889696</v>
      </c>
      <c r="AF57">
        <v>104</v>
      </c>
      <c r="AG57" s="16"/>
      <c r="AI57" s="16">
        <v>8.9861032981386396E-2</v>
      </c>
      <c r="AJ57">
        <v>31</v>
      </c>
      <c r="AK57" s="16">
        <v>0.29533768390356901</v>
      </c>
      <c r="AL57">
        <v>31</v>
      </c>
      <c r="AM57" s="16">
        <v>9.8984317391224694E-2</v>
      </c>
      <c r="AN57">
        <v>31</v>
      </c>
      <c r="AO57" s="16">
        <v>0.2303574035656</v>
      </c>
      <c r="AP57">
        <v>31</v>
      </c>
      <c r="AQ57" s="16">
        <v>0.28545956215822099</v>
      </c>
      <c r="AR57" s="11">
        <v>31</v>
      </c>
    </row>
    <row r="58" spans="1:44" outlineLevel="1" x14ac:dyDescent="0.25">
      <c r="A58" s="6" t="s">
        <v>15</v>
      </c>
      <c r="B58" t="s">
        <v>63</v>
      </c>
      <c r="C58" s="16">
        <v>0.17970846373211699</v>
      </c>
      <c r="D58">
        <v>216</v>
      </c>
      <c r="E58" s="16"/>
      <c r="G58" s="16">
        <v>0.15475196864013599</v>
      </c>
      <c r="H58">
        <v>40</v>
      </c>
      <c r="I58" s="16">
        <v>0.22697349621040699</v>
      </c>
      <c r="J58">
        <v>40</v>
      </c>
      <c r="K58" s="16">
        <v>0.13715683668904599</v>
      </c>
      <c r="L58">
        <v>40</v>
      </c>
      <c r="M58" s="16"/>
      <c r="O58" s="16">
        <v>0.48111769846041202</v>
      </c>
      <c r="P58">
        <v>40</v>
      </c>
      <c r="Q58" s="16">
        <v>0.16854528575278399</v>
      </c>
      <c r="R58">
        <v>122</v>
      </c>
      <c r="S58" s="16"/>
      <c r="U58" s="16">
        <v>4.98643916424664E-2</v>
      </c>
      <c r="V58">
        <v>21</v>
      </c>
      <c r="W58" s="16">
        <v>0.37947973009865799</v>
      </c>
      <c r="X58">
        <v>21</v>
      </c>
      <c r="Y58" s="16">
        <v>0.10423856229871301</v>
      </c>
      <c r="Z58">
        <v>21</v>
      </c>
      <c r="AA58" s="16"/>
      <c r="AC58" s="16">
        <v>0.466417315960163</v>
      </c>
      <c r="AD58">
        <v>21</v>
      </c>
      <c r="AE58" s="16">
        <v>0.19419617413839299</v>
      </c>
      <c r="AF58">
        <v>94</v>
      </c>
      <c r="AG58" s="16"/>
      <c r="AI58" s="16">
        <v>0.27289603113196598</v>
      </c>
      <c r="AJ58">
        <v>19</v>
      </c>
      <c r="AK58" s="16">
        <v>5.51923707174653E-2</v>
      </c>
      <c r="AL58">
        <v>19</v>
      </c>
      <c r="AM58" s="16">
        <v>0.17423557163571199</v>
      </c>
      <c r="AN58">
        <v>19</v>
      </c>
      <c r="AO58" s="16"/>
      <c r="AQ58" s="16">
        <v>0.49767602651485598</v>
      </c>
      <c r="AR58" s="11">
        <v>19</v>
      </c>
    </row>
    <row r="59" spans="1:44" outlineLevel="1" x14ac:dyDescent="0.25">
      <c r="A59" s="6" t="s">
        <v>15</v>
      </c>
      <c r="B59" t="s">
        <v>64</v>
      </c>
      <c r="C59" s="16">
        <v>0.37919915152023798</v>
      </c>
      <c r="D59">
        <v>182</v>
      </c>
      <c r="E59" s="16">
        <v>4.39323904227732E-2</v>
      </c>
      <c r="F59">
        <v>69</v>
      </c>
      <c r="G59" s="16">
        <v>0.115875353340052</v>
      </c>
      <c r="H59">
        <v>69</v>
      </c>
      <c r="I59" s="16">
        <v>0.448944451382641</v>
      </c>
      <c r="J59">
        <v>69</v>
      </c>
      <c r="K59" s="16">
        <v>5.76586771560419E-2</v>
      </c>
      <c r="L59">
        <v>69</v>
      </c>
      <c r="M59" s="16">
        <v>5.7922493802913103E-2</v>
      </c>
      <c r="N59">
        <v>69</v>
      </c>
      <c r="O59" s="16">
        <v>0.27566663389557899</v>
      </c>
      <c r="P59">
        <v>69</v>
      </c>
      <c r="Q59" s="16">
        <v>0.35067955505093001</v>
      </c>
      <c r="R59">
        <v>100</v>
      </c>
      <c r="S59" s="16">
        <v>8.6508435178278206E-2</v>
      </c>
      <c r="T59">
        <v>35</v>
      </c>
      <c r="U59" s="16">
        <v>8.5497996564015299E-2</v>
      </c>
      <c r="V59">
        <v>35</v>
      </c>
      <c r="W59" s="16">
        <v>0.37126338902385297</v>
      </c>
      <c r="X59">
        <v>35</v>
      </c>
      <c r="Y59" s="16">
        <v>2.8558722232604101E-2</v>
      </c>
      <c r="Z59">
        <v>35</v>
      </c>
      <c r="AA59" s="16">
        <v>5.6939274331411098E-2</v>
      </c>
      <c r="AB59">
        <v>35</v>
      </c>
      <c r="AC59" s="16">
        <v>0.37123218266983798</v>
      </c>
      <c r="AD59">
        <v>35</v>
      </c>
      <c r="AE59" s="16">
        <v>0.41393558392124902</v>
      </c>
      <c r="AF59">
        <v>82</v>
      </c>
      <c r="AG59" s="16"/>
      <c r="AI59" s="16">
        <v>0.14722044200576601</v>
      </c>
      <c r="AJ59">
        <v>34</v>
      </c>
      <c r="AK59" s="16">
        <v>0.52910020045702499</v>
      </c>
      <c r="AL59">
        <v>34</v>
      </c>
      <c r="AM59" s="16">
        <v>8.7685669760052307E-2</v>
      </c>
      <c r="AN59">
        <v>34</v>
      </c>
      <c r="AO59" s="16">
        <v>5.8937035711193901E-2</v>
      </c>
      <c r="AP59">
        <v>34</v>
      </c>
      <c r="AQ59" s="16">
        <v>0.17705665206596299</v>
      </c>
      <c r="AR59" s="11">
        <v>34</v>
      </c>
    </row>
    <row r="60" spans="1:44" outlineLevel="1" x14ac:dyDescent="0.25">
      <c r="A60" s="6" t="s">
        <v>15</v>
      </c>
      <c r="B60" t="s">
        <v>65</v>
      </c>
      <c r="C60" s="16">
        <v>0.118421052631579</v>
      </c>
      <c r="D60">
        <v>152</v>
      </c>
      <c r="E60" s="16">
        <v>5.5555555555555601E-2</v>
      </c>
      <c r="F60">
        <v>18</v>
      </c>
      <c r="G60" s="16">
        <v>0.27777777777777801</v>
      </c>
      <c r="H60">
        <v>18</v>
      </c>
      <c r="I60" s="16">
        <v>0.16666666666666699</v>
      </c>
      <c r="J60">
        <v>18</v>
      </c>
      <c r="K60" s="16">
        <v>0.44444444444444398</v>
      </c>
      <c r="L60">
        <v>18</v>
      </c>
      <c r="M60" s="16"/>
      <c r="O60" s="16">
        <v>5.5555555555555601E-2</v>
      </c>
      <c r="P60">
        <v>18</v>
      </c>
      <c r="Q60" s="16">
        <v>0.12</v>
      </c>
      <c r="R60">
        <v>75</v>
      </c>
      <c r="S60" s="16"/>
      <c r="U60" s="16">
        <v>0.33333333333333298</v>
      </c>
      <c r="V60">
        <v>9</v>
      </c>
      <c r="W60" s="16">
        <v>0.11111111111111099</v>
      </c>
      <c r="X60">
        <v>9</v>
      </c>
      <c r="Y60" s="16">
        <v>0.44444444444444398</v>
      </c>
      <c r="Z60">
        <v>9</v>
      </c>
      <c r="AA60" s="16"/>
      <c r="AC60" s="16">
        <v>0.11111111111111099</v>
      </c>
      <c r="AD60">
        <v>9</v>
      </c>
      <c r="AE60" s="16">
        <v>0.11688311688311701</v>
      </c>
      <c r="AF60">
        <v>77</v>
      </c>
      <c r="AG60" s="16">
        <v>0.11111111111111099</v>
      </c>
      <c r="AH60">
        <v>9</v>
      </c>
      <c r="AI60" s="16">
        <v>0.22222222222222199</v>
      </c>
      <c r="AJ60">
        <v>9</v>
      </c>
      <c r="AK60" s="16">
        <v>0.22222222222222199</v>
      </c>
      <c r="AL60">
        <v>9</v>
      </c>
      <c r="AM60" s="16">
        <v>0.44444444444444398</v>
      </c>
      <c r="AN60">
        <v>9</v>
      </c>
      <c r="AO60" s="16"/>
      <c r="AQ60" s="16"/>
      <c r="AR60" s="11"/>
    </row>
    <row r="61" spans="1:44" outlineLevel="1" x14ac:dyDescent="0.25">
      <c r="A61" s="6" t="s">
        <v>15</v>
      </c>
      <c r="B61" t="s">
        <v>66</v>
      </c>
      <c r="C61" s="16">
        <v>0.52160493827160503</v>
      </c>
      <c r="D61">
        <v>324</v>
      </c>
      <c r="E61" s="16">
        <v>5.9171597633136102E-3</v>
      </c>
      <c r="F61">
        <v>169</v>
      </c>
      <c r="G61" s="16"/>
      <c r="I61" s="16">
        <v>0.177514792899408</v>
      </c>
      <c r="J61">
        <v>169</v>
      </c>
      <c r="K61" s="16">
        <v>3.5502958579881699E-2</v>
      </c>
      <c r="L61">
        <v>169</v>
      </c>
      <c r="M61" s="16">
        <v>0.65088757396449703</v>
      </c>
      <c r="N61">
        <v>169</v>
      </c>
      <c r="O61" s="16">
        <v>0.13017751479289899</v>
      </c>
      <c r="P61">
        <v>169</v>
      </c>
      <c r="Q61" s="16">
        <v>0.54487179487179505</v>
      </c>
      <c r="R61">
        <v>156</v>
      </c>
      <c r="S61" s="16">
        <v>1.1764705882352899E-2</v>
      </c>
      <c r="T61">
        <v>85</v>
      </c>
      <c r="U61" s="16"/>
      <c r="W61" s="16">
        <v>0.2</v>
      </c>
      <c r="X61">
        <v>85</v>
      </c>
      <c r="Y61" s="16">
        <v>4.7058823529411799E-2</v>
      </c>
      <c r="Z61">
        <v>85</v>
      </c>
      <c r="AA61" s="16">
        <v>0.623529411764706</v>
      </c>
      <c r="AB61">
        <v>85</v>
      </c>
      <c r="AC61" s="16">
        <v>0.11764705882352899</v>
      </c>
      <c r="AD61">
        <v>85</v>
      </c>
      <c r="AE61" s="16">
        <v>0.5</v>
      </c>
      <c r="AF61">
        <v>168</v>
      </c>
      <c r="AG61" s="16"/>
      <c r="AI61" s="16"/>
      <c r="AK61" s="16">
        <v>0.15476190476190499</v>
      </c>
      <c r="AL61">
        <v>84</v>
      </c>
      <c r="AM61" s="16">
        <v>2.3809523809523801E-2</v>
      </c>
      <c r="AN61">
        <v>84</v>
      </c>
      <c r="AO61" s="16">
        <v>0.67857142857142905</v>
      </c>
      <c r="AP61">
        <v>84</v>
      </c>
      <c r="AQ61" s="16">
        <v>0.14285714285714299</v>
      </c>
      <c r="AR61" s="11">
        <v>84</v>
      </c>
    </row>
    <row r="62" spans="1:44" outlineLevel="1" x14ac:dyDescent="0.25">
      <c r="A62" s="6" t="s">
        <v>15</v>
      </c>
      <c r="B62" t="s">
        <v>67</v>
      </c>
      <c r="C62" s="16">
        <v>0.61797752808988804</v>
      </c>
      <c r="D62">
        <v>356</v>
      </c>
      <c r="E62" s="16">
        <v>4.5454545454545496E-3</v>
      </c>
      <c r="F62">
        <v>220</v>
      </c>
      <c r="G62" s="16">
        <v>1.3636363636363599E-2</v>
      </c>
      <c r="H62">
        <v>220</v>
      </c>
      <c r="I62" s="16">
        <v>0.30909090909090903</v>
      </c>
      <c r="J62">
        <v>220</v>
      </c>
      <c r="K62" s="16">
        <v>4.0909090909090902E-2</v>
      </c>
      <c r="L62">
        <v>220</v>
      </c>
      <c r="M62" s="16">
        <v>0.513636363636364</v>
      </c>
      <c r="N62">
        <v>220</v>
      </c>
      <c r="O62" s="16">
        <v>0.118181818181818</v>
      </c>
      <c r="P62">
        <v>220</v>
      </c>
      <c r="Q62" s="16">
        <v>0.57865168539325795</v>
      </c>
      <c r="R62">
        <v>178</v>
      </c>
      <c r="S62" s="16"/>
      <c r="U62" s="16"/>
      <c r="W62" s="16">
        <v>0.36893203883495201</v>
      </c>
      <c r="X62">
        <v>103</v>
      </c>
      <c r="Y62" s="16">
        <v>4.8543689320388397E-2</v>
      </c>
      <c r="Z62">
        <v>103</v>
      </c>
      <c r="AA62" s="16">
        <v>0.42718446601941801</v>
      </c>
      <c r="AB62">
        <v>103</v>
      </c>
      <c r="AC62" s="16">
        <v>0.15533980582524301</v>
      </c>
      <c r="AD62">
        <v>103</v>
      </c>
      <c r="AE62" s="16">
        <v>0.65536723163841804</v>
      </c>
      <c r="AF62">
        <v>177</v>
      </c>
      <c r="AG62" s="16">
        <v>8.6206896551724102E-3</v>
      </c>
      <c r="AH62">
        <v>116</v>
      </c>
      <c r="AI62" s="16">
        <v>2.5862068965517199E-2</v>
      </c>
      <c r="AJ62">
        <v>116</v>
      </c>
      <c r="AK62" s="16">
        <v>0.25</v>
      </c>
      <c r="AL62">
        <v>116</v>
      </c>
      <c r="AM62" s="16">
        <v>3.4482758620689703E-2</v>
      </c>
      <c r="AN62">
        <v>116</v>
      </c>
      <c r="AO62" s="16">
        <v>0.59482758620689702</v>
      </c>
      <c r="AP62">
        <v>116</v>
      </c>
      <c r="AQ62" s="16">
        <v>8.6206896551724102E-2</v>
      </c>
      <c r="AR62" s="11">
        <v>116</v>
      </c>
    </row>
    <row r="63" spans="1:44" outlineLevel="1" x14ac:dyDescent="0.25">
      <c r="A63" s="6" t="s">
        <v>15</v>
      </c>
      <c r="B63" t="s">
        <v>68</v>
      </c>
      <c r="C63" s="16">
        <v>0.41489361702127697</v>
      </c>
      <c r="D63">
        <v>282</v>
      </c>
      <c r="E63" s="16">
        <v>1.7094017094017099E-2</v>
      </c>
      <c r="F63">
        <v>117</v>
      </c>
      <c r="G63" s="16">
        <v>4.2735042735042701E-2</v>
      </c>
      <c r="H63">
        <v>117</v>
      </c>
      <c r="I63" s="16">
        <v>6.8376068376068397E-2</v>
      </c>
      <c r="J63">
        <v>117</v>
      </c>
      <c r="K63" s="16">
        <v>3.4188034188034198E-2</v>
      </c>
      <c r="L63">
        <v>117</v>
      </c>
      <c r="M63" s="16">
        <v>0.76923076923076905</v>
      </c>
      <c r="N63">
        <v>117</v>
      </c>
      <c r="O63" s="16">
        <v>6.8376068376068397E-2</v>
      </c>
      <c r="P63">
        <v>117</v>
      </c>
      <c r="Q63" s="16">
        <v>0.41176470588235298</v>
      </c>
      <c r="R63">
        <v>153</v>
      </c>
      <c r="S63" s="16">
        <v>1.58730158730159E-2</v>
      </c>
      <c r="T63">
        <v>63</v>
      </c>
      <c r="U63" s="16">
        <v>3.1746031746031703E-2</v>
      </c>
      <c r="V63">
        <v>63</v>
      </c>
      <c r="W63" s="16">
        <v>9.5238095238095205E-2</v>
      </c>
      <c r="X63">
        <v>63</v>
      </c>
      <c r="Y63" s="16">
        <v>3.1746031746031703E-2</v>
      </c>
      <c r="Z63">
        <v>63</v>
      </c>
      <c r="AA63" s="16">
        <v>0.74603174603174605</v>
      </c>
      <c r="AB63">
        <v>63</v>
      </c>
      <c r="AC63" s="16">
        <v>7.9365079365079402E-2</v>
      </c>
      <c r="AD63">
        <v>63</v>
      </c>
      <c r="AE63" s="16">
        <v>0.418604651162791</v>
      </c>
      <c r="AF63">
        <v>129</v>
      </c>
      <c r="AG63" s="16">
        <v>1.85185185185185E-2</v>
      </c>
      <c r="AH63">
        <v>54</v>
      </c>
      <c r="AI63" s="16">
        <v>5.5555555555555601E-2</v>
      </c>
      <c r="AJ63">
        <v>54</v>
      </c>
      <c r="AK63" s="16">
        <v>3.7037037037037E-2</v>
      </c>
      <c r="AL63">
        <v>54</v>
      </c>
      <c r="AM63" s="16">
        <v>3.7037037037037E-2</v>
      </c>
      <c r="AN63">
        <v>54</v>
      </c>
      <c r="AO63" s="16">
        <v>0.79629629629629595</v>
      </c>
      <c r="AP63">
        <v>54</v>
      </c>
      <c r="AQ63" s="16">
        <v>5.5555555555555601E-2</v>
      </c>
      <c r="AR63" s="11">
        <v>54</v>
      </c>
    </row>
    <row r="64" spans="1:44" outlineLevel="1" x14ac:dyDescent="0.25">
      <c r="A64" s="6" t="s">
        <v>15</v>
      </c>
      <c r="B64" t="s">
        <v>69</v>
      </c>
      <c r="C64" s="16">
        <v>0.57003257328990198</v>
      </c>
      <c r="D64">
        <v>307</v>
      </c>
      <c r="E64" s="16">
        <v>5.7142857142857099E-3</v>
      </c>
      <c r="F64">
        <v>175</v>
      </c>
      <c r="G64" s="16">
        <v>4.57142857142857E-2</v>
      </c>
      <c r="H64">
        <v>175</v>
      </c>
      <c r="I64" s="16">
        <v>5.7142857142857099E-2</v>
      </c>
      <c r="J64">
        <v>175</v>
      </c>
      <c r="K64" s="16">
        <v>0.04</v>
      </c>
      <c r="L64">
        <v>175</v>
      </c>
      <c r="M64" s="16">
        <v>0.748571428571429</v>
      </c>
      <c r="N64">
        <v>175</v>
      </c>
      <c r="O64" s="16">
        <v>0.10285714285714299</v>
      </c>
      <c r="P64">
        <v>175</v>
      </c>
      <c r="Q64" s="16">
        <v>0.53896103896103897</v>
      </c>
      <c r="R64">
        <v>154</v>
      </c>
      <c r="S64" s="16">
        <v>1.20481927710843E-2</v>
      </c>
      <c r="T64">
        <v>83</v>
      </c>
      <c r="U64" s="16">
        <v>6.02409638554217E-2</v>
      </c>
      <c r="V64">
        <v>83</v>
      </c>
      <c r="W64" s="16">
        <v>6.02409638554217E-2</v>
      </c>
      <c r="X64">
        <v>83</v>
      </c>
      <c r="Y64" s="16">
        <v>6.02409638554217E-2</v>
      </c>
      <c r="Z64">
        <v>83</v>
      </c>
      <c r="AA64" s="16">
        <v>0.67469879518072295</v>
      </c>
      <c r="AB64">
        <v>83</v>
      </c>
      <c r="AC64" s="16">
        <v>0.132530120481928</v>
      </c>
      <c r="AD64">
        <v>83</v>
      </c>
      <c r="AE64" s="16">
        <v>0.60130718954248397</v>
      </c>
      <c r="AF64">
        <v>153</v>
      </c>
      <c r="AG64" s="16"/>
      <c r="AI64" s="16">
        <v>3.2608695652173898E-2</v>
      </c>
      <c r="AJ64">
        <v>92</v>
      </c>
      <c r="AK64" s="16">
        <v>5.4347826086956499E-2</v>
      </c>
      <c r="AL64">
        <v>92</v>
      </c>
      <c r="AM64" s="16">
        <v>2.1739130434782601E-2</v>
      </c>
      <c r="AN64">
        <v>92</v>
      </c>
      <c r="AO64" s="16">
        <v>0.815217391304348</v>
      </c>
      <c r="AP64">
        <v>92</v>
      </c>
      <c r="AQ64" s="16">
        <v>7.6086956521739094E-2</v>
      </c>
      <c r="AR64" s="11">
        <v>92</v>
      </c>
    </row>
    <row r="65" spans="1:44" outlineLevel="1" x14ac:dyDescent="0.25">
      <c r="A65" s="6" t="s">
        <v>15</v>
      </c>
      <c r="B65" t="s">
        <v>70</v>
      </c>
      <c r="C65" s="16">
        <v>0.85142857142857098</v>
      </c>
      <c r="D65">
        <v>175</v>
      </c>
      <c r="E65" s="16"/>
      <c r="G65" s="16">
        <v>6.7114093959731499E-3</v>
      </c>
      <c r="H65">
        <v>149</v>
      </c>
      <c r="I65" s="16">
        <v>6.7114093959731499E-3</v>
      </c>
      <c r="J65">
        <v>149</v>
      </c>
      <c r="K65" s="16">
        <v>1.34228187919463E-2</v>
      </c>
      <c r="L65">
        <v>149</v>
      </c>
      <c r="M65" s="16">
        <v>0.932885906040268</v>
      </c>
      <c r="N65">
        <v>149</v>
      </c>
      <c r="O65" s="16">
        <v>4.0268456375838903E-2</v>
      </c>
      <c r="P65">
        <v>149</v>
      </c>
      <c r="Q65" s="16">
        <v>0.875</v>
      </c>
      <c r="R65">
        <v>80</v>
      </c>
      <c r="S65" s="16"/>
      <c r="U65" s="16">
        <v>1.4285714285714299E-2</v>
      </c>
      <c r="V65">
        <v>70</v>
      </c>
      <c r="W65" s="16"/>
      <c r="Y65" s="16">
        <v>1.4285714285714299E-2</v>
      </c>
      <c r="Z65">
        <v>70</v>
      </c>
      <c r="AA65" s="16">
        <v>0.94285714285714295</v>
      </c>
      <c r="AB65">
        <v>70</v>
      </c>
      <c r="AC65" s="16">
        <v>2.8571428571428598E-2</v>
      </c>
      <c r="AD65">
        <v>70</v>
      </c>
      <c r="AE65" s="16">
        <v>0.83157894736842097</v>
      </c>
      <c r="AF65">
        <v>95</v>
      </c>
      <c r="AG65" s="16"/>
      <c r="AI65" s="16"/>
      <c r="AK65" s="16">
        <v>1.26582278481013E-2</v>
      </c>
      <c r="AL65">
        <v>79</v>
      </c>
      <c r="AM65" s="16">
        <v>1.26582278481013E-2</v>
      </c>
      <c r="AN65">
        <v>79</v>
      </c>
      <c r="AO65" s="16">
        <v>0.924050632911392</v>
      </c>
      <c r="AP65">
        <v>79</v>
      </c>
      <c r="AQ65" s="16">
        <v>5.0632911392405097E-2</v>
      </c>
      <c r="AR65" s="11">
        <v>79</v>
      </c>
    </row>
    <row r="66" spans="1:44" outlineLevel="1" x14ac:dyDescent="0.25">
      <c r="A66" s="6" t="s">
        <v>15</v>
      </c>
      <c r="B66" t="s">
        <v>71</v>
      </c>
      <c r="C66" s="16">
        <v>0.74594594594594599</v>
      </c>
      <c r="D66">
        <v>185</v>
      </c>
      <c r="E66" s="16"/>
      <c r="G66" s="16">
        <v>2.8985507246376802E-2</v>
      </c>
      <c r="H66">
        <v>138</v>
      </c>
      <c r="I66" s="16">
        <v>2.8985507246376802E-2</v>
      </c>
      <c r="J66">
        <v>138</v>
      </c>
      <c r="K66" s="16">
        <v>5.0724637681159403E-2</v>
      </c>
      <c r="L66">
        <v>138</v>
      </c>
      <c r="M66" s="16">
        <v>0.82608695652173902</v>
      </c>
      <c r="N66">
        <v>138</v>
      </c>
      <c r="O66" s="16">
        <v>6.5217391304347797E-2</v>
      </c>
      <c r="P66">
        <v>138</v>
      </c>
      <c r="Q66" s="16">
        <v>0.71276595744680804</v>
      </c>
      <c r="R66">
        <v>94</v>
      </c>
      <c r="S66" s="16"/>
      <c r="U66" s="16">
        <v>2.9850746268656699E-2</v>
      </c>
      <c r="V66">
        <v>67</v>
      </c>
      <c r="W66" s="16">
        <v>2.9850746268656699E-2</v>
      </c>
      <c r="X66">
        <v>67</v>
      </c>
      <c r="Y66" s="16"/>
      <c r="AA66" s="16">
        <v>0.88059701492537301</v>
      </c>
      <c r="AB66">
        <v>67</v>
      </c>
      <c r="AC66" s="16">
        <v>5.9701492537313397E-2</v>
      </c>
      <c r="AD66">
        <v>67</v>
      </c>
      <c r="AE66" s="16">
        <v>0.78021978021978</v>
      </c>
      <c r="AF66">
        <v>91</v>
      </c>
      <c r="AG66" s="16"/>
      <c r="AI66" s="16">
        <v>2.8169014084507001E-2</v>
      </c>
      <c r="AJ66">
        <v>71</v>
      </c>
      <c r="AK66" s="16">
        <v>2.8169014084507001E-2</v>
      </c>
      <c r="AL66">
        <v>71</v>
      </c>
      <c r="AM66" s="16">
        <v>9.8591549295774697E-2</v>
      </c>
      <c r="AN66">
        <v>71</v>
      </c>
      <c r="AO66" s="16">
        <v>0.77464788732394396</v>
      </c>
      <c r="AP66">
        <v>71</v>
      </c>
      <c r="AQ66" s="16">
        <v>7.0422535211267595E-2</v>
      </c>
      <c r="AR66" s="11">
        <v>71</v>
      </c>
    </row>
    <row r="67" spans="1:44" outlineLevel="1" x14ac:dyDescent="0.25">
      <c r="A67" s="6" t="s">
        <v>15</v>
      </c>
      <c r="B67" t="s">
        <v>72</v>
      </c>
      <c r="C67" s="16">
        <v>0.92045454545454597</v>
      </c>
      <c r="D67">
        <v>176</v>
      </c>
      <c r="E67" s="16"/>
      <c r="G67" s="16"/>
      <c r="I67" s="16"/>
      <c r="K67" s="16">
        <v>1.88679245283019E-2</v>
      </c>
      <c r="L67">
        <v>159</v>
      </c>
      <c r="M67" s="16">
        <v>0.94339622641509402</v>
      </c>
      <c r="N67">
        <v>159</v>
      </c>
      <c r="O67" s="16">
        <v>3.77358490566038E-2</v>
      </c>
      <c r="P67">
        <v>159</v>
      </c>
      <c r="Q67" s="16">
        <v>0.90909090909090895</v>
      </c>
      <c r="R67">
        <v>88</v>
      </c>
      <c r="S67" s="16"/>
      <c r="U67" s="16"/>
      <c r="W67" s="16"/>
      <c r="Y67" s="16">
        <v>1.26582278481013E-2</v>
      </c>
      <c r="Z67">
        <v>79</v>
      </c>
      <c r="AA67" s="16">
        <v>0.936708860759494</v>
      </c>
      <c r="AB67">
        <v>79</v>
      </c>
      <c r="AC67" s="16">
        <v>5.0632911392405097E-2</v>
      </c>
      <c r="AD67">
        <v>79</v>
      </c>
      <c r="AE67" s="16">
        <v>0.93181818181818199</v>
      </c>
      <c r="AF67">
        <v>88</v>
      </c>
      <c r="AG67" s="16"/>
      <c r="AI67" s="16"/>
      <c r="AK67" s="16"/>
      <c r="AM67" s="16">
        <v>2.5000000000000001E-2</v>
      </c>
      <c r="AN67">
        <v>80</v>
      </c>
      <c r="AO67" s="16">
        <v>0.95</v>
      </c>
      <c r="AP67">
        <v>80</v>
      </c>
      <c r="AQ67" s="16">
        <v>2.5000000000000001E-2</v>
      </c>
      <c r="AR67" s="11">
        <v>80</v>
      </c>
    </row>
    <row r="68" spans="1:44" outlineLevel="1" x14ac:dyDescent="0.25">
      <c r="A68" s="6" t="s">
        <v>15</v>
      </c>
      <c r="B68" t="s">
        <v>73</v>
      </c>
      <c r="C68" s="16">
        <v>0.14838709677419401</v>
      </c>
      <c r="D68">
        <v>155</v>
      </c>
      <c r="E68" s="16"/>
      <c r="G68" s="16">
        <v>0.217391304347826</v>
      </c>
      <c r="H68">
        <v>23</v>
      </c>
      <c r="I68" s="16"/>
      <c r="K68" s="16">
        <v>0.565217391304348</v>
      </c>
      <c r="L68">
        <v>23</v>
      </c>
      <c r="M68" s="16"/>
      <c r="O68" s="16">
        <v>0.217391304347826</v>
      </c>
      <c r="P68">
        <v>23</v>
      </c>
      <c r="Q68" s="16">
        <v>0.13698630136986301</v>
      </c>
      <c r="R68">
        <v>73</v>
      </c>
      <c r="S68" s="16"/>
      <c r="U68" s="16">
        <v>0.2</v>
      </c>
      <c r="V68">
        <v>10</v>
      </c>
      <c r="W68" s="16"/>
      <c r="Y68" s="16">
        <v>0.6</v>
      </c>
      <c r="Z68">
        <v>10</v>
      </c>
      <c r="AA68" s="16"/>
      <c r="AC68" s="16">
        <v>0.2</v>
      </c>
      <c r="AD68">
        <v>10</v>
      </c>
      <c r="AE68" s="16">
        <v>0.15853658536585399</v>
      </c>
      <c r="AF68">
        <v>82</v>
      </c>
      <c r="AG68" s="16"/>
      <c r="AI68" s="16">
        <v>0.230769230769231</v>
      </c>
      <c r="AJ68">
        <v>13</v>
      </c>
      <c r="AK68" s="16"/>
      <c r="AM68" s="16">
        <v>0.53846153846153899</v>
      </c>
      <c r="AN68">
        <v>13</v>
      </c>
      <c r="AO68" s="16"/>
      <c r="AQ68" s="16">
        <v>0.230769230769231</v>
      </c>
      <c r="AR68" s="11">
        <v>13</v>
      </c>
    </row>
    <row r="69" spans="1:44" outlineLevel="1" x14ac:dyDescent="0.25">
      <c r="A69" s="6" t="s">
        <v>15</v>
      </c>
      <c r="B69" t="s">
        <v>74</v>
      </c>
      <c r="C69" s="16">
        <v>0.793333333333333</v>
      </c>
      <c r="D69">
        <v>150</v>
      </c>
      <c r="E69" s="16">
        <v>8.4745762711864406E-3</v>
      </c>
      <c r="F69">
        <v>118</v>
      </c>
      <c r="G69" s="16">
        <v>2.5423728813559299E-2</v>
      </c>
      <c r="H69">
        <v>118</v>
      </c>
      <c r="I69" s="16">
        <v>8.4745762711864406E-3</v>
      </c>
      <c r="J69">
        <v>118</v>
      </c>
      <c r="K69" s="16">
        <v>6.7796610169491497E-2</v>
      </c>
      <c r="L69">
        <v>118</v>
      </c>
      <c r="M69" s="16">
        <v>0.61864406779660996</v>
      </c>
      <c r="N69">
        <v>118</v>
      </c>
      <c r="O69" s="16">
        <v>0.27118644067796599</v>
      </c>
      <c r="P69">
        <v>118</v>
      </c>
      <c r="Q69" s="16">
        <v>0.81707317073170704</v>
      </c>
      <c r="R69">
        <v>82</v>
      </c>
      <c r="S69" s="16"/>
      <c r="U69" s="16">
        <v>2.9850746268656699E-2</v>
      </c>
      <c r="V69">
        <v>67</v>
      </c>
      <c r="W69" s="16">
        <v>1.49253731343284E-2</v>
      </c>
      <c r="X69">
        <v>67</v>
      </c>
      <c r="Y69" s="16">
        <v>7.4626865671641798E-2</v>
      </c>
      <c r="Z69">
        <v>67</v>
      </c>
      <c r="AA69" s="16">
        <v>0.56716417910447803</v>
      </c>
      <c r="AB69">
        <v>67</v>
      </c>
      <c r="AC69" s="16">
        <v>0.31343283582089598</v>
      </c>
      <c r="AD69">
        <v>67</v>
      </c>
      <c r="AE69" s="16">
        <v>0.76470588235294101</v>
      </c>
      <c r="AF69">
        <v>68</v>
      </c>
      <c r="AG69" s="16">
        <v>1.9607843137254902E-2</v>
      </c>
      <c r="AH69">
        <v>51</v>
      </c>
      <c r="AI69" s="16">
        <v>1.9607843137254902E-2</v>
      </c>
      <c r="AJ69">
        <v>51</v>
      </c>
      <c r="AK69" s="16"/>
      <c r="AM69" s="16">
        <v>5.8823529411764698E-2</v>
      </c>
      <c r="AN69">
        <v>51</v>
      </c>
      <c r="AO69" s="16">
        <v>0.68627450980392202</v>
      </c>
      <c r="AP69">
        <v>51</v>
      </c>
      <c r="AQ69" s="16">
        <v>0.21568627450980399</v>
      </c>
      <c r="AR69" s="11">
        <v>51</v>
      </c>
    </row>
    <row r="70" spans="1:44" outlineLevel="1" x14ac:dyDescent="0.25">
      <c r="A70" s="6" t="s">
        <v>15</v>
      </c>
      <c r="B70" t="s">
        <v>75</v>
      </c>
      <c r="C70" s="16">
        <v>0.39877300613496902</v>
      </c>
      <c r="D70">
        <v>163</v>
      </c>
      <c r="E70" s="16">
        <v>7.8125E-2</v>
      </c>
      <c r="F70">
        <v>64</v>
      </c>
      <c r="G70" s="16">
        <v>1.5625E-2</v>
      </c>
      <c r="H70">
        <v>64</v>
      </c>
      <c r="I70" s="16">
        <v>3.125E-2</v>
      </c>
      <c r="J70">
        <v>64</v>
      </c>
      <c r="K70" s="16">
        <v>0.15625</v>
      </c>
      <c r="L70">
        <v>64</v>
      </c>
      <c r="M70" s="16">
        <v>0.4375</v>
      </c>
      <c r="N70">
        <v>64</v>
      </c>
      <c r="O70" s="16">
        <v>0.28125</v>
      </c>
      <c r="P70">
        <v>64</v>
      </c>
      <c r="Q70" s="16">
        <v>0.40697674418604701</v>
      </c>
      <c r="R70">
        <v>86</v>
      </c>
      <c r="S70" s="16">
        <v>5.8823529411764698E-2</v>
      </c>
      <c r="T70">
        <v>34</v>
      </c>
      <c r="U70" s="16"/>
      <c r="W70" s="16"/>
      <c r="Y70" s="16">
        <v>0.11764705882352899</v>
      </c>
      <c r="Z70">
        <v>34</v>
      </c>
      <c r="AA70" s="16">
        <v>0.41176470588235298</v>
      </c>
      <c r="AB70">
        <v>34</v>
      </c>
      <c r="AC70" s="16">
        <v>0.41176470588235298</v>
      </c>
      <c r="AD70">
        <v>34</v>
      </c>
      <c r="AE70" s="16">
        <v>0.38961038961039002</v>
      </c>
      <c r="AF70">
        <v>77</v>
      </c>
      <c r="AG70" s="16">
        <v>0.1</v>
      </c>
      <c r="AH70">
        <v>30</v>
      </c>
      <c r="AI70" s="16">
        <v>3.3333333333333298E-2</v>
      </c>
      <c r="AJ70">
        <v>30</v>
      </c>
      <c r="AK70" s="16">
        <v>6.6666666666666693E-2</v>
      </c>
      <c r="AL70">
        <v>30</v>
      </c>
      <c r="AM70" s="16">
        <v>0.2</v>
      </c>
      <c r="AN70">
        <v>30</v>
      </c>
      <c r="AO70" s="16">
        <v>0.46666666666666701</v>
      </c>
      <c r="AP70">
        <v>30</v>
      </c>
      <c r="AQ70" s="16">
        <v>0.133333333333333</v>
      </c>
      <c r="AR70" s="11">
        <v>30</v>
      </c>
    </row>
    <row r="71" spans="1:44" outlineLevel="1" x14ac:dyDescent="0.25">
      <c r="A71" s="6" t="s">
        <v>15</v>
      </c>
      <c r="B71" t="s">
        <v>76</v>
      </c>
      <c r="C71" s="16">
        <v>0.55319148936170204</v>
      </c>
      <c r="D71">
        <v>141</v>
      </c>
      <c r="E71" s="16">
        <v>5.2631578947368397E-2</v>
      </c>
      <c r="F71">
        <v>76</v>
      </c>
      <c r="G71" s="16">
        <v>7.8947368421052599E-2</v>
      </c>
      <c r="H71">
        <v>76</v>
      </c>
      <c r="I71" s="16">
        <v>3.94736842105263E-2</v>
      </c>
      <c r="J71">
        <v>76</v>
      </c>
      <c r="K71" s="16">
        <v>1.3157894736842099E-2</v>
      </c>
      <c r="L71">
        <v>76</v>
      </c>
      <c r="M71" s="16">
        <v>0.67105263157894701</v>
      </c>
      <c r="N71">
        <v>76</v>
      </c>
      <c r="O71" s="16">
        <v>0.144736842105263</v>
      </c>
      <c r="P71">
        <v>76</v>
      </c>
      <c r="Q71" s="16">
        <v>0.61363636363636398</v>
      </c>
      <c r="R71">
        <v>88</v>
      </c>
      <c r="S71" s="16">
        <v>1.9230769230769201E-2</v>
      </c>
      <c r="T71">
        <v>52</v>
      </c>
      <c r="U71" s="16">
        <v>7.69230769230769E-2</v>
      </c>
      <c r="V71">
        <v>52</v>
      </c>
      <c r="W71" s="16">
        <v>5.7692307692307702E-2</v>
      </c>
      <c r="X71">
        <v>52</v>
      </c>
      <c r="Y71" s="16">
        <v>1.9230769230769201E-2</v>
      </c>
      <c r="Z71">
        <v>52</v>
      </c>
      <c r="AA71" s="16">
        <v>0.67307692307692302</v>
      </c>
      <c r="AB71">
        <v>52</v>
      </c>
      <c r="AC71" s="16">
        <v>0.15384615384615399</v>
      </c>
      <c r="AD71">
        <v>52</v>
      </c>
      <c r="AE71" s="16">
        <v>0.45283018867924502</v>
      </c>
      <c r="AF71">
        <v>53</v>
      </c>
      <c r="AG71" s="16">
        <v>0.125</v>
      </c>
      <c r="AH71">
        <v>24</v>
      </c>
      <c r="AI71" s="16">
        <v>8.3333333333333301E-2</v>
      </c>
      <c r="AJ71">
        <v>24</v>
      </c>
      <c r="AK71" s="16"/>
      <c r="AM71" s="16"/>
      <c r="AO71" s="16">
        <v>0.66666666666666696</v>
      </c>
      <c r="AP71">
        <v>24</v>
      </c>
      <c r="AQ71" s="16">
        <v>0.125</v>
      </c>
      <c r="AR71" s="11">
        <v>24</v>
      </c>
    </row>
    <row r="72" spans="1:44" outlineLevel="1" x14ac:dyDescent="0.25">
      <c r="A72" s="6" t="s">
        <v>15</v>
      </c>
      <c r="B72" t="s">
        <v>77</v>
      </c>
      <c r="C72" s="16">
        <v>0.45294117647058801</v>
      </c>
      <c r="D72">
        <v>170</v>
      </c>
      <c r="E72" s="16">
        <v>5.1948051948052E-2</v>
      </c>
      <c r="F72">
        <v>77</v>
      </c>
      <c r="G72" s="16">
        <v>2.5974025974026E-2</v>
      </c>
      <c r="H72">
        <v>77</v>
      </c>
      <c r="I72" s="16">
        <v>3.8961038961039002E-2</v>
      </c>
      <c r="J72">
        <v>77</v>
      </c>
      <c r="K72" s="16">
        <v>7.7922077922077906E-2</v>
      </c>
      <c r="L72">
        <v>77</v>
      </c>
      <c r="M72" s="16">
        <v>0.67532467532467499</v>
      </c>
      <c r="N72">
        <v>77</v>
      </c>
      <c r="O72" s="16">
        <v>0.12987012987013</v>
      </c>
      <c r="P72">
        <v>77</v>
      </c>
      <c r="Q72" s="16">
        <v>0.51315789473684204</v>
      </c>
      <c r="R72">
        <v>76</v>
      </c>
      <c r="S72" s="16">
        <v>5.1282051282051301E-2</v>
      </c>
      <c r="T72">
        <v>39</v>
      </c>
      <c r="U72" s="16">
        <v>2.5641025641025599E-2</v>
      </c>
      <c r="V72">
        <v>39</v>
      </c>
      <c r="W72" s="16">
        <v>5.1282051282051301E-2</v>
      </c>
      <c r="X72">
        <v>39</v>
      </c>
      <c r="Y72" s="16">
        <v>0.102564102564103</v>
      </c>
      <c r="Z72">
        <v>39</v>
      </c>
      <c r="AA72" s="16">
        <v>0.71794871794871795</v>
      </c>
      <c r="AB72">
        <v>39</v>
      </c>
      <c r="AC72" s="16">
        <v>5.1282051282051301E-2</v>
      </c>
      <c r="AD72">
        <v>39</v>
      </c>
      <c r="AE72" s="16">
        <v>0.40425531914893598</v>
      </c>
      <c r="AF72">
        <v>94</v>
      </c>
      <c r="AG72" s="16">
        <v>5.2631578947368397E-2</v>
      </c>
      <c r="AH72">
        <v>38</v>
      </c>
      <c r="AI72" s="16">
        <v>2.6315789473684199E-2</v>
      </c>
      <c r="AJ72">
        <v>38</v>
      </c>
      <c r="AK72" s="16">
        <v>2.6315789473684199E-2</v>
      </c>
      <c r="AL72">
        <v>38</v>
      </c>
      <c r="AM72" s="16">
        <v>5.2631578947368397E-2</v>
      </c>
      <c r="AN72">
        <v>38</v>
      </c>
      <c r="AO72" s="16">
        <v>0.63157894736842102</v>
      </c>
      <c r="AP72">
        <v>38</v>
      </c>
      <c r="AQ72" s="16">
        <v>0.21052631578947401</v>
      </c>
      <c r="AR72" s="11">
        <v>38</v>
      </c>
    </row>
    <row r="73" spans="1:44" outlineLevel="1" x14ac:dyDescent="0.25">
      <c r="A73" s="6" t="s">
        <v>15</v>
      </c>
      <c r="B73" t="s">
        <v>78</v>
      </c>
      <c r="C73" s="16">
        <v>0.12738853503184699</v>
      </c>
      <c r="D73">
        <v>157</v>
      </c>
      <c r="E73" s="16">
        <v>0.05</v>
      </c>
      <c r="F73">
        <v>20</v>
      </c>
      <c r="G73" s="16">
        <v>0.25</v>
      </c>
      <c r="H73">
        <v>20</v>
      </c>
      <c r="I73" s="16">
        <v>0.2</v>
      </c>
      <c r="J73">
        <v>20</v>
      </c>
      <c r="K73" s="16">
        <v>0.2</v>
      </c>
      <c r="L73">
        <v>20</v>
      </c>
      <c r="M73" s="16"/>
      <c r="O73" s="16">
        <v>0.3</v>
      </c>
      <c r="P73">
        <v>20</v>
      </c>
      <c r="Q73" s="16">
        <v>0.109756097560976</v>
      </c>
      <c r="R73">
        <v>82</v>
      </c>
      <c r="S73" s="16"/>
      <c r="U73" s="16">
        <v>0.11111111111111099</v>
      </c>
      <c r="V73">
        <v>9</v>
      </c>
      <c r="W73" s="16">
        <v>0.33333333333333298</v>
      </c>
      <c r="X73">
        <v>9</v>
      </c>
      <c r="Y73" s="16">
        <v>0.33333333333333298</v>
      </c>
      <c r="Z73">
        <v>9</v>
      </c>
      <c r="AA73" s="16"/>
      <c r="AC73" s="16">
        <v>0.22222222222222199</v>
      </c>
      <c r="AD73">
        <v>9</v>
      </c>
      <c r="AE73" s="16">
        <v>0.146666666666667</v>
      </c>
      <c r="AF73">
        <v>75</v>
      </c>
      <c r="AG73" s="16">
        <v>9.0909090909090898E-2</v>
      </c>
      <c r="AH73">
        <v>11</v>
      </c>
      <c r="AI73" s="16">
        <v>0.36363636363636398</v>
      </c>
      <c r="AJ73">
        <v>11</v>
      </c>
      <c r="AK73" s="16">
        <v>9.0909090909090898E-2</v>
      </c>
      <c r="AL73">
        <v>11</v>
      </c>
      <c r="AM73" s="16">
        <v>9.0909090909090898E-2</v>
      </c>
      <c r="AN73">
        <v>11</v>
      </c>
      <c r="AO73" s="16"/>
      <c r="AQ73" s="16">
        <v>0.36363636363636398</v>
      </c>
      <c r="AR73" s="11">
        <v>11</v>
      </c>
    </row>
    <row r="74" spans="1:44" outlineLevel="1" x14ac:dyDescent="0.25">
      <c r="A74" s="6" t="s">
        <v>15</v>
      </c>
      <c r="B74" t="s">
        <v>79</v>
      </c>
      <c r="C74" s="16">
        <v>0.38167938931297701</v>
      </c>
      <c r="D74">
        <v>131</v>
      </c>
      <c r="E74" s="16"/>
      <c r="G74" s="16"/>
      <c r="I74" s="16"/>
      <c r="K74" s="16">
        <v>0.3</v>
      </c>
      <c r="L74">
        <v>50</v>
      </c>
      <c r="M74" s="16">
        <v>0.2</v>
      </c>
      <c r="N74">
        <v>50</v>
      </c>
      <c r="O74" s="16">
        <v>0.5</v>
      </c>
      <c r="P74">
        <v>50</v>
      </c>
      <c r="Q74" s="16">
        <v>0.36206896551724099</v>
      </c>
      <c r="R74">
        <v>58</v>
      </c>
      <c r="S74" s="16"/>
      <c r="U74" s="16"/>
      <c r="W74" s="16"/>
      <c r="Y74" s="16">
        <v>0.238095238095238</v>
      </c>
      <c r="Z74">
        <v>21</v>
      </c>
      <c r="AA74" s="16">
        <v>0.238095238095238</v>
      </c>
      <c r="AB74">
        <v>21</v>
      </c>
      <c r="AC74" s="16">
        <v>0.52380952380952395</v>
      </c>
      <c r="AD74">
        <v>21</v>
      </c>
      <c r="AE74" s="16">
        <v>0.397260273972603</v>
      </c>
      <c r="AF74">
        <v>73</v>
      </c>
      <c r="AG74" s="16"/>
      <c r="AI74" s="16"/>
      <c r="AK74" s="16"/>
      <c r="AM74" s="16">
        <v>0.34482758620689702</v>
      </c>
      <c r="AN74">
        <v>29</v>
      </c>
      <c r="AO74" s="16">
        <v>0.17241379310344801</v>
      </c>
      <c r="AP74">
        <v>29</v>
      </c>
      <c r="AQ74" s="16">
        <v>0.48275862068965503</v>
      </c>
      <c r="AR74" s="11">
        <v>29</v>
      </c>
    </row>
    <row r="75" spans="1:44" outlineLevel="1" x14ac:dyDescent="0.25">
      <c r="A75" s="6" t="s">
        <v>15</v>
      </c>
      <c r="B75" t="s">
        <v>80</v>
      </c>
      <c r="C75" s="16">
        <v>0.586666666666667</v>
      </c>
      <c r="D75">
        <v>75</v>
      </c>
      <c r="E75" s="16"/>
      <c r="G75" s="16"/>
      <c r="I75" s="16">
        <v>6.8181818181818205E-2</v>
      </c>
      <c r="J75">
        <v>44</v>
      </c>
      <c r="K75" s="16">
        <v>9.0909090909090898E-2</v>
      </c>
      <c r="L75">
        <v>44</v>
      </c>
      <c r="M75" s="16">
        <v>0.79545454545454597</v>
      </c>
      <c r="N75">
        <v>44</v>
      </c>
      <c r="O75" s="16">
        <v>4.5454545454545497E-2</v>
      </c>
      <c r="P75">
        <v>44</v>
      </c>
      <c r="Q75" s="16">
        <v>0.59375</v>
      </c>
      <c r="R75">
        <v>32</v>
      </c>
      <c r="S75" s="16"/>
      <c r="U75" s="16"/>
      <c r="W75" s="16"/>
      <c r="Y75" s="16">
        <v>0.105263157894737</v>
      </c>
      <c r="Z75">
        <v>19</v>
      </c>
      <c r="AA75" s="16">
        <v>0.84210526315789502</v>
      </c>
      <c r="AB75">
        <v>19</v>
      </c>
      <c r="AC75" s="16">
        <v>5.2631578947368397E-2</v>
      </c>
      <c r="AD75">
        <v>19</v>
      </c>
      <c r="AE75" s="16">
        <v>0.59523809523809501</v>
      </c>
      <c r="AF75">
        <v>42</v>
      </c>
      <c r="AG75" s="16"/>
      <c r="AI75" s="16"/>
      <c r="AK75" s="16">
        <v>0.12</v>
      </c>
      <c r="AL75">
        <v>25</v>
      </c>
      <c r="AM75" s="16">
        <v>0.08</v>
      </c>
      <c r="AN75">
        <v>25</v>
      </c>
      <c r="AO75" s="16">
        <v>0.76</v>
      </c>
      <c r="AP75">
        <v>25</v>
      </c>
      <c r="AQ75" s="16">
        <v>0.04</v>
      </c>
      <c r="AR75" s="11">
        <v>25</v>
      </c>
    </row>
    <row r="76" spans="1:44" outlineLevel="1" x14ac:dyDescent="0.25">
      <c r="A76" s="6" t="s">
        <v>15</v>
      </c>
      <c r="B76" t="s">
        <v>81</v>
      </c>
      <c r="C76" s="16">
        <v>0.238095238095238</v>
      </c>
      <c r="D76">
        <v>210</v>
      </c>
      <c r="E76" s="16">
        <v>0.02</v>
      </c>
      <c r="F76">
        <v>50</v>
      </c>
      <c r="G76" s="16">
        <v>0.12</v>
      </c>
      <c r="H76">
        <v>50</v>
      </c>
      <c r="I76" s="16">
        <v>0.32</v>
      </c>
      <c r="J76">
        <v>50</v>
      </c>
      <c r="K76" s="16">
        <v>0.08</v>
      </c>
      <c r="L76">
        <v>50</v>
      </c>
      <c r="M76" s="16">
        <v>0.24</v>
      </c>
      <c r="N76">
        <v>50</v>
      </c>
      <c r="O76" s="16">
        <v>0.22</v>
      </c>
      <c r="P76">
        <v>50</v>
      </c>
      <c r="Q76" s="16">
        <v>0.29523809523809502</v>
      </c>
      <c r="R76">
        <v>105</v>
      </c>
      <c r="S76" s="16">
        <v>3.2258064516128997E-2</v>
      </c>
      <c r="T76">
        <v>31</v>
      </c>
      <c r="U76" s="16">
        <v>0.16129032258064499</v>
      </c>
      <c r="V76">
        <v>31</v>
      </c>
      <c r="W76" s="16">
        <v>0.35483870967741898</v>
      </c>
      <c r="X76">
        <v>31</v>
      </c>
      <c r="Y76" s="16">
        <v>6.4516129032258104E-2</v>
      </c>
      <c r="Z76">
        <v>31</v>
      </c>
      <c r="AA76" s="16">
        <v>0.25806451612903197</v>
      </c>
      <c r="AB76">
        <v>31</v>
      </c>
      <c r="AC76" s="16">
        <v>0.12903225806451599</v>
      </c>
      <c r="AD76">
        <v>31</v>
      </c>
      <c r="AE76" s="16">
        <v>0.180952380952381</v>
      </c>
      <c r="AF76">
        <v>105</v>
      </c>
      <c r="AG76" s="16"/>
      <c r="AI76" s="16">
        <v>5.2631578947368397E-2</v>
      </c>
      <c r="AJ76">
        <v>19</v>
      </c>
      <c r="AK76" s="16">
        <v>0.26315789473684198</v>
      </c>
      <c r="AL76">
        <v>19</v>
      </c>
      <c r="AM76" s="16">
        <v>0.105263157894737</v>
      </c>
      <c r="AN76">
        <v>19</v>
      </c>
      <c r="AO76" s="16">
        <v>0.21052631578947401</v>
      </c>
      <c r="AP76">
        <v>19</v>
      </c>
      <c r="AQ76" s="16">
        <v>0.36842105263157898</v>
      </c>
      <c r="AR76" s="11">
        <v>19</v>
      </c>
    </row>
    <row r="77" spans="1:44" outlineLevel="1" x14ac:dyDescent="0.25">
      <c r="A77" s="6" t="s">
        <v>15</v>
      </c>
      <c r="B77" t="s">
        <v>82</v>
      </c>
      <c r="C77" s="16">
        <v>0.45833333333333298</v>
      </c>
      <c r="D77">
        <v>48</v>
      </c>
      <c r="E77" s="16"/>
      <c r="G77" s="16"/>
      <c r="I77" s="16"/>
      <c r="K77" s="16">
        <v>4.5454545454545497E-2</v>
      </c>
      <c r="L77">
        <v>22</v>
      </c>
      <c r="M77" s="16">
        <v>0.72727272727272696</v>
      </c>
      <c r="N77">
        <v>22</v>
      </c>
      <c r="O77" s="16">
        <v>0.22727272727272699</v>
      </c>
      <c r="P77">
        <v>22</v>
      </c>
      <c r="Q77" s="16">
        <v>0.30434782608695699</v>
      </c>
      <c r="R77">
        <v>23</v>
      </c>
      <c r="S77" s="16"/>
      <c r="U77" s="16"/>
      <c r="W77" s="16"/>
      <c r="Y77" s="16"/>
      <c r="AA77" s="16">
        <v>0.85714285714285698</v>
      </c>
      <c r="AB77">
        <v>7</v>
      </c>
      <c r="AC77" s="16">
        <v>0.14285714285714299</v>
      </c>
      <c r="AD77">
        <v>7</v>
      </c>
      <c r="AE77" s="16">
        <v>0.6</v>
      </c>
      <c r="AF77">
        <v>25</v>
      </c>
      <c r="AG77" s="16"/>
      <c r="AI77" s="16"/>
      <c r="AK77" s="16"/>
      <c r="AM77" s="16">
        <v>6.6666666666666693E-2</v>
      </c>
      <c r="AN77">
        <v>15</v>
      </c>
      <c r="AO77" s="16">
        <v>0.66666666666666696</v>
      </c>
      <c r="AP77">
        <v>15</v>
      </c>
      <c r="AQ77" s="16">
        <v>0.266666666666667</v>
      </c>
      <c r="AR77" s="11">
        <v>15</v>
      </c>
    </row>
    <row r="78" spans="1:44" outlineLevel="1" x14ac:dyDescent="0.25">
      <c r="A78" s="7" t="s">
        <v>15</v>
      </c>
      <c r="B78" s="9" t="s">
        <v>83</v>
      </c>
      <c r="C78" s="15">
        <v>0.128630654446308</v>
      </c>
      <c r="D78" s="9">
        <v>465</v>
      </c>
      <c r="E78" s="15">
        <v>0.192464612556386</v>
      </c>
      <c r="F78" s="9">
        <v>155</v>
      </c>
      <c r="G78" s="15">
        <v>0.17642540092898201</v>
      </c>
      <c r="H78" s="9">
        <v>155</v>
      </c>
      <c r="I78" s="15">
        <v>0.175574845907702</v>
      </c>
      <c r="J78" s="9">
        <v>155</v>
      </c>
      <c r="K78" s="15">
        <v>0.24459136932355199</v>
      </c>
      <c r="L78" s="9">
        <v>155</v>
      </c>
      <c r="M78" s="15"/>
      <c r="N78" s="9"/>
      <c r="O78" s="15">
        <v>0.21094377128337799</v>
      </c>
      <c r="P78" s="9">
        <v>155</v>
      </c>
      <c r="Q78" s="15">
        <v>0.13698400418600101</v>
      </c>
      <c r="R78" s="9">
        <v>215</v>
      </c>
      <c r="S78" s="15">
        <v>0.18982673585975901</v>
      </c>
      <c r="T78" s="9">
        <v>65</v>
      </c>
      <c r="U78" s="15">
        <v>0.122738100157643</v>
      </c>
      <c r="V78" s="9">
        <v>65</v>
      </c>
      <c r="W78" s="15">
        <v>0.19975813983104701</v>
      </c>
      <c r="X78" s="9">
        <v>65</v>
      </c>
      <c r="Y78" s="15">
        <v>0.28474010378963899</v>
      </c>
      <c r="Z78" s="9">
        <v>65</v>
      </c>
      <c r="AA78" s="15"/>
      <c r="AB78" s="9"/>
      <c r="AC78" s="15">
        <v>0.20293692036191199</v>
      </c>
      <c r="AD78" s="9">
        <v>65</v>
      </c>
      <c r="AE78" s="15">
        <v>0.12104145714616001</v>
      </c>
      <c r="AF78" s="9">
        <v>250</v>
      </c>
      <c r="AG78" s="15">
        <v>0.19517683548812201</v>
      </c>
      <c r="AH78" s="9">
        <v>90</v>
      </c>
      <c r="AI78" s="15">
        <v>0.231625831063282</v>
      </c>
      <c r="AJ78" s="9">
        <v>90</v>
      </c>
      <c r="AK78" s="15">
        <v>0.15070996711041501</v>
      </c>
      <c r="AL78" s="9">
        <v>90</v>
      </c>
      <c r="AM78" s="15">
        <v>0.20331107808084301</v>
      </c>
      <c r="AN78" s="9">
        <v>90</v>
      </c>
      <c r="AO78" s="15"/>
      <c r="AP78" s="9"/>
      <c r="AQ78" s="15">
        <v>0.21917628825733801</v>
      </c>
      <c r="AR78" s="12">
        <v>90</v>
      </c>
    </row>
    <row r="79" spans="1:44" x14ac:dyDescent="0.25">
      <c r="C79" s="16"/>
      <c r="E79" s="16"/>
      <c r="G79" s="16"/>
      <c r="I79" s="16"/>
      <c r="K79" s="16"/>
      <c r="M79" s="16"/>
      <c r="O79" s="16"/>
      <c r="Q79" s="16"/>
      <c r="S79" s="16"/>
      <c r="U79" s="16"/>
      <c r="W79" s="16"/>
      <c r="Y79" s="16"/>
      <c r="AA79" s="16"/>
      <c r="AC79" s="16"/>
      <c r="AE79" s="16"/>
      <c r="AG79" s="16"/>
      <c r="AI79" s="16"/>
      <c r="AK79" s="16"/>
      <c r="AM79" s="16"/>
      <c r="AO79" s="16"/>
      <c r="AQ79" s="16"/>
    </row>
    <row r="80" spans="1:44" x14ac:dyDescent="0.25">
      <c r="A80" s="19" t="s">
        <v>84</v>
      </c>
      <c r="B80" s="19"/>
      <c r="C80" s="20"/>
      <c r="D80" s="19"/>
      <c r="E80" s="20"/>
      <c r="F80" s="19"/>
      <c r="G80" s="20"/>
      <c r="H80" s="19"/>
      <c r="I80" s="20"/>
      <c r="J80" s="19"/>
      <c r="K80" s="20"/>
      <c r="L80" s="19"/>
      <c r="M80" s="20"/>
      <c r="N80" s="19"/>
      <c r="O80" s="20"/>
      <c r="P80" s="19"/>
      <c r="Q80" s="20"/>
      <c r="R80" s="19"/>
      <c r="S80" s="20"/>
      <c r="T80" s="19"/>
      <c r="U80" s="20"/>
      <c r="V80" s="19"/>
      <c r="W80" s="20"/>
      <c r="X80" s="19"/>
      <c r="Y80" s="20"/>
      <c r="Z80" s="19"/>
      <c r="AA80" s="20"/>
      <c r="AB80" s="19"/>
      <c r="AC80" s="20"/>
      <c r="AD80" s="19"/>
      <c r="AE80" s="20"/>
      <c r="AF80" s="19"/>
      <c r="AG80" s="20"/>
      <c r="AH80" s="19"/>
      <c r="AI80" s="20"/>
      <c r="AJ80" s="19"/>
      <c r="AK80" s="20"/>
      <c r="AL80" s="19"/>
      <c r="AM80" s="20"/>
      <c r="AN80" s="19"/>
      <c r="AO80" s="20"/>
      <c r="AP80" s="19"/>
      <c r="AQ80" s="20"/>
      <c r="AR80" s="19"/>
    </row>
    <row r="81" spans="1:44" outlineLevel="1" x14ac:dyDescent="0.25">
      <c r="A81" s="5" t="s">
        <v>15</v>
      </c>
      <c r="B81" s="8" t="s">
        <v>85</v>
      </c>
      <c r="C81" s="14">
        <v>0.59431396259577696</v>
      </c>
      <c r="D81" s="8">
        <v>2479</v>
      </c>
      <c r="E81" s="14">
        <v>4.5270184486120198E-3</v>
      </c>
      <c r="F81" s="8">
        <v>1216</v>
      </c>
      <c r="G81" s="14">
        <v>7.98767231520571E-3</v>
      </c>
      <c r="H81" s="8">
        <v>1216</v>
      </c>
      <c r="I81" s="14">
        <v>6.0896890775123898E-2</v>
      </c>
      <c r="J81" s="8">
        <v>1216</v>
      </c>
      <c r="K81" s="14">
        <v>5.1459363080123097E-2</v>
      </c>
      <c r="L81" s="8">
        <v>1216</v>
      </c>
      <c r="M81" s="14">
        <v>0.75965337406408395</v>
      </c>
      <c r="N81" s="8">
        <v>1216</v>
      </c>
      <c r="O81" s="14">
        <v>0.115475681316852</v>
      </c>
      <c r="P81" s="8">
        <v>1216</v>
      </c>
      <c r="Q81" s="14">
        <v>0.59860570333805496</v>
      </c>
      <c r="R81" s="8">
        <v>1202</v>
      </c>
      <c r="S81" s="14">
        <v>6.3291263388462696E-3</v>
      </c>
      <c r="T81" s="8">
        <v>595</v>
      </c>
      <c r="U81" s="14">
        <v>9.4650745158644106E-3</v>
      </c>
      <c r="V81" s="8">
        <v>595</v>
      </c>
      <c r="W81" s="14">
        <v>5.8222334111076399E-2</v>
      </c>
      <c r="X81" s="8">
        <v>595</v>
      </c>
      <c r="Y81" s="14">
        <v>5.3475578877000399E-2</v>
      </c>
      <c r="Z81" s="8">
        <v>595</v>
      </c>
      <c r="AA81" s="14">
        <v>0.76240986036964498</v>
      </c>
      <c r="AB81" s="8">
        <v>595</v>
      </c>
      <c r="AC81" s="14">
        <v>0.110098025787567</v>
      </c>
      <c r="AD81" s="8">
        <v>595</v>
      </c>
      <c r="AE81" s="14">
        <v>0.59067059430761604</v>
      </c>
      <c r="AF81" s="8">
        <v>1273</v>
      </c>
      <c r="AG81" s="14">
        <v>2.8833055753532998E-3</v>
      </c>
      <c r="AH81" s="8">
        <v>619</v>
      </c>
      <c r="AI81" s="14">
        <v>6.65060113106906E-3</v>
      </c>
      <c r="AJ81" s="8">
        <v>619</v>
      </c>
      <c r="AK81" s="14">
        <v>6.3502007577296807E-2</v>
      </c>
      <c r="AL81" s="8">
        <v>619</v>
      </c>
      <c r="AM81" s="14">
        <v>4.9734014157343999E-2</v>
      </c>
      <c r="AN81" s="8">
        <v>619</v>
      </c>
      <c r="AO81" s="14">
        <v>0.75653342499503795</v>
      </c>
      <c r="AP81" s="8">
        <v>619</v>
      </c>
      <c r="AQ81" s="14">
        <v>0.120696646563899</v>
      </c>
      <c r="AR81" s="10">
        <v>619</v>
      </c>
    </row>
    <row r="82" spans="1:44" outlineLevel="1" x14ac:dyDescent="0.25">
      <c r="A82" s="6" t="s">
        <v>15</v>
      </c>
      <c r="B82" t="s">
        <v>86</v>
      </c>
      <c r="C82" s="16">
        <v>0.61797752808988804</v>
      </c>
      <c r="D82">
        <v>356</v>
      </c>
      <c r="E82" s="16">
        <v>4.5454545454545496E-3</v>
      </c>
      <c r="F82">
        <v>220</v>
      </c>
      <c r="G82" s="16">
        <v>1.3636363636363599E-2</v>
      </c>
      <c r="H82">
        <v>220</v>
      </c>
      <c r="I82" s="16">
        <v>0.30909090909090903</v>
      </c>
      <c r="J82">
        <v>220</v>
      </c>
      <c r="K82" s="16">
        <v>4.0909090909090902E-2</v>
      </c>
      <c r="L82">
        <v>220</v>
      </c>
      <c r="M82" s="16">
        <v>0.513636363636364</v>
      </c>
      <c r="N82">
        <v>220</v>
      </c>
      <c r="O82" s="16">
        <v>0.118181818181818</v>
      </c>
      <c r="P82">
        <v>220</v>
      </c>
      <c r="Q82" s="16">
        <v>0.57865168539325795</v>
      </c>
      <c r="R82">
        <v>178</v>
      </c>
      <c r="S82" s="16"/>
      <c r="U82" s="16"/>
      <c r="W82" s="16">
        <v>0.36893203883495201</v>
      </c>
      <c r="X82">
        <v>103</v>
      </c>
      <c r="Y82" s="16">
        <v>4.8543689320388397E-2</v>
      </c>
      <c r="Z82">
        <v>103</v>
      </c>
      <c r="AA82" s="16">
        <v>0.42718446601941801</v>
      </c>
      <c r="AB82">
        <v>103</v>
      </c>
      <c r="AC82" s="16">
        <v>0.15533980582524301</v>
      </c>
      <c r="AD82">
        <v>103</v>
      </c>
      <c r="AE82" s="16">
        <v>0.65536723163841804</v>
      </c>
      <c r="AF82">
        <v>177</v>
      </c>
      <c r="AG82" s="16">
        <v>8.6206896551724102E-3</v>
      </c>
      <c r="AH82">
        <v>116</v>
      </c>
      <c r="AI82" s="16">
        <v>2.5862068965517199E-2</v>
      </c>
      <c r="AJ82">
        <v>116</v>
      </c>
      <c r="AK82" s="16">
        <v>0.25</v>
      </c>
      <c r="AL82">
        <v>116</v>
      </c>
      <c r="AM82" s="16">
        <v>3.4482758620689703E-2</v>
      </c>
      <c r="AN82">
        <v>116</v>
      </c>
      <c r="AO82" s="16">
        <v>0.59482758620689702</v>
      </c>
      <c r="AP82">
        <v>116</v>
      </c>
      <c r="AQ82" s="16">
        <v>8.6206896551724102E-2</v>
      </c>
      <c r="AR82" s="11">
        <v>116</v>
      </c>
    </row>
    <row r="83" spans="1:44" outlineLevel="1" x14ac:dyDescent="0.25">
      <c r="A83" s="6" t="s">
        <v>15</v>
      </c>
      <c r="B83" t="s">
        <v>87</v>
      </c>
      <c r="C83" s="16">
        <v>0.26415173892056099</v>
      </c>
      <c r="D83">
        <v>3775</v>
      </c>
      <c r="E83" s="16">
        <v>4.1216908202265798E-2</v>
      </c>
      <c r="F83">
        <v>1294</v>
      </c>
      <c r="G83" s="16">
        <v>5.9876275123850402E-2</v>
      </c>
      <c r="H83">
        <v>1294</v>
      </c>
      <c r="I83" s="16">
        <v>0.13282646595852601</v>
      </c>
      <c r="J83">
        <v>1294</v>
      </c>
      <c r="K83" s="16">
        <v>0.13196240408645199</v>
      </c>
      <c r="L83">
        <v>1294</v>
      </c>
      <c r="M83" s="16">
        <v>0.45169857649999601</v>
      </c>
      <c r="N83">
        <v>1294</v>
      </c>
      <c r="O83" s="16">
        <v>0.18241937012891099</v>
      </c>
      <c r="P83">
        <v>1294</v>
      </c>
      <c r="Q83" s="16">
        <v>0.26267462189623803</v>
      </c>
      <c r="R83">
        <v>1944</v>
      </c>
      <c r="S83" s="16">
        <v>4.3888112391610098E-2</v>
      </c>
      <c r="T83">
        <v>659</v>
      </c>
      <c r="U83" s="16">
        <v>4.7726333848418803E-2</v>
      </c>
      <c r="V83">
        <v>659</v>
      </c>
      <c r="W83" s="16">
        <v>0.17004617772331301</v>
      </c>
      <c r="X83">
        <v>659</v>
      </c>
      <c r="Y83" s="16">
        <v>9.7508877160360205E-2</v>
      </c>
      <c r="Z83">
        <v>659</v>
      </c>
      <c r="AA83" s="16">
        <v>0.46734411234239498</v>
      </c>
      <c r="AB83">
        <v>659</v>
      </c>
      <c r="AC83" s="16">
        <v>0.173486386533903</v>
      </c>
      <c r="AD83">
        <v>659</v>
      </c>
      <c r="AE83" s="16">
        <v>0.265826661413334</v>
      </c>
      <c r="AF83">
        <v>1830</v>
      </c>
      <c r="AG83" s="16">
        <v>3.8381432467178199E-2</v>
      </c>
      <c r="AH83">
        <v>635</v>
      </c>
      <c r="AI83" s="16">
        <v>7.2773403619924695E-2</v>
      </c>
      <c r="AJ83">
        <v>635</v>
      </c>
      <c r="AK83" s="16">
        <v>9.3317846588655107E-2</v>
      </c>
      <c r="AL83">
        <v>635</v>
      </c>
      <c r="AM83" s="16">
        <v>0.16853472602905101</v>
      </c>
      <c r="AN83">
        <v>635</v>
      </c>
      <c r="AO83" s="16">
        <v>0.43509088420131897</v>
      </c>
      <c r="AP83">
        <v>635</v>
      </c>
      <c r="AQ83" s="16">
        <v>0.191901707093873</v>
      </c>
      <c r="AR83" s="11">
        <v>635</v>
      </c>
    </row>
    <row r="84" spans="1:44" outlineLevel="1" x14ac:dyDescent="0.25">
      <c r="A84" s="7" t="s">
        <v>15</v>
      </c>
      <c r="B84" s="9" t="s">
        <v>88</v>
      </c>
      <c r="C84" s="15">
        <v>0.61847015688407203</v>
      </c>
      <c r="D84" s="9">
        <v>2072</v>
      </c>
      <c r="E84" s="15">
        <v>1.2284446319845901E-2</v>
      </c>
      <c r="F84" s="9">
        <v>1082</v>
      </c>
      <c r="G84" s="15">
        <v>1.5932193191130001E-2</v>
      </c>
      <c r="H84" s="9">
        <v>1082</v>
      </c>
      <c r="I84" s="15">
        <v>3.9167832942161501E-2</v>
      </c>
      <c r="J84" s="9">
        <v>1082</v>
      </c>
      <c r="K84" s="15">
        <v>3.5972047765599098E-2</v>
      </c>
      <c r="L84" s="9">
        <v>1082</v>
      </c>
      <c r="M84" s="15">
        <v>0.78924735124300405</v>
      </c>
      <c r="N84" s="9">
        <v>1082</v>
      </c>
      <c r="O84" s="15">
        <v>0.107396128538259</v>
      </c>
      <c r="P84" s="9">
        <v>1082</v>
      </c>
      <c r="Q84" s="15">
        <v>0.59434676982788304</v>
      </c>
      <c r="R84" s="9">
        <v>1061</v>
      </c>
      <c r="S84" s="15">
        <v>1.25805838015595E-2</v>
      </c>
      <c r="T84" s="9">
        <v>531</v>
      </c>
      <c r="U84" s="15">
        <v>1.6584650765834701E-2</v>
      </c>
      <c r="V84" s="9">
        <v>531</v>
      </c>
      <c r="W84" s="15">
        <v>3.9870914283992802E-2</v>
      </c>
      <c r="X84" s="9">
        <v>531</v>
      </c>
      <c r="Y84" s="15">
        <v>3.3004847564638798E-2</v>
      </c>
      <c r="Z84" s="9">
        <v>531</v>
      </c>
      <c r="AA84" s="15">
        <v>0.77996967127604799</v>
      </c>
      <c r="AB84" s="9">
        <v>531</v>
      </c>
      <c r="AC84" s="15">
        <v>0.11798933230792601</v>
      </c>
      <c r="AD84" s="9">
        <v>531</v>
      </c>
      <c r="AE84" s="15">
        <v>0.64422137941667201</v>
      </c>
      <c r="AF84" s="9">
        <v>1010</v>
      </c>
      <c r="AG84" s="15">
        <v>1.19972823616504E-2</v>
      </c>
      <c r="AH84" s="9">
        <v>550</v>
      </c>
      <c r="AI84" s="15">
        <v>1.52990048703225E-2</v>
      </c>
      <c r="AJ84" s="9">
        <v>550</v>
      </c>
      <c r="AK84" s="15">
        <v>3.8486506799307298E-2</v>
      </c>
      <c r="AL84" s="9">
        <v>550</v>
      </c>
      <c r="AM84" s="15">
        <v>3.8811460199140897E-2</v>
      </c>
      <c r="AN84" s="9">
        <v>550</v>
      </c>
      <c r="AO84" s="15">
        <v>0.79829678176738395</v>
      </c>
      <c r="AP84" s="9">
        <v>550</v>
      </c>
      <c r="AQ84" s="15">
        <v>9.7108964002195194E-2</v>
      </c>
      <c r="AR84" s="12">
        <v>550</v>
      </c>
    </row>
    <row r="85" spans="1:44" x14ac:dyDescent="0.25">
      <c r="C85" s="16"/>
      <c r="E85" s="16"/>
      <c r="G85" s="16"/>
      <c r="I85" s="16"/>
      <c r="K85" s="16"/>
      <c r="M85" s="16"/>
      <c r="O85" s="16"/>
      <c r="Q85" s="16"/>
      <c r="S85" s="16"/>
      <c r="U85" s="16"/>
      <c r="W85" s="16"/>
      <c r="Y85" s="16"/>
      <c r="AA85" s="16"/>
      <c r="AC85" s="16"/>
      <c r="AE85" s="16"/>
      <c r="AG85" s="16"/>
      <c r="AI85" s="16"/>
      <c r="AK85" s="16"/>
      <c r="AM85" s="16"/>
      <c r="AO85" s="16"/>
      <c r="AQ85" s="16"/>
    </row>
    <row r="86" spans="1:44" x14ac:dyDescent="0.25">
      <c r="A86" s="19" t="s">
        <v>89</v>
      </c>
      <c r="B86" s="19"/>
      <c r="C86" s="20"/>
      <c r="D86" s="19"/>
      <c r="E86" s="20"/>
      <c r="F86" s="19"/>
      <c r="G86" s="20"/>
      <c r="H86" s="19"/>
      <c r="I86" s="20"/>
      <c r="J86" s="19"/>
      <c r="K86" s="20"/>
      <c r="L86" s="19"/>
      <c r="M86" s="20"/>
      <c r="N86" s="19"/>
      <c r="O86" s="20"/>
      <c r="P86" s="19"/>
      <c r="Q86" s="20"/>
      <c r="R86" s="19"/>
      <c r="S86" s="20"/>
      <c r="T86" s="19"/>
      <c r="U86" s="20"/>
      <c r="V86" s="19"/>
      <c r="W86" s="20"/>
      <c r="X86" s="19"/>
      <c r="Y86" s="20"/>
      <c r="Z86" s="19"/>
      <c r="AA86" s="20"/>
      <c r="AB86" s="19"/>
      <c r="AC86" s="20"/>
      <c r="AD86" s="19"/>
      <c r="AE86" s="20"/>
      <c r="AF86" s="19"/>
      <c r="AG86" s="20"/>
      <c r="AH86" s="19"/>
      <c r="AI86" s="20"/>
      <c r="AJ86" s="19"/>
      <c r="AK86" s="20"/>
      <c r="AL86" s="19"/>
      <c r="AM86" s="20"/>
      <c r="AN86" s="19"/>
      <c r="AO86" s="20"/>
      <c r="AP86" s="19"/>
      <c r="AQ86" s="20"/>
      <c r="AR86" s="19"/>
    </row>
    <row r="87" spans="1:44" outlineLevel="1" x14ac:dyDescent="0.25">
      <c r="A87" s="5" t="s">
        <v>15</v>
      </c>
      <c r="B87" s="8" t="s">
        <v>90</v>
      </c>
      <c r="C87" s="14">
        <v>0.64902889045521195</v>
      </c>
      <c r="D87" s="8">
        <v>1882</v>
      </c>
      <c r="E87" s="14">
        <v>3.2676835009510801E-3</v>
      </c>
      <c r="F87" s="8">
        <v>1022</v>
      </c>
      <c r="G87" s="14">
        <v>6.0793235395762597E-3</v>
      </c>
      <c r="H87" s="8">
        <v>1022</v>
      </c>
      <c r="I87" s="14">
        <v>5.54708510248723E-2</v>
      </c>
      <c r="J87" s="8">
        <v>1022</v>
      </c>
      <c r="K87" s="14">
        <v>3.9992384515933198E-2</v>
      </c>
      <c r="L87" s="8">
        <v>1022</v>
      </c>
      <c r="M87" s="14">
        <v>0.80828275154251294</v>
      </c>
      <c r="N87" s="8">
        <v>1022</v>
      </c>
      <c r="O87" s="14">
        <v>8.6907005876153798E-2</v>
      </c>
      <c r="P87" s="8">
        <v>1022</v>
      </c>
      <c r="Q87" s="14">
        <v>0.64444706358272397</v>
      </c>
      <c r="R87" s="8">
        <v>925</v>
      </c>
      <c r="S87" s="14">
        <v>4.1730489363165603E-3</v>
      </c>
      <c r="T87" s="8">
        <v>500</v>
      </c>
      <c r="U87" s="14">
        <v>1.0383694650663199E-2</v>
      </c>
      <c r="V87" s="8">
        <v>500</v>
      </c>
      <c r="W87" s="14">
        <v>5.5379552686615097E-2</v>
      </c>
      <c r="X87" s="8">
        <v>500</v>
      </c>
      <c r="Y87" s="14">
        <v>4.5202753754750198E-2</v>
      </c>
      <c r="Z87" s="8">
        <v>500</v>
      </c>
      <c r="AA87" s="14">
        <v>0.80355726205668498</v>
      </c>
      <c r="AB87" s="8">
        <v>500</v>
      </c>
      <c r="AC87" s="14">
        <v>8.1303687914970002E-2</v>
      </c>
      <c r="AD87" s="8">
        <v>500</v>
      </c>
      <c r="AE87" s="14">
        <v>0.65292548305114695</v>
      </c>
      <c r="AF87" s="8">
        <v>954</v>
      </c>
      <c r="AG87" s="14">
        <v>2.4620420775399898E-3</v>
      </c>
      <c r="AH87" s="8">
        <v>520</v>
      </c>
      <c r="AI87" s="14">
        <v>2.22283504786174E-3</v>
      </c>
      <c r="AJ87" s="8">
        <v>520</v>
      </c>
      <c r="AK87" s="14">
        <v>5.5706900423561002E-2</v>
      </c>
      <c r="AL87" s="8">
        <v>520</v>
      </c>
      <c r="AM87" s="14">
        <v>3.5414704957821203E-2</v>
      </c>
      <c r="AN87" s="8">
        <v>520</v>
      </c>
      <c r="AO87" s="14">
        <v>0.81200317321331705</v>
      </c>
      <c r="AP87" s="8">
        <v>520</v>
      </c>
      <c r="AQ87" s="14">
        <v>9.2190344279899306E-2</v>
      </c>
      <c r="AR87" s="10">
        <v>520</v>
      </c>
    </row>
    <row r="88" spans="1:44" outlineLevel="1" x14ac:dyDescent="0.25">
      <c r="A88" s="6" t="s">
        <v>15</v>
      </c>
      <c r="B88" t="s">
        <v>91</v>
      </c>
      <c r="C88" s="16">
        <v>0.37334545016278498</v>
      </c>
      <c r="D88">
        <v>597</v>
      </c>
      <c r="E88" s="16">
        <v>1.33175444606475E-2</v>
      </c>
      <c r="F88">
        <v>194</v>
      </c>
      <c r="G88" s="16">
        <v>2.13085045396787E-2</v>
      </c>
      <c r="H88">
        <v>194</v>
      </c>
      <c r="I88" s="16">
        <v>9.8772234150227498E-2</v>
      </c>
      <c r="J88">
        <v>194</v>
      </c>
      <c r="K88" s="16">
        <v>0.131502225017045</v>
      </c>
      <c r="L88">
        <v>194</v>
      </c>
      <c r="M88" s="16">
        <v>0.42020610591098501</v>
      </c>
      <c r="N88">
        <v>194</v>
      </c>
      <c r="O88" s="16">
        <v>0.31489338592141602</v>
      </c>
      <c r="P88">
        <v>194</v>
      </c>
      <c r="Q88" s="16">
        <v>0.40994067849961002</v>
      </c>
      <c r="R88">
        <v>277</v>
      </c>
      <c r="S88" s="16">
        <v>2.0180810656973299E-2</v>
      </c>
      <c r="T88">
        <v>95</v>
      </c>
      <c r="U88" s="16">
        <v>3.56341435256131E-3</v>
      </c>
      <c r="V88">
        <v>95</v>
      </c>
      <c r="W88" s="16">
        <v>7.6485737285226202E-2</v>
      </c>
      <c r="X88">
        <v>95</v>
      </c>
      <c r="Y88" s="16">
        <v>0.106624209755479</v>
      </c>
      <c r="Z88">
        <v>95</v>
      </c>
      <c r="AA88" s="16">
        <v>0.49805904531480899</v>
      </c>
      <c r="AB88">
        <v>95</v>
      </c>
      <c r="AC88" s="16">
        <v>0.29508678263495097</v>
      </c>
      <c r="AD88">
        <v>95</v>
      </c>
      <c r="AE88" s="16">
        <v>0.342896612228894</v>
      </c>
      <c r="AF88">
        <v>319</v>
      </c>
      <c r="AG88" s="16">
        <v>6.0625340293466697E-3</v>
      </c>
      <c r="AH88">
        <v>99</v>
      </c>
      <c r="AI88" s="16">
        <v>4.00664560352555E-2</v>
      </c>
      <c r="AJ88">
        <v>99</v>
      </c>
      <c r="AK88" s="16">
        <v>0.122330808538512</v>
      </c>
      <c r="AL88">
        <v>99</v>
      </c>
      <c r="AM88" s="16">
        <v>0.15780023751863601</v>
      </c>
      <c r="AN88">
        <v>99</v>
      </c>
      <c r="AO88" s="16">
        <v>0.33790944549811203</v>
      </c>
      <c r="AP88">
        <v>99</v>
      </c>
      <c r="AQ88" s="16">
        <v>0.335830518380138</v>
      </c>
      <c r="AR88" s="11">
        <v>99</v>
      </c>
    </row>
    <row r="89" spans="1:44" outlineLevel="1" x14ac:dyDescent="0.25">
      <c r="A89" s="6" t="s">
        <v>15</v>
      </c>
      <c r="B89" t="s">
        <v>92</v>
      </c>
      <c r="C89" s="16">
        <v>0.72169811320754695</v>
      </c>
      <c r="D89">
        <v>212</v>
      </c>
      <c r="E89" s="16">
        <v>6.5359477124183E-3</v>
      </c>
      <c r="F89">
        <v>153</v>
      </c>
      <c r="G89" s="16">
        <v>1.30718954248366E-2</v>
      </c>
      <c r="H89">
        <v>153</v>
      </c>
      <c r="I89" s="16">
        <v>0.18954248366013099</v>
      </c>
      <c r="J89">
        <v>153</v>
      </c>
      <c r="K89" s="16">
        <v>5.22875816993464E-2</v>
      </c>
      <c r="L89">
        <v>153</v>
      </c>
      <c r="M89" s="16">
        <v>0.66013071895424802</v>
      </c>
      <c r="N89">
        <v>153</v>
      </c>
      <c r="O89" s="16">
        <v>7.8431372549019607E-2</v>
      </c>
      <c r="P89">
        <v>153</v>
      </c>
      <c r="Q89" s="16">
        <v>0.69607843137254899</v>
      </c>
      <c r="R89">
        <v>102</v>
      </c>
      <c r="S89" s="16"/>
      <c r="U89" s="16"/>
      <c r="W89" s="16">
        <v>0.25352112676056299</v>
      </c>
      <c r="X89">
        <v>71</v>
      </c>
      <c r="Y89" s="16">
        <v>7.0422535211267595E-2</v>
      </c>
      <c r="Z89">
        <v>71</v>
      </c>
      <c r="AA89" s="16">
        <v>0.56338028169014098</v>
      </c>
      <c r="AB89">
        <v>71</v>
      </c>
      <c r="AC89" s="16">
        <v>0.11267605633802801</v>
      </c>
      <c r="AD89">
        <v>71</v>
      </c>
      <c r="AE89" s="16">
        <v>0.74311926605504597</v>
      </c>
      <c r="AF89">
        <v>109</v>
      </c>
      <c r="AG89" s="16">
        <v>1.2345679012345699E-2</v>
      </c>
      <c r="AH89">
        <v>81</v>
      </c>
      <c r="AI89" s="16">
        <v>2.4691358024691398E-2</v>
      </c>
      <c r="AJ89">
        <v>81</v>
      </c>
      <c r="AK89" s="16">
        <v>0.12345679012345701</v>
      </c>
      <c r="AL89">
        <v>81</v>
      </c>
      <c r="AM89" s="16">
        <v>3.7037037037037E-2</v>
      </c>
      <c r="AN89">
        <v>81</v>
      </c>
      <c r="AO89" s="16">
        <v>0.75308641975308599</v>
      </c>
      <c r="AP89">
        <v>81</v>
      </c>
      <c r="AQ89" s="16">
        <v>4.9382716049382699E-2</v>
      </c>
      <c r="AR89" s="11">
        <v>81</v>
      </c>
    </row>
    <row r="90" spans="1:44" outlineLevel="1" x14ac:dyDescent="0.25">
      <c r="A90" s="6" t="s">
        <v>15</v>
      </c>
      <c r="B90" t="s">
        <v>93</v>
      </c>
      <c r="C90" s="16">
        <v>0.46527777777777801</v>
      </c>
      <c r="D90">
        <v>144</v>
      </c>
      <c r="E90" s="16"/>
      <c r="G90" s="16">
        <v>1.49253731343284E-2</v>
      </c>
      <c r="H90">
        <v>67</v>
      </c>
      <c r="I90" s="16">
        <v>0.58208955223880599</v>
      </c>
      <c r="J90">
        <v>67</v>
      </c>
      <c r="K90" s="16">
        <v>1.49253731343284E-2</v>
      </c>
      <c r="L90">
        <v>67</v>
      </c>
      <c r="M90" s="16">
        <v>0.17910447761194001</v>
      </c>
      <c r="N90">
        <v>67</v>
      </c>
      <c r="O90" s="16">
        <v>0.20895522388059701</v>
      </c>
      <c r="P90">
        <v>67</v>
      </c>
      <c r="Q90" s="16">
        <v>0.42105263157894701</v>
      </c>
      <c r="R90">
        <v>76</v>
      </c>
      <c r="S90" s="16"/>
      <c r="U90" s="16"/>
      <c r="W90" s="16">
        <v>0.625</v>
      </c>
      <c r="X90">
        <v>32</v>
      </c>
      <c r="Y90" s="16"/>
      <c r="AA90" s="16">
        <v>0.125</v>
      </c>
      <c r="AB90">
        <v>32</v>
      </c>
      <c r="AC90" s="16">
        <v>0.25</v>
      </c>
      <c r="AD90">
        <v>32</v>
      </c>
      <c r="AE90" s="16">
        <v>0.51470588235294101</v>
      </c>
      <c r="AF90">
        <v>68</v>
      </c>
      <c r="AG90" s="16"/>
      <c r="AI90" s="16">
        <v>2.8571428571428598E-2</v>
      </c>
      <c r="AJ90">
        <v>35</v>
      </c>
      <c r="AK90" s="16">
        <v>0.54285714285714304</v>
      </c>
      <c r="AL90">
        <v>35</v>
      </c>
      <c r="AM90" s="16">
        <v>2.8571428571428598E-2</v>
      </c>
      <c r="AN90">
        <v>35</v>
      </c>
      <c r="AO90" s="16">
        <v>0.22857142857142901</v>
      </c>
      <c r="AP90">
        <v>35</v>
      </c>
      <c r="AQ90" s="16">
        <v>0.17142857142857101</v>
      </c>
      <c r="AR90" s="11">
        <v>35</v>
      </c>
    </row>
    <row r="91" spans="1:44" outlineLevel="1" x14ac:dyDescent="0.25">
      <c r="A91" s="6" t="s">
        <v>15</v>
      </c>
      <c r="B91" t="s">
        <v>94</v>
      </c>
      <c r="C91" s="16">
        <v>0.28428646234670502</v>
      </c>
      <c r="D91">
        <v>2691</v>
      </c>
      <c r="E91" s="16">
        <v>3.25320473811051E-2</v>
      </c>
      <c r="F91">
        <v>984</v>
      </c>
      <c r="G91" s="16">
        <v>5.3925168773049197E-2</v>
      </c>
      <c r="H91">
        <v>984</v>
      </c>
      <c r="I91" s="16">
        <v>9.8301345816069793E-2</v>
      </c>
      <c r="J91">
        <v>984</v>
      </c>
      <c r="K91" s="16">
        <v>0.13170594007998901</v>
      </c>
      <c r="L91">
        <v>984</v>
      </c>
      <c r="M91" s="16">
        <v>0.51318970686814402</v>
      </c>
      <c r="N91">
        <v>984</v>
      </c>
      <c r="O91" s="16">
        <v>0.17034579108164299</v>
      </c>
      <c r="P91">
        <v>984</v>
      </c>
      <c r="Q91" s="16">
        <v>0.28731884674059899</v>
      </c>
      <c r="R91">
        <v>1402</v>
      </c>
      <c r="S91" s="16">
        <v>3.9813891827182903E-2</v>
      </c>
      <c r="T91">
        <v>510</v>
      </c>
      <c r="U91" s="16">
        <v>4.4030700486745802E-2</v>
      </c>
      <c r="V91">
        <v>510</v>
      </c>
      <c r="W91" s="16">
        <v>0.133042021046621</v>
      </c>
      <c r="X91">
        <v>510</v>
      </c>
      <c r="Y91" s="16">
        <v>9.9230379929024407E-2</v>
      </c>
      <c r="Z91">
        <v>510</v>
      </c>
      <c r="AA91" s="16">
        <v>0.53365397316499197</v>
      </c>
      <c r="AB91">
        <v>510</v>
      </c>
      <c r="AC91" s="16">
        <v>0.15022903354543299</v>
      </c>
      <c r="AD91">
        <v>510</v>
      </c>
      <c r="AE91" s="16">
        <v>0.28108277176256302</v>
      </c>
      <c r="AF91">
        <v>1289</v>
      </c>
      <c r="AG91" s="16">
        <v>2.46257459861337E-2</v>
      </c>
      <c r="AH91">
        <v>474</v>
      </c>
      <c r="AI91" s="16">
        <v>6.4668140419008799E-2</v>
      </c>
      <c r="AJ91">
        <v>474</v>
      </c>
      <c r="AK91" s="16">
        <v>6.0581472634007101E-2</v>
      </c>
      <c r="AL91">
        <v>474</v>
      </c>
      <c r="AM91" s="16">
        <v>0.16696645249897499</v>
      </c>
      <c r="AN91">
        <v>474</v>
      </c>
      <c r="AO91" s="16">
        <v>0.49097052073090303</v>
      </c>
      <c r="AP91">
        <v>474</v>
      </c>
      <c r="AQ91" s="16">
        <v>0.19218766773097201</v>
      </c>
      <c r="AR91" s="11">
        <v>474</v>
      </c>
    </row>
    <row r="92" spans="1:44" outlineLevel="1" x14ac:dyDescent="0.25">
      <c r="A92" s="6" t="s">
        <v>15</v>
      </c>
      <c r="B92" t="s">
        <v>95</v>
      </c>
      <c r="C92" s="16">
        <v>0.20675851980191601</v>
      </c>
      <c r="D92">
        <v>1084</v>
      </c>
      <c r="E92" s="16">
        <v>7.5070697215835799E-2</v>
      </c>
      <c r="F92">
        <v>310</v>
      </c>
      <c r="G92" s="16">
        <v>8.3073825775032306E-2</v>
      </c>
      <c r="H92">
        <v>310</v>
      </c>
      <c r="I92" s="16">
        <v>0.267406185431181</v>
      </c>
      <c r="J92">
        <v>310</v>
      </c>
      <c r="K92" s="16">
        <v>0.13296210673490499</v>
      </c>
      <c r="L92">
        <v>310</v>
      </c>
      <c r="M92" s="16">
        <v>0.21200472341980001</v>
      </c>
      <c r="N92">
        <v>310</v>
      </c>
      <c r="O92" s="16">
        <v>0.22948246142324599</v>
      </c>
      <c r="P92">
        <v>310</v>
      </c>
      <c r="Q92" s="16">
        <v>0.19403471757573501</v>
      </c>
      <c r="R92">
        <v>542</v>
      </c>
      <c r="S92" s="16">
        <v>6.06598283821905E-2</v>
      </c>
      <c r="T92">
        <v>149</v>
      </c>
      <c r="U92" s="16">
        <v>6.2939578238884297E-2</v>
      </c>
      <c r="V92">
        <v>149</v>
      </c>
      <c r="W92" s="16">
        <v>0.32237548744973699</v>
      </c>
      <c r="X92">
        <v>149</v>
      </c>
      <c r="Y92" s="16">
        <v>9.0422231983335294E-2</v>
      </c>
      <c r="Z92">
        <v>149</v>
      </c>
      <c r="AA92" s="16">
        <v>0.19437652614892301</v>
      </c>
      <c r="AB92">
        <v>149</v>
      </c>
      <c r="AC92" s="16">
        <v>0.26922634779693</v>
      </c>
      <c r="AD92">
        <v>149</v>
      </c>
      <c r="AE92" s="16">
        <v>0.22117407985696599</v>
      </c>
      <c r="AF92">
        <v>541</v>
      </c>
      <c r="AG92" s="16">
        <v>8.9079379045105697E-2</v>
      </c>
      <c r="AH92">
        <v>161</v>
      </c>
      <c r="AI92" s="16">
        <v>0.102646154887288</v>
      </c>
      <c r="AJ92">
        <v>161</v>
      </c>
      <c r="AK92" s="16">
        <v>0.21397099902818201</v>
      </c>
      <c r="AL92">
        <v>161</v>
      </c>
      <c r="AM92" s="16">
        <v>0.17431475363849799</v>
      </c>
      <c r="AN92">
        <v>161</v>
      </c>
      <c r="AO92" s="16">
        <v>0.22914094259173401</v>
      </c>
      <c r="AP92">
        <v>161</v>
      </c>
      <c r="AQ92" s="16">
        <v>0.19084777080919299</v>
      </c>
      <c r="AR92" s="11">
        <v>161</v>
      </c>
    </row>
    <row r="93" spans="1:44" outlineLevel="1" x14ac:dyDescent="0.25">
      <c r="A93" s="6" t="s">
        <v>15</v>
      </c>
      <c r="B93" t="s">
        <v>96</v>
      </c>
      <c r="C93" s="16">
        <v>0.69294970788027099</v>
      </c>
      <c r="D93">
        <v>1627</v>
      </c>
      <c r="E93" s="16">
        <v>9.3182324653910496E-3</v>
      </c>
      <c r="F93">
        <v>904</v>
      </c>
      <c r="G93" s="16">
        <v>1.6063555918619399E-2</v>
      </c>
      <c r="H93">
        <v>904</v>
      </c>
      <c r="I93" s="16">
        <v>3.7451890108638898E-2</v>
      </c>
      <c r="J93">
        <v>904</v>
      </c>
      <c r="K93" s="16">
        <v>2.8167641162157801E-2</v>
      </c>
      <c r="L93">
        <v>904</v>
      </c>
      <c r="M93" s="16">
        <v>0.81085165463491204</v>
      </c>
      <c r="N93">
        <v>904</v>
      </c>
      <c r="O93" s="16">
        <v>9.8147025710281097E-2</v>
      </c>
      <c r="P93">
        <v>904</v>
      </c>
      <c r="Q93" s="16">
        <v>0.67921942858616502</v>
      </c>
      <c r="R93">
        <v>813</v>
      </c>
      <c r="S93" s="16">
        <v>6.3635611614903196E-3</v>
      </c>
      <c r="T93">
        <v>439</v>
      </c>
      <c r="U93" s="16">
        <v>1.9848605123064099E-2</v>
      </c>
      <c r="V93">
        <v>439</v>
      </c>
      <c r="W93" s="16">
        <v>3.9568370279903599E-2</v>
      </c>
      <c r="X93">
        <v>439</v>
      </c>
      <c r="Y93" s="16">
        <v>2.6922967766496601E-2</v>
      </c>
      <c r="Z93">
        <v>439</v>
      </c>
      <c r="AA93" s="16">
        <v>0.79624876435592595</v>
      </c>
      <c r="AB93">
        <v>439</v>
      </c>
      <c r="AC93" s="16">
        <v>0.11104773131312</v>
      </c>
      <c r="AD93">
        <v>439</v>
      </c>
      <c r="AE93" s="16">
        <v>0.70712337977663897</v>
      </c>
      <c r="AF93">
        <v>813</v>
      </c>
      <c r="AG93" s="16">
        <v>1.2216567921117199E-2</v>
      </c>
      <c r="AH93">
        <v>464</v>
      </c>
      <c r="AI93" s="16">
        <v>1.23521987646442E-2</v>
      </c>
      <c r="AJ93">
        <v>464</v>
      </c>
      <c r="AK93" s="16">
        <v>3.5378165364414002E-2</v>
      </c>
      <c r="AL93">
        <v>464</v>
      </c>
      <c r="AM93" s="16">
        <v>2.93354875787964E-2</v>
      </c>
      <c r="AN93">
        <v>464</v>
      </c>
      <c r="AO93" s="16">
        <v>0.82521773184344605</v>
      </c>
      <c r="AP93">
        <v>464</v>
      </c>
      <c r="AQ93" s="16">
        <v>8.5499848527581801E-2</v>
      </c>
      <c r="AR93" s="11">
        <v>464</v>
      </c>
    </row>
    <row r="94" spans="1:44" outlineLevel="1" x14ac:dyDescent="0.25">
      <c r="A94" s="7" t="s">
        <v>15</v>
      </c>
      <c r="B94" s="9" t="s">
        <v>97</v>
      </c>
      <c r="C94" s="15">
        <v>0.39732276560579199</v>
      </c>
      <c r="D94" s="9">
        <v>445</v>
      </c>
      <c r="E94" s="15">
        <v>2.6931067064251302E-2</v>
      </c>
      <c r="F94" s="9">
        <v>178</v>
      </c>
      <c r="G94" s="15">
        <v>1.5283548102172801E-2</v>
      </c>
      <c r="H94" s="9">
        <v>178</v>
      </c>
      <c r="I94" s="15">
        <v>4.7640844375217803E-2</v>
      </c>
      <c r="J94" s="9">
        <v>178</v>
      </c>
      <c r="K94" s="15">
        <v>7.4508778178365598E-2</v>
      </c>
      <c r="L94" s="9">
        <v>178</v>
      </c>
      <c r="M94" s="15">
        <v>0.68256925797164203</v>
      </c>
      <c r="N94" s="9">
        <v>178</v>
      </c>
      <c r="O94" s="15">
        <v>0.15306650430835</v>
      </c>
      <c r="P94" s="9">
        <v>178</v>
      </c>
      <c r="Q94" s="15">
        <v>0.357651981292673</v>
      </c>
      <c r="R94" s="9">
        <v>248</v>
      </c>
      <c r="S94" s="15">
        <v>4.4170225691146897E-2</v>
      </c>
      <c r="T94" s="9">
        <v>92</v>
      </c>
      <c r="U94" s="15"/>
      <c r="V94" s="9"/>
      <c r="W94" s="15">
        <v>4.1408186592351702E-2</v>
      </c>
      <c r="X94" s="9">
        <v>92</v>
      </c>
      <c r="Y94" s="15">
        <v>6.3907808026865506E-2</v>
      </c>
      <c r="Z94" s="9">
        <v>92</v>
      </c>
      <c r="AA94" s="15">
        <v>0.69725311216844499</v>
      </c>
      <c r="AB94" s="9">
        <v>92</v>
      </c>
      <c r="AC94" s="15">
        <v>0.153260667521191</v>
      </c>
      <c r="AD94" s="9">
        <v>92</v>
      </c>
      <c r="AE94" s="15">
        <v>0.44408171810816</v>
      </c>
      <c r="AF94" s="9">
        <v>197</v>
      </c>
      <c r="AG94" s="15">
        <v>1.0943696924290499E-2</v>
      </c>
      <c r="AH94" s="9">
        <v>86</v>
      </c>
      <c r="AI94" s="15">
        <v>2.9457310630242001E-2</v>
      </c>
      <c r="AJ94" s="9">
        <v>86</v>
      </c>
      <c r="AK94" s="15">
        <v>5.3420929650083201E-2</v>
      </c>
      <c r="AL94" s="9">
        <v>86</v>
      </c>
      <c r="AM94" s="15">
        <v>8.43399791854898E-2</v>
      </c>
      <c r="AN94" s="9">
        <v>86</v>
      </c>
      <c r="AO94" s="15">
        <v>0.66895164372454896</v>
      </c>
      <c r="AP94" s="9">
        <v>86</v>
      </c>
      <c r="AQ94" s="15">
        <v>0.152886439885346</v>
      </c>
      <c r="AR94" s="12">
        <v>86</v>
      </c>
    </row>
    <row r="95" spans="1:44" x14ac:dyDescent="0.25">
      <c r="C95" s="16"/>
      <c r="E95" s="16"/>
      <c r="G95" s="16"/>
      <c r="I95" s="16"/>
      <c r="K95" s="16"/>
      <c r="M95" s="16"/>
      <c r="O95" s="16"/>
      <c r="Q95" s="16"/>
      <c r="S95" s="16"/>
      <c r="U95" s="16"/>
      <c r="W95" s="16"/>
      <c r="Y95" s="16"/>
      <c r="AA95" s="16"/>
      <c r="AC95" s="16"/>
      <c r="AE95" s="16"/>
      <c r="AG95" s="16"/>
      <c r="AI95" s="16"/>
      <c r="AK95" s="16"/>
      <c r="AM95" s="16"/>
      <c r="AO95" s="16"/>
      <c r="AQ95" s="16"/>
    </row>
    <row r="96" spans="1:44" x14ac:dyDescent="0.25">
      <c r="A96" s="19" t="s">
        <v>98</v>
      </c>
      <c r="B96" s="19"/>
      <c r="C96" s="20"/>
      <c r="D96" s="19"/>
      <c r="E96" s="20"/>
      <c r="F96" s="19"/>
      <c r="G96" s="20"/>
      <c r="H96" s="19"/>
      <c r="I96" s="20"/>
      <c r="J96" s="19"/>
      <c r="K96" s="20"/>
      <c r="L96" s="19"/>
      <c r="M96" s="20"/>
      <c r="N96" s="19"/>
      <c r="O96" s="20"/>
      <c r="P96" s="19"/>
      <c r="Q96" s="20"/>
      <c r="R96" s="19"/>
      <c r="S96" s="20"/>
      <c r="T96" s="19"/>
      <c r="U96" s="20"/>
      <c r="V96" s="19"/>
      <c r="W96" s="20"/>
      <c r="X96" s="19"/>
      <c r="Y96" s="20"/>
      <c r="Z96" s="19"/>
      <c r="AA96" s="20"/>
      <c r="AB96" s="19"/>
      <c r="AC96" s="20"/>
      <c r="AD96" s="19"/>
      <c r="AE96" s="20"/>
      <c r="AF96" s="19"/>
      <c r="AG96" s="20"/>
      <c r="AH96" s="19"/>
      <c r="AI96" s="20"/>
      <c r="AJ96" s="19"/>
      <c r="AK96" s="20"/>
      <c r="AL96" s="19"/>
      <c r="AM96" s="20"/>
      <c r="AN96" s="19"/>
      <c r="AO96" s="20"/>
      <c r="AP96" s="19"/>
      <c r="AQ96" s="20"/>
      <c r="AR96" s="19"/>
    </row>
    <row r="97" spans="1:44" outlineLevel="1" x14ac:dyDescent="0.25">
      <c r="A97" s="5" t="s">
        <v>15</v>
      </c>
      <c r="B97" s="8" t="s">
        <v>99</v>
      </c>
      <c r="C97" s="14">
        <v>0.60628532782966305</v>
      </c>
      <c r="D97" s="8">
        <v>1018</v>
      </c>
      <c r="E97" s="14">
        <v>1.2469030928732401E-3</v>
      </c>
      <c r="F97" s="8">
        <v>511</v>
      </c>
      <c r="G97" s="14">
        <v>1.40467041685833E-3</v>
      </c>
      <c r="H97" s="8">
        <v>511</v>
      </c>
      <c r="I97" s="14">
        <v>4.3119886201183802E-2</v>
      </c>
      <c r="J97" s="8">
        <v>511</v>
      </c>
      <c r="K97" s="14">
        <v>4.0644277670150997E-2</v>
      </c>
      <c r="L97" s="8">
        <v>511</v>
      </c>
      <c r="M97" s="14">
        <v>0.81749162590911695</v>
      </c>
      <c r="N97" s="8">
        <v>511</v>
      </c>
      <c r="O97" s="14">
        <v>9.6092636709817103E-2</v>
      </c>
      <c r="P97" s="8">
        <v>511</v>
      </c>
      <c r="Q97" s="14">
        <v>0.63741481221652396</v>
      </c>
      <c r="R97" s="8">
        <v>483</v>
      </c>
      <c r="S97" s="14">
        <v>1.2767973849290299E-3</v>
      </c>
      <c r="T97" s="8">
        <v>254</v>
      </c>
      <c r="U97" s="14">
        <v>1.2767973849290299E-3</v>
      </c>
      <c r="V97" s="8">
        <v>254</v>
      </c>
      <c r="W97" s="14">
        <v>4.1264336309037003E-2</v>
      </c>
      <c r="X97" s="8">
        <v>254</v>
      </c>
      <c r="Y97" s="14">
        <v>5.2650028763206999E-2</v>
      </c>
      <c r="Z97" s="8">
        <v>254</v>
      </c>
      <c r="AA97" s="14">
        <v>0.82617854009176805</v>
      </c>
      <c r="AB97" s="8">
        <v>254</v>
      </c>
      <c r="AC97" s="14">
        <v>7.7353500066129496E-2</v>
      </c>
      <c r="AD97" s="8">
        <v>254</v>
      </c>
      <c r="AE97" s="14">
        <v>0.579252598963379</v>
      </c>
      <c r="AF97" s="8">
        <v>532</v>
      </c>
      <c r="AG97" s="14">
        <v>1.22483462417589E-3</v>
      </c>
      <c r="AH97" s="8">
        <v>255</v>
      </c>
      <c r="AI97" s="14">
        <v>1.53478474313059E-3</v>
      </c>
      <c r="AJ97" s="8">
        <v>255</v>
      </c>
      <c r="AK97" s="14">
        <v>4.5128475805050999E-2</v>
      </c>
      <c r="AL97" s="8">
        <v>255</v>
      </c>
      <c r="AM97" s="14">
        <v>2.93425679032734E-2</v>
      </c>
      <c r="AN97" s="8">
        <v>255</v>
      </c>
      <c r="AO97" s="14">
        <v>0.80819086622154201</v>
      </c>
      <c r="AP97" s="8">
        <v>255</v>
      </c>
      <c r="AQ97" s="14">
        <v>0.11457847070282701</v>
      </c>
      <c r="AR97" s="10">
        <v>255</v>
      </c>
    </row>
    <row r="98" spans="1:44" outlineLevel="1" x14ac:dyDescent="0.25">
      <c r="A98" s="6" t="s">
        <v>15</v>
      </c>
      <c r="B98" t="s">
        <v>100</v>
      </c>
      <c r="C98" s="16">
        <v>0.58402916024010998</v>
      </c>
      <c r="D98">
        <v>1461</v>
      </c>
      <c r="E98" s="16">
        <v>7.4678264817837903E-3</v>
      </c>
      <c r="F98">
        <v>705</v>
      </c>
      <c r="G98" s="16">
        <v>1.38897040322228E-2</v>
      </c>
      <c r="H98">
        <v>705</v>
      </c>
      <c r="I98" s="16">
        <v>7.6834975929754107E-2</v>
      </c>
      <c r="J98">
        <v>705</v>
      </c>
      <c r="K98" s="16">
        <v>6.1155695862273499E-2</v>
      </c>
      <c r="L98">
        <v>705</v>
      </c>
      <c r="M98" s="16">
        <v>0.70779812593907498</v>
      </c>
      <c r="N98">
        <v>705</v>
      </c>
      <c r="O98" s="16">
        <v>0.13285367175489099</v>
      </c>
      <c r="P98">
        <v>705</v>
      </c>
      <c r="Q98" s="16">
        <v>0.56659066719312101</v>
      </c>
      <c r="R98">
        <v>719</v>
      </c>
      <c r="S98" s="16">
        <v>1.10458655616232E-2</v>
      </c>
      <c r="T98">
        <v>341</v>
      </c>
      <c r="U98" s="16">
        <v>1.7109463521949399E-2</v>
      </c>
      <c r="V98">
        <v>341</v>
      </c>
      <c r="W98" s="16">
        <v>7.4053934567461399E-2</v>
      </c>
      <c r="X98">
        <v>341</v>
      </c>
      <c r="Y98" s="16">
        <v>5.42462936577707E-2</v>
      </c>
      <c r="Z98">
        <v>341</v>
      </c>
      <c r="AA98" s="16">
        <v>0.70287687358800799</v>
      </c>
      <c r="AB98">
        <v>341</v>
      </c>
      <c r="AC98" s="16">
        <v>0.14066756910318701</v>
      </c>
      <c r="AD98">
        <v>341</v>
      </c>
      <c r="AE98" s="16">
        <v>0.60080188060951201</v>
      </c>
      <c r="AF98">
        <v>741</v>
      </c>
      <c r="AG98" s="16">
        <v>4.3084501546673502E-3</v>
      </c>
      <c r="AH98">
        <v>364</v>
      </c>
      <c r="AI98" s="16">
        <v>1.1046685360859501E-2</v>
      </c>
      <c r="AJ98">
        <v>364</v>
      </c>
      <c r="AK98" s="16">
        <v>7.9290610440362494E-2</v>
      </c>
      <c r="AL98">
        <v>364</v>
      </c>
      <c r="AM98" s="16">
        <v>6.7256635866654896E-2</v>
      </c>
      <c r="AN98">
        <v>364</v>
      </c>
      <c r="AO98" s="16">
        <v>0.71214354750401399</v>
      </c>
      <c r="AP98">
        <v>364</v>
      </c>
      <c r="AQ98" s="16">
        <v>0.125954070673442</v>
      </c>
      <c r="AR98" s="11">
        <v>364</v>
      </c>
    </row>
    <row r="99" spans="1:44" outlineLevel="1" x14ac:dyDescent="0.25">
      <c r="A99" s="7" t="s">
        <v>15</v>
      </c>
      <c r="B99" s="9" t="s">
        <v>101</v>
      </c>
      <c r="C99" s="15">
        <v>0.27172980085702902</v>
      </c>
      <c r="D99" s="9">
        <v>6203</v>
      </c>
      <c r="E99" s="15">
        <v>3.95287286575257E-2</v>
      </c>
      <c r="F99" s="9">
        <v>2596</v>
      </c>
      <c r="G99" s="15">
        <v>5.7655825690590599E-2</v>
      </c>
      <c r="H99" s="9">
        <v>2596</v>
      </c>
      <c r="I99" s="15">
        <v>0.13807847006087601</v>
      </c>
      <c r="J99" s="9">
        <v>2596</v>
      </c>
      <c r="K99" s="15">
        <v>0.12747368045124499</v>
      </c>
      <c r="L99" s="9">
        <v>2596</v>
      </c>
      <c r="M99" s="15">
        <v>0.45810050983029399</v>
      </c>
      <c r="N99" s="9">
        <v>2596</v>
      </c>
      <c r="O99" s="15">
        <v>0.179162785309469</v>
      </c>
      <c r="P99" s="9">
        <v>2596</v>
      </c>
      <c r="Q99" s="15">
        <v>0.26936693660734601</v>
      </c>
      <c r="R99" s="9">
        <v>3183</v>
      </c>
      <c r="S99" s="15">
        <v>4.2062819101723103E-2</v>
      </c>
      <c r="T99" s="9">
        <v>1293</v>
      </c>
      <c r="U99" s="15">
        <v>4.5775721251809898E-2</v>
      </c>
      <c r="V99" s="9">
        <v>1293</v>
      </c>
      <c r="W99" s="15">
        <v>0.175103287663747</v>
      </c>
      <c r="X99" s="9">
        <v>1293</v>
      </c>
      <c r="Y99" s="15">
        <v>9.5122980038629207E-2</v>
      </c>
      <c r="Z99" s="9">
        <v>1293</v>
      </c>
      <c r="AA99" s="15">
        <v>0.46970630489445597</v>
      </c>
      <c r="AB99" s="9">
        <v>1293</v>
      </c>
      <c r="AC99" s="15">
        <v>0.17222888704963599</v>
      </c>
      <c r="AD99" s="9">
        <v>1293</v>
      </c>
      <c r="AE99" s="15">
        <v>0.27428374201188399</v>
      </c>
      <c r="AF99" s="9">
        <v>3017</v>
      </c>
      <c r="AG99" s="15">
        <v>3.6872453959061198E-2</v>
      </c>
      <c r="AH99" s="9">
        <v>1301</v>
      </c>
      <c r="AI99" s="15">
        <v>7.0191294953672795E-2</v>
      </c>
      <c r="AJ99" s="9">
        <v>1301</v>
      </c>
      <c r="AK99" s="15">
        <v>9.8779964848916005E-2</v>
      </c>
      <c r="AL99" s="9">
        <v>1301</v>
      </c>
      <c r="AM99" s="15">
        <v>0.161598394449215</v>
      </c>
      <c r="AN99" s="9">
        <v>1301</v>
      </c>
      <c r="AO99" s="15">
        <v>0.44602926178233099</v>
      </c>
      <c r="AP99" s="9">
        <v>1301</v>
      </c>
      <c r="AQ99" s="15">
        <v>0.186528630006804</v>
      </c>
      <c r="AR99" s="12">
        <v>1301</v>
      </c>
    </row>
    <row r="100" spans="1:44" x14ac:dyDescent="0.25">
      <c r="C100" s="16"/>
      <c r="E100" s="16"/>
      <c r="G100" s="16"/>
      <c r="I100" s="16"/>
      <c r="K100" s="16"/>
      <c r="M100" s="16"/>
      <c r="O100" s="16"/>
      <c r="Q100" s="16"/>
      <c r="S100" s="16"/>
      <c r="U100" s="16"/>
      <c r="W100" s="16"/>
      <c r="Y100" s="16"/>
      <c r="AA100" s="16"/>
      <c r="AC100" s="16"/>
      <c r="AE100" s="16"/>
      <c r="AG100" s="16"/>
      <c r="AI100" s="16"/>
      <c r="AK100" s="16"/>
      <c r="AM100" s="16"/>
      <c r="AO100" s="16"/>
      <c r="AQ100" s="16"/>
    </row>
    <row r="101" spans="1:44" x14ac:dyDescent="0.25">
      <c r="A101" s="19" t="s">
        <v>102</v>
      </c>
      <c r="B101" s="19"/>
      <c r="C101" s="20"/>
      <c r="D101" s="19"/>
      <c r="E101" s="20"/>
      <c r="F101" s="19"/>
      <c r="G101" s="20"/>
      <c r="H101" s="19"/>
      <c r="I101" s="20"/>
      <c r="J101" s="19"/>
      <c r="K101" s="20"/>
      <c r="L101" s="19"/>
      <c r="M101" s="20"/>
      <c r="N101" s="19"/>
      <c r="O101" s="20"/>
      <c r="P101" s="19"/>
      <c r="Q101" s="20"/>
      <c r="R101" s="19"/>
      <c r="S101" s="20"/>
      <c r="T101" s="19"/>
      <c r="U101" s="20"/>
      <c r="V101" s="19"/>
      <c r="W101" s="20"/>
      <c r="X101" s="19"/>
      <c r="Y101" s="20"/>
      <c r="Z101" s="19"/>
      <c r="AA101" s="20"/>
      <c r="AB101" s="19"/>
      <c r="AC101" s="20"/>
      <c r="AD101" s="19"/>
      <c r="AE101" s="20"/>
      <c r="AF101" s="19"/>
      <c r="AG101" s="20"/>
      <c r="AH101" s="19"/>
      <c r="AI101" s="20"/>
      <c r="AJ101" s="19"/>
      <c r="AK101" s="20"/>
      <c r="AL101" s="19"/>
      <c r="AM101" s="20"/>
      <c r="AN101" s="19"/>
      <c r="AO101" s="20"/>
      <c r="AP101" s="19"/>
      <c r="AQ101" s="20"/>
      <c r="AR101" s="19"/>
    </row>
    <row r="102" spans="1:44" outlineLevel="1" x14ac:dyDescent="0.25">
      <c r="A102" s="5" t="s">
        <v>15</v>
      </c>
      <c r="B102" s="8" t="s">
        <v>101</v>
      </c>
      <c r="C102" s="14">
        <v>0.26975062171844399</v>
      </c>
      <c r="D102" s="8">
        <v>4140</v>
      </c>
      <c r="E102" s="14">
        <v>3.9867989246336E-2</v>
      </c>
      <c r="F102" s="8">
        <v>1514</v>
      </c>
      <c r="G102" s="14">
        <v>5.8175391005382902E-2</v>
      </c>
      <c r="H102" s="8">
        <v>1514</v>
      </c>
      <c r="I102" s="14">
        <v>0.13931015899188101</v>
      </c>
      <c r="J102" s="8">
        <v>1514</v>
      </c>
      <c r="K102" s="14">
        <v>0.128613108438273</v>
      </c>
      <c r="L102" s="8">
        <v>1514</v>
      </c>
      <c r="M102" s="14">
        <v>0.45397688965165001</v>
      </c>
      <c r="N102" s="8">
        <v>1514</v>
      </c>
      <c r="O102" s="14">
        <v>0.18005646266647801</v>
      </c>
      <c r="P102" s="8">
        <v>1514</v>
      </c>
      <c r="Q102" s="14">
        <v>0.26750046099489</v>
      </c>
      <c r="R102" s="8">
        <v>2128</v>
      </c>
      <c r="S102" s="14">
        <v>4.2415340792496502E-2</v>
      </c>
      <c r="T102" s="8">
        <v>762</v>
      </c>
      <c r="U102" s="14">
        <v>4.6124761459190103E-2</v>
      </c>
      <c r="V102" s="8">
        <v>762</v>
      </c>
      <c r="W102" s="14">
        <v>0.17672027309330299</v>
      </c>
      <c r="X102" s="8">
        <v>762</v>
      </c>
      <c r="Y102" s="14">
        <v>9.5865732033668494E-2</v>
      </c>
      <c r="Z102" s="8">
        <v>762</v>
      </c>
      <c r="AA102" s="14">
        <v>0.465996458426292</v>
      </c>
      <c r="AB102" s="8">
        <v>762</v>
      </c>
      <c r="AC102" s="14">
        <v>0.17287743419505</v>
      </c>
      <c r="AD102" s="8">
        <v>762</v>
      </c>
      <c r="AE102" s="14">
        <v>0.27218368560887302</v>
      </c>
      <c r="AF102" s="8">
        <v>2010</v>
      </c>
      <c r="AG102" s="14">
        <v>3.71953021619819E-2</v>
      </c>
      <c r="AH102" s="8">
        <v>751</v>
      </c>
      <c r="AI102" s="14">
        <v>7.0903727313715401E-2</v>
      </c>
      <c r="AJ102" s="8">
        <v>751</v>
      </c>
      <c r="AK102" s="14">
        <v>9.9562497524236904E-2</v>
      </c>
      <c r="AL102" s="8">
        <v>751</v>
      </c>
      <c r="AM102" s="14">
        <v>0.16319201324736199</v>
      </c>
      <c r="AN102" s="8">
        <v>751</v>
      </c>
      <c r="AO102" s="14">
        <v>0.44145727580309302</v>
      </c>
      <c r="AP102" s="8">
        <v>751</v>
      </c>
      <c r="AQ102" s="14">
        <v>0.18768918394961001</v>
      </c>
      <c r="AR102" s="10">
        <v>751</v>
      </c>
    </row>
    <row r="103" spans="1:44" outlineLevel="1" x14ac:dyDescent="0.25">
      <c r="A103" s="6" t="s">
        <v>15</v>
      </c>
      <c r="B103" t="s">
        <v>103</v>
      </c>
      <c r="C103" s="16">
        <v>0.59849478525362698</v>
      </c>
      <c r="D103">
        <v>3378</v>
      </c>
      <c r="E103" s="16">
        <v>5.7666746321381702E-3</v>
      </c>
      <c r="F103">
        <v>1764</v>
      </c>
      <c r="G103" s="16">
        <v>9.8939703066625601E-3</v>
      </c>
      <c r="H103">
        <v>1764</v>
      </c>
      <c r="I103" s="16">
        <v>5.56384273790623E-2</v>
      </c>
      <c r="J103">
        <v>1764</v>
      </c>
      <c r="K103" s="16">
        <v>5.47865659314732E-2</v>
      </c>
      <c r="L103">
        <v>1764</v>
      </c>
      <c r="M103" s="16">
        <v>0.75378071875100805</v>
      </c>
      <c r="N103">
        <v>1764</v>
      </c>
      <c r="O103" s="16">
        <v>0.120133642999656</v>
      </c>
      <c r="P103">
        <v>1764</v>
      </c>
      <c r="Q103" s="16">
        <v>0.60594411928935399</v>
      </c>
      <c r="R103">
        <v>1677</v>
      </c>
      <c r="S103" s="16">
        <v>7.9356801472254008E-3</v>
      </c>
      <c r="T103">
        <v>869</v>
      </c>
      <c r="U103" s="16">
        <v>1.1107786761336899E-2</v>
      </c>
      <c r="V103">
        <v>869</v>
      </c>
      <c r="W103" s="16">
        <v>5.1701422834090197E-2</v>
      </c>
      <c r="X103">
        <v>869</v>
      </c>
      <c r="Y103" s="16">
        <v>5.80053625359499E-2</v>
      </c>
      <c r="Z103">
        <v>869</v>
      </c>
      <c r="AA103" s="16">
        <v>0.76018184795010901</v>
      </c>
      <c r="AB103">
        <v>869</v>
      </c>
      <c r="AC103" s="16">
        <v>0.111067899771289</v>
      </c>
      <c r="AD103">
        <v>869</v>
      </c>
      <c r="AE103" s="16">
        <v>0.59144203714744903</v>
      </c>
      <c r="AF103">
        <v>1698</v>
      </c>
      <c r="AG103" s="16">
        <v>3.6860508916013199E-3</v>
      </c>
      <c r="AH103">
        <v>893</v>
      </c>
      <c r="AI103" s="16">
        <v>8.7491744129351203E-3</v>
      </c>
      <c r="AJ103">
        <v>893</v>
      </c>
      <c r="AK103" s="16">
        <v>5.9608962059717698E-2</v>
      </c>
      <c r="AL103">
        <v>893</v>
      </c>
      <c r="AM103" s="16">
        <v>5.1834562786696702E-2</v>
      </c>
      <c r="AN103">
        <v>893</v>
      </c>
      <c r="AO103" s="16">
        <v>0.74686808172021402</v>
      </c>
      <c r="AP103">
        <v>893</v>
      </c>
      <c r="AQ103" s="16">
        <v>0.129253168128835</v>
      </c>
      <c r="AR103" s="11">
        <v>893</v>
      </c>
    </row>
    <row r="104" spans="1:44" outlineLevel="1" x14ac:dyDescent="0.25">
      <c r="A104" s="6" t="s">
        <v>15</v>
      </c>
      <c r="B104" t="s">
        <v>104</v>
      </c>
      <c r="C104" s="16">
        <v>0.71287548851007199</v>
      </c>
      <c r="D104">
        <v>564</v>
      </c>
      <c r="E104" s="16">
        <v>2.29999681949206E-3</v>
      </c>
      <c r="F104">
        <v>280</v>
      </c>
      <c r="G104" s="16">
        <v>2.48526169371954E-3</v>
      </c>
      <c r="H104">
        <v>280</v>
      </c>
      <c r="I104" s="16">
        <v>4.0145165674049001E-2</v>
      </c>
      <c r="J104">
        <v>280</v>
      </c>
      <c r="K104" s="16">
        <v>1.9702716467095999E-2</v>
      </c>
      <c r="L104">
        <v>280</v>
      </c>
      <c r="M104" s="16">
        <v>0.87788133557994896</v>
      </c>
      <c r="N104">
        <v>280</v>
      </c>
      <c r="O104" s="16">
        <v>5.7485523765694997E-2</v>
      </c>
      <c r="P104">
        <v>280</v>
      </c>
      <c r="Q104" s="16">
        <v>0.68801383666402005</v>
      </c>
      <c r="R104">
        <v>282</v>
      </c>
      <c r="S104" s="16">
        <v>3.1219622444028903E-5</v>
      </c>
      <c r="T104">
        <v>134</v>
      </c>
      <c r="U104" s="16">
        <v>2.4989745029438599E-3</v>
      </c>
      <c r="V104">
        <v>134</v>
      </c>
      <c r="W104" s="16">
        <v>4.0529107271595803E-2</v>
      </c>
      <c r="X104">
        <v>134</v>
      </c>
      <c r="Y104" s="16">
        <v>1.4416169494124E-2</v>
      </c>
      <c r="Z104">
        <v>134</v>
      </c>
      <c r="AA104" s="16">
        <v>0.87787188858167098</v>
      </c>
      <c r="AB104">
        <v>134</v>
      </c>
      <c r="AC104" s="16">
        <v>6.4652640527221306E-2</v>
      </c>
      <c r="AD104">
        <v>134</v>
      </c>
      <c r="AE104" s="16">
        <v>0.73275102552203597</v>
      </c>
      <c r="AF104">
        <v>282</v>
      </c>
      <c r="AG104" s="16">
        <v>4.0180921224241802E-3</v>
      </c>
      <c r="AH104">
        <v>146</v>
      </c>
      <c r="AI104" s="16">
        <v>2.4748772834967199E-3</v>
      </c>
      <c r="AJ104">
        <v>146</v>
      </c>
      <c r="AK104" s="16">
        <v>3.9854415107530697E-2</v>
      </c>
      <c r="AL104">
        <v>146</v>
      </c>
      <c r="AM104" s="16">
        <v>2.3706102755891099E-2</v>
      </c>
      <c r="AN104">
        <v>146</v>
      </c>
      <c r="AO104" s="16">
        <v>0.87788848958492904</v>
      </c>
      <c r="AP104">
        <v>146</v>
      </c>
      <c r="AQ104" s="16">
        <v>5.2058023145728299E-2</v>
      </c>
      <c r="AR104" s="11">
        <v>146</v>
      </c>
    </row>
    <row r="105" spans="1:44" outlineLevel="1" x14ac:dyDescent="0.25">
      <c r="A105" s="6" t="s">
        <v>15</v>
      </c>
      <c r="B105" t="s">
        <v>105</v>
      </c>
      <c r="C105" s="16">
        <v>0.25</v>
      </c>
      <c r="D105">
        <v>4</v>
      </c>
      <c r="E105" s="16"/>
      <c r="G105" s="16"/>
      <c r="I105" s="16"/>
      <c r="K105" s="16"/>
      <c r="M105" s="16"/>
      <c r="O105" s="16">
        <v>1</v>
      </c>
      <c r="P105">
        <v>1</v>
      </c>
      <c r="Q105" s="16">
        <v>0.5</v>
      </c>
      <c r="R105">
        <v>2</v>
      </c>
      <c r="S105" s="16"/>
      <c r="U105" s="16"/>
      <c r="W105" s="16"/>
      <c r="Y105" s="16"/>
      <c r="AA105" s="16"/>
      <c r="AC105" s="16">
        <v>1</v>
      </c>
      <c r="AD105">
        <v>1</v>
      </c>
      <c r="AE105" s="16"/>
      <c r="AG105" s="16"/>
      <c r="AI105" s="16"/>
      <c r="AK105" s="16"/>
      <c r="AM105" s="16"/>
      <c r="AO105" s="16"/>
      <c r="AQ105" s="16"/>
      <c r="AR105" s="11"/>
    </row>
    <row r="106" spans="1:44" outlineLevel="1" x14ac:dyDescent="0.25">
      <c r="A106" s="6" t="s">
        <v>15</v>
      </c>
      <c r="B106" t="s">
        <v>106</v>
      </c>
      <c r="C106" s="16">
        <v>0.50994392951138601</v>
      </c>
      <c r="D106">
        <v>2</v>
      </c>
      <c r="E106" s="16"/>
      <c r="G106" s="16"/>
      <c r="I106" s="16">
        <v>1</v>
      </c>
      <c r="J106">
        <v>1</v>
      </c>
      <c r="K106" s="16"/>
      <c r="M106" s="16"/>
      <c r="O106" s="16"/>
      <c r="Q106" s="16"/>
      <c r="S106" s="16"/>
      <c r="U106" s="16"/>
      <c r="W106" s="16"/>
      <c r="Y106" s="16"/>
      <c r="AA106" s="16"/>
      <c r="AC106" s="16"/>
      <c r="AE106" s="16">
        <v>1</v>
      </c>
      <c r="AF106">
        <v>1</v>
      </c>
      <c r="AG106" s="16"/>
      <c r="AI106" s="16"/>
      <c r="AK106" s="16">
        <v>1</v>
      </c>
      <c r="AL106">
        <v>1</v>
      </c>
      <c r="AM106" s="16"/>
      <c r="AO106" s="16"/>
      <c r="AQ106" s="16"/>
      <c r="AR106" s="11"/>
    </row>
    <row r="107" spans="1:44" outlineLevel="1" x14ac:dyDescent="0.25">
      <c r="A107" s="6" t="s">
        <v>15</v>
      </c>
      <c r="B107" t="s">
        <v>107</v>
      </c>
      <c r="C107" s="16">
        <v>0.25</v>
      </c>
      <c r="D107">
        <v>4</v>
      </c>
      <c r="E107" s="16"/>
      <c r="G107" s="16"/>
      <c r="I107" s="16"/>
      <c r="K107" s="16"/>
      <c r="M107" s="16"/>
      <c r="O107" s="16">
        <v>1</v>
      </c>
      <c r="P107">
        <v>1</v>
      </c>
      <c r="Q107" s="16">
        <v>1</v>
      </c>
      <c r="R107">
        <v>1</v>
      </c>
      <c r="S107" s="16"/>
      <c r="U107" s="16"/>
      <c r="W107" s="16"/>
      <c r="Y107" s="16"/>
      <c r="AA107" s="16"/>
      <c r="AC107" s="16">
        <v>1</v>
      </c>
      <c r="AD107">
        <v>1</v>
      </c>
      <c r="AE107" s="16"/>
      <c r="AG107" s="16"/>
      <c r="AI107" s="16"/>
      <c r="AK107" s="16"/>
      <c r="AM107" s="16"/>
      <c r="AO107" s="16"/>
      <c r="AQ107" s="16"/>
      <c r="AR107" s="11"/>
    </row>
    <row r="108" spans="1:44" outlineLevel="1" x14ac:dyDescent="0.25">
      <c r="A108" s="6" t="s">
        <v>15</v>
      </c>
      <c r="B108" t="s">
        <v>108</v>
      </c>
      <c r="C108" s="16">
        <v>0.22355145260829801</v>
      </c>
      <c r="D108">
        <v>28</v>
      </c>
      <c r="E108" s="16"/>
      <c r="G108" s="16"/>
      <c r="I108" s="16">
        <v>0.826962650445631</v>
      </c>
      <c r="J108">
        <v>7</v>
      </c>
      <c r="K108" s="16"/>
      <c r="M108" s="16">
        <v>0.173037349554369</v>
      </c>
      <c r="N108">
        <v>7</v>
      </c>
      <c r="O108" s="16"/>
      <c r="Q108" s="16">
        <v>0.25</v>
      </c>
      <c r="R108">
        <v>16</v>
      </c>
      <c r="S108" s="16"/>
      <c r="U108" s="16"/>
      <c r="W108" s="16">
        <v>0.75</v>
      </c>
      <c r="X108">
        <v>4</v>
      </c>
      <c r="Y108" s="16"/>
      <c r="AA108" s="16">
        <v>0.25</v>
      </c>
      <c r="AB108">
        <v>4</v>
      </c>
      <c r="AC108" s="16"/>
      <c r="AE108" s="16">
        <v>0.18524181627957501</v>
      </c>
      <c r="AF108">
        <v>12</v>
      </c>
      <c r="AG108" s="16"/>
      <c r="AI108" s="16"/>
      <c r="AK108" s="16">
        <v>0.97741092047399503</v>
      </c>
      <c r="AL108">
        <v>3</v>
      </c>
      <c r="AM108" s="16"/>
      <c r="AO108" s="16">
        <v>2.25890795260047E-2</v>
      </c>
      <c r="AP108">
        <v>3</v>
      </c>
      <c r="AQ108" s="16"/>
      <c r="AR108" s="11"/>
    </row>
    <row r="109" spans="1:44" outlineLevel="1" x14ac:dyDescent="0.25">
      <c r="A109" s="6" t="s">
        <v>15</v>
      </c>
      <c r="B109" t="s">
        <v>109</v>
      </c>
      <c r="C109" s="16">
        <v>0.53720066075640505</v>
      </c>
      <c r="D109">
        <v>195</v>
      </c>
      <c r="E109" s="16">
        <v>1.3630594015368E-2</v>
      </c>
      <c r="F109">
        <v>123</v>
      </c>
      <c r="G109" s="16">
        <v>2.54137363703303E-2</v>
      </c>
      <c r="H109">
        <v>123</v>
      </c>
      <c r="I109" s="16">
        <v>8.7884282211263803E-3</v>
      </c>
      <c r="J109">
        <v>123</v>
      </c>
      <c r="K109" s="16">
        <v>0.10043453372656699</v>
      </c>
      <c r="L109">
        <v>123</v>
      </c>
      <c r="M109" s="16">
        <v>0.698278740958583</v>
      </c>
      <c r="N109">
        <v>123</v>
      </c>
      <c r="O109" s="16">
        <v>0.153453966708026</v>
      </c>
      <c r="P109">
        <v>123</v>
      </c>
      <c r="Q109" s="16">
        <v>0.56218682449267798</v>
      </c>
      <c r="R109">
        <v>103</v>
      </c>
      <c r="S109" s="16">
        <v>1.9537490343298498E-2</v>
      </c>
      <c r="T109">
        <v>63</v>
      </c>
      <c r="U109" s="16">
        <v>3.8052272976498901E-2</v>
      </c>
      <c r="V109">
        <v>63</v>
      </c>
      <c r="W109" s="16">
        <v>1.2489897356243999E-2</v>
      </c>
      <c r="X109">
        <v>63</v>
      </c>
      <c r="Y109" s="16">
        <v>8.3838455612936902E-2</v>
      </c>
      <c r="Z109">
        <v>63</v>
      </c>
      <c r="AA109" s="16">
        <v>0.66730899664133803</v>
      </c>
      <c r="AB109">
        <v>63</v>
      </c>
      <c r="AC109" s="16">
        <v>0.178772887069683</v>
      </c>
      <c r="AD109">
        <v>63</v>
      </c>
      <c r="AE109" s="16">
        <v>0.51378809705417094</v>
      </c>
      <c r="AF109">
        <v>92</v>
      </c>
      <c r="AG109" s="16">
        <v>7.6379582499479202E-3</v>
      </c>
      <c r="AH109">
        <v>60</v>
      </c>
      <c r="AI109" s="16">
        <v>1.25917496138382E-2</v>
      </c>
      <c r="AJ109">
        <v>60</v>
      </c>
      <c r="AK109" s="16">
        <v>5.0332317368374504E-3</v>
      </c>
      <c r="AL109">
        <v>60</v>
      </c>
      <c r="AM109" s="16">
        <v>0.11727150626647299</v>
      </c>
      <c r="AN109">
        <v>60</v>
      </c>
      <c r="AO109" s="16">
        <v>0.72969801550448499</v>
      </c>
      <c r="AP109">
        <v>60</v>
      </c>
      <c r="AQ109" s="16">
        <v>0.127767538628418</v>
      </c>
      <c r="AR109" s="11">
        <v>60</v>
      </c>
    </row>
    <row r="110" spans="1:44" outlineLevel="1" x14ac:dyDescent="0.25">
      <c r="A110" s="6" t="s">
        <v>15</v>
      </c>
      <c r="B110" t="s">
        <v>110</v>
      </c>
      <c r="C110" s="16">
        <v>0.30580936462800201</v>
      </c>
      <c r="D110">
        <v>44</v>
      </c>
      <c r="E110" s="16"/>
      <c r="G110" s="16"/>
      <c r="I110" s="16">
        <v>0.452191787250176</v>
      </c>
      <c r="J110">
        <v>17</v>
      </c>
      <c r="K110" s="16">
        <v>7.0264851632424498E-3</v>
      </c>
      <c r="L110">
        <v>17</v>
      </c>
      <c r="M110" s="16"/>
      <c r="O110" s="16">
        <v>0.54078172758658105</v>
      </c>
      <c r="P110">
        <v>17</v>
      </c>
      <c r="Q110" s="16">
        <v>0.30458535197308301</v>
      </c>
      <c r="R110">
        <v>22</v>
      </c>
      <c r="S110" s="16"/>
      <c r="U110" s="16"/>
      <c r="W110" s="16">
        <v>0.50186768138277704</v>
      </c>
      <c r="X110">
        <v>10</v>
      </c>
      <c r="Y110" s="16"/>
      <c r="AA110" s="16"/>
      <c r="AC110" s="16">
        <v>0.49813231861722301</v>
      </c>
      <c r="AD110">
        <v>10</v>
      </c>
      <c r="AE110" s="16">
        <v>0.306820254301502</v>
      </c>
      <c r="AF110">
        <v>22</v>
      </c>
      <c r="AG110" s="16"/>
      <c r="AI110" s="16"/>
      <c r="AK110" s="16">
        <v>0.41146421403879202</v>
      </c>
      <c r="AL110">
        <v>7</v>
      </c>
      <c r="AM110" s="16">
        <v>1.27872609661053E-2</v>
      </c>
      <c r="AN110">
        <v>7</v>
      </c>
      <c r="AO110" s="16"/>
      <c r="AQ110" s="16">
        <v>0.57574852499510298</v>
      </c>
      <c r="AR110" s="11">
        <v>7</v>
      </c>
    </row>
    <row r="111" spans="1:44" outlineLevel="1" x14ac:dyDescent="0.25">
      <c r="A111" s="6" t="s">
        <v>15</v>
      </c>
      <c r="B111" t="s">
        <v>111</v>
      </c>
      <c r="C111" s="16">
        <v>3.1649712457503101E-2</v>
      </c>
      <c r="D111">
        <v>10</v>
      </c>
      <c r="E111" s="16"/>
      <c r="G111" s="16"/>
      <c r="I111" s="16"/>
      <c r="K111" s="16"/>
      <c r="M111" s="16"/>
      <c r="O111" s="16">
        <v>1</v>
      </c>
      <c r="P111">
        <v>1</v>
      </c>
      <c r="Q111" s="16"/>
      <c r="S111" s="16"/>
      <c r="U111" s="16"/>
      <c r="W111" s="16"/>
      <c r="Y111" s="16"/>
      <c r="AA111" s="16"/>
      <c r="AC111" s="16"/>
      <c r="AE111" s="16">
        <v>3.6349439873755697E-2</v>
      </c>
      <c r="AF111">
        <v>9</v>
      </c>
      <c r="AG111" s="16"/>
      <c r="AI111" s="16"/>
      <c r="AK111" s="16"/>
      <c r="AM111" s="16"/>
      <c r="AO111" s="16"/>
      <c r="AQ111" s="16">
        <v>1</v>
      </c>
      <c r="AR111" s="11">
        <v>1</v>
      </c>
    </row>
    <row r="112" spans="1:44" outlineLevel="1" x14ac:dyDescent="0.25">
      <c r="A112" s="6" t="s">
        <v>15</v>
      </c>
      <c r="B112" t="s">
        <v>112</v>
      </c>
      <c r="C112" s="16">
        <v>0.372054508493045</v>
      </c>
      <c r="D112">
        <v>34</v>
      </c>
      <c r="E112" s="16"/>
      <c r="G112" s="16"/>
      <c r="I112" s="16">
        <v>0.18400454268140101</v>
      </c>
      <c r="J112">
        <v>10</v>
      </c>
      <c r="K112" s="16">
        <v>6.7468590100791495E-2</v>
      </c>
      <c r="L112">
        <v>10</v>
      </c>
      <c r="M112" s="16">
        <v>0.53003370837503205</v>
      </c>
      <c r="N112">
        <v>10</v>
      </c>
      <c r="O112" s="16">
        <v>0.21849315884277601</v>
      </c>
      <c r="P112">
        <v>10</v>
      </c>
      <c r="Q112" s="16">
        <v>0.42573887518748599</v>
      </c>
      <c r="R112">
        <v>12</v>
      </c>
      <c r="S112" s="16"/>
      <c r="U112" s="16"/>
      <c r="W112" s="16"/>
      <c r="Y112" s="16"/>
      <c r="AA112" s="16">
        <v>0.59275357258074302</v>
      </c>
      <c r="AB112">
        <v>4</v>
      </c>
      <c r="AC112" s="16">
        <v>0.40724642741925698</v>
      </c>
      <c r="AD112">
        <v>4</v>
      </c>
      <c r="AE112" s="16">
        <v>0.32466488985938302</v>
      </c>
      <c r="AF112">
        <v>22</v>
      </c>
      <c r="AG112" s="16"/>
      <c r="AI112" s="16"/>
      <c r="AK112" s="16">
        <v>0.39700076825716901</v>
      </c>
      <c r="AL112">
        <v>6</v>
      </c>
      <c r="AM112" s="16">
        <v>0.145567504545906</v>
      </c>
      <c r="AN112">
        <v>6</v>
      </c>
      <c r="AO112" s="16">
        <v>0.45743172719692499</v>
      </c>
      <c r="AP112">
        <v>6</v>
      </c>
      <c r="AQ112" s="16"/>
      <c r="AR112" s="11"/>
    </row>
    <row r="113" spans="1:44" outlineLevel="1" x14ac:dyDescent="0.25">
      <c r="A113" s="6" t="s">
        <v>15</v>
      </c>
      <c r="B113" t="s">
        <v>113</v>
      </c>
      <c r="C113" s="16">
        <v>0.22670777257469699</v>
      </c>
      <c r="D113">
        <v>81</v>
      </c>
      <c r="E113" s="16"/>
      <c r="G113" s="16"/>
      <c r="I113" s="16"/>
      <c r="K113" s="16">
        <v>6.1516354161793097E-3</v>
      </c>
      <c r="L113">
        <v>9</v>
      </c>
      <c r="M113" s="16"/>
      <c r="O113" s="16">
        <v>0.99384836458382098</v>
      </c>
      <c r="P113">
        <v>9</v>
      </c>
      <c r="Q113" s="16">
        <v>5.6270942517947398E-2</v>
      </c>
      <c r="R113">
        <v>42</v>
      </c>
      <c r="S113" s="16"/>
      <c r="U113" s="16"/>
      <c r="W113" s="16"/>
      <c r="Y113" s="16">
        <v>1.03194570514928E-2</v>
      </c>
      <c r="Z113">
        <v>2</v>
      </c>
      <c r="AA113" s="16"/>
      <c r="AC113" s="16">
        <v>0.98968054294850705</v>
      </c>
      <c r="AD113">
        <v>2</v>
      </c>
      <c r="AE113" s="16">
        <v>0.38391589389042702</v>
      </c>
      <c r="AF113">
        <v>38</v>
      </c>
      <c r="AG113" s="16"/>
      <c r="AI113" s="16"/>
      <c r="AK113" s="16"/>
      <c r="AM113" s="16">
        <v>4.1964634908182802E-3</v>
      </c>
      <c r="AN113">
        <v>6</v>
      </c>
      <c r="AO113" s="16"/>
      <c r="AQ113" s="16">
        <v>0.99580353650918196</v>
      </c>
      <c r="AR113" s="11">
        <v>6</v>
      </c>
    </row>
    <row r="114" spans="1:44" outlineLevel="1" x14ac:dyDescent="0.25">
      <c r="A114" s="6" t="s">
        <v>15</v>
      </c>
      <c r="B114" t="s">
        <v>114</v>
      </c>
      <c r="C114" s="16">
        <v>0.377402171800303</v>
      </c>
      <c r="D114">
        <v>181</v>
      </c>
      <c r="E114" s="16">
        <v>6.6995185556885497E-3</v>
      </c>
      <c r="F114">
        <v>77</v>
      </c>
      <c r="G114" s="16">
        <v>3.3497592778442701E-3</v>
      </c>
      <c r="H114">
        <v>77</v>
      </c>
      <c r="I114" s="16">
        <v>0.202382423846968</v>
      </c>
      <c r="J114">
        <v>77</v>
      </c>
      <c r="K114" s="16">
        <v>9.2362239980207803E-2</v>
      </c>
      <c r="L114">
        <v>77</v>
      </c>
      <c r="M114" s="16">
        <v>0.50286424587286205</v>
      </c>
      <c r="N114">
        <v>77</v>
      </c>
      <c r="O114" s="16">
        <v>0.19234181246642901</v>
      </c>
      <c r="P114">
        <v>77</v>
      </c>
      <c r="Q114" s="16">
        <v>0.26842554245514799</v>
      </c>
      <c r="R114">
        <v>87</v>
      </c>
      <c r="S114" s="16">
        <v>2.2636755722498601E-2</v>
      </c>
      <c r="T114">
        <v>34</v>
      </c>
      <c r="U114" s="16"/>
      <c r="W114" s="16">
        <v>0.30757552976140101</v>
      </c>
      <c r="X114">
        <v>34</v>
      </c>
      <c r="Y114" s="16">
        <v>1.18622746095644E-2</v>
      </c>
      <c r="Z114">
        <v>34</v>
      </c>
      <c r="AA114" s="16">
        <v>0.28832088288592</v>
      </c>
      <c r="AB114">
        <v>34</v>
      </c>
      <c r="AC114" s="16">
        <v>0.36960455702061701</v>
      </c>
      <c r="AD114">
        <v>34</v>
      </c>
      <c r="AE114" s="16">
        <v>0.46549214177498899</v>
      </c>
      <c r="AF114">
        <v>93</v>
      </c>
      <c r="AG114" s="16"/>
      <c r="AI114" s="16">
        <v>4.7578938374367901E-3</v>
      </c>
      <c r="AJ114">
        <v>43</v>
      </c>
      <c r="AK114" s="16">
        <v>0.15816251561394601</v>
      </c>
      <c r="AL114">
        <v>43</v>
      </c>
      <c r="AM114" s="16">
        <v>0.12620192035191299</v>
      </c>
      <c r="AN114">
        <v>43</v>
      </c>
      <c r="AO114" s="16">
        <v>0.593051599319804</v>
      </c>
      <c r="AP114">
        <v>43</v>
      </c>
      <c r="AQ114" s="16">
        <v>0.1178260708769</v>
      </c>
      <c r="AR114" s="11">
        <v>43</v>
      </c>
    </row>
    <row r="115" spans="1:44" outlineLevel="1" x14ac:dyDescent="0.25">
      <c r="A115" s="6" t="s">
        <v>15</v>
      </c>
      <c r="B115" t="s">
        <v>115</v>
      </c>
      <c r="C115" s="16">
        <v>0.94559943027932103</v>
      </c>
      <c r="D115">
        <v>4</v>
      </c>
      <c r="E115" s="16"/>
      <c r="G115" s="16"/>
      <c r="I115" s="16"/>
      <c r="K115" s="16"/>
      <c r="M115" s="16">
        <v>1</v>
      </c>
      <c r="N115">
        <v>3</v>
      </c>
      <c r="O115" s="16"/>
      <c r="Q115" s="16">
        <v>0.92055993774172895</v>
      </c>
      <c r="R115">
        <v>3</v>
      </c>
      <c r="S115" s="16"/>
      <c r="U115" s="16"/>
      <c r="W115" s="16"/>
      <c r="Y115" s="16"/>
      <c r="AA115" s="16">
        <v>1</v>
      </c>
      <c r="AB115">
        <v>2</v>
      </c>
      <c r="AC115" s="16"/>
      <c r="AE115" s="16">
        <v>1</v>
      </c>
      <c r="AF115">
        <v>1</v>
      </c>
      <c r="AG115" s="16"/>
      <c r="AI115" s="16"/>
      <c r="AK115" s="16"/>
      <c r="AM115" s="16"/>
      <c r="AO115" s="16">
        <v>1</v>
      </c>
      <c r="AP115">
        <v>1</v>
      </c>
      <c r="AQ115" s="16"/>
      <c r="AR115" s="11"/>
    </row>
    <row r="116" spans="1:44" outlineLevel="1" x14ac:dyDescent="0.25">
      <c r="A116" s="7" t="s">
        <v>15</v>
      </c>
      <c r="B116" s="9" t="s">
        <v>116</v>
      </c>
      <c r="C116" s="15">
        <v>0.42716351022813698</v>
      </c>
      <c r="D116" s="9">
        <v>13</v>
      </c>
      <c r="E116" s="15"/>
      <c r="F116" s="9"/>
      <c r="G116" s="15"/>
      <c r="H116" s="9"/>
      <c r="I116" s="15"/>
      <c r="J116" s="9"/>
      <c r="K116" s="15">
        <v>0.31314536453709801</v>
      </c>
      <c r="L116" s="9">
        <v>4</v>
      </c>
      <c r="M116" s="15">
        <v>0.68685463546290204</v>
      </c>
      <c r="N116" s="9">
        <v>4</v>
      </c>
      <c r="O116" s="15"/>
      <c r="P116" s="9"/>
      <c r="Q116" s="15">
        <v>0.43898969347831701</v>
      </c>
      <c r="R116" s="9">
        <v>8</v>
      </c>
      <c r="S116" s="15"/>
      <c r="T116" s="9"/>
      <c r="U116" s="15"/>
      <c r="V116" s="9"/>
      <c r="W116" s="15"/>
      <c r="X116" s="9"/>
      <c r="Y116" s="15">
        <v>0.57765569022587304</v>
      </c>
      <c r="Z116" s="9">
        <v>2</v>
      </c>
      <c r="AA116" s="15">
        <v>0.42234430977412701</v>
      </c>
      <c r="AB116" s="9">
        <v>2</v>
      </c>
      <c r="AC116" s="15"/>
      <c r="AD116" s="9"/>
      <c r="AE116" s="15">
        <v>0.40526615121898202</v>
      </c>
      <c r="AF116" s="9">
        <v>5</v>
      </c>
      <c r="AG116" s="15"/>
      <c r="AH116" s="9"/>
      <c r="AI116" s="15"/>
      <c r="AJ116" s="9"/>
      <c r="AK116" s="15"/>
      <c r="AL116" s="9"/>
      <c r="AM116" s="15"/>
      <c r="AN116" s="9"/>
      <c r="AO116" s="15">
        <v>1</v>
      </c>
      <c r="AP116" s="9">
        <v>2</v>
      </c>
      <c r="AQ116" s="15"/>
      <c r="AR116" s="12"/>
    </row>
    <row r="117" spans="1:44" x14ac:dyDescent="0.25">
      <c r="C117" s="16"/>
      <c r="E117" s="16"/>
      <c r="G117" s="16"/>
      <c r="I117" s="16"/>
      <c r="K117" s="16"/>
      <c r="M117" s="16"/>
      <c r="O117" s="16"/>
      <c r="Q117" s="16"/>
      <c r="S117" s="16"/>
      <c r="U117" s="16"/>
      <c r="W117" s="16"/>
      <c r="Y117" s="16"/>
      <c r="AA117" s="16"/>
      <c r="AC117" s="16"/>
      <c r="AE117" s="16"/>
      <c r="AG117" s="16"/>
      <c r="AI117" s="16"/>
      <c r="AK117" s="16"/>
      <c r="AM117" s="16"/>
      <c r="AO117" s="16"/>
      <c r="AQ117" s="16"/>
    </row>
    <row r="118" spans="1:44" x14ac:dyDescent="0.25">
      <c r="A118" s="19" t="s">
        <v>117</v>
      </c>
      <c r="B118" s="19"/>
      <c r="C118" s="20"/>
      <c r="D118" s="19"/>
      <c r="E118" s="20"/>
      <c r="F118" s="19"/>
      <c r="G118" s="20"/>
      <c r="H118" s="19"/>
      <c r="I118" s="20"/>
      <c r="J118" s="19"/>
      <c r="K118" s="20"/>
      <c r="L118" s="19"/>
      <c r="M118" s="20"/>
      <c r="N118" s="19"/>
      <c r="O118" s="20"/>
      <c r="P118" s="19"/>
      <c r="Q118" s="20"/>
      <c r="R118" s="19"/>
      <c r="S118" s="20"/>
      <c r="T118" s="19"/>
      <c r="U118" s="20"/>
      <c r="V118" s="19"/>
      <c r="W118" s="20"/>
      <c r="X118" s="19"/>
      <c r="Y118" s="20"/>
      <c r="Z118" s="19"/>
      <c r="AA118" s="20"/>
      <c r="AB118" s="19"/>
      <c r="AC118" s="20"/>
      <c r="AD118" s="19"/>
      <c r="AE118" s="20"/>
      <c r="AF118" s="19"/>
      <c r="AG118" s="20"/>
      <c r="AH118" s="19"/>
      <c r="AI118" s="20"/>
      <c r="AJ118" s="19"/>
      <c r="AK118" s="20"/>
      <c r="AL118" s="19"/>
      <c r="AM118" s="20"/>
      <c r="AN118" s="19"/>
      <c r="AO118" s="20"/>
      <c r="AP118" s="19"/>
      <c r="AQ118" s="20"/>
      <c r="AR118" s="19"/>
    </row>
    <row r="119" spans="1:44" outlineLevel="1" x14ac:dyDescent="0.25">
      <c r="A119" s="5" t="s">
        <v>15</v>
      </c>
      <c r="B119" s="8" t="s">
        <v>101</v>
      </c>
      <c r="C119" s="14">
        <v>0.15153963404878401</v>
      </c>
      <c r="D119" s="8">
        <v>83</v>
      </c>
      <c r="E119" s="14"/>
      <c r="F119" s="8"/>
      <c r="G119" s="14"/>
      <c r="H119" s="8"/>
      <c r="I119" s="14">
        <v>5.97083160387544E-2</v>
      </c>
      <c r="J119" s="8">
        <v>13</v>
      </c>
      <c r="K119" s="14"/>
      <c r="L119" s="8"/>
      <c r="M119" s="14">
        <v>0.65372997949649303</v>
      </c>
      <c r="N119" s="8">
        <v>13</v>
      </c>
      <c r="O119" s="14">
        <v>0.28656170446475299</v>
      </c>
      <c r="P119" s="8">
        <v>13</v>
      </c>
      <c r="Q119" s="14">
        <v>0.17217659950446601</v>
      </c>
      <c r="R119" s="8">
        <v>45</v>
      </c>
      <c r="S119" s="14"/>
      <c r="T119" s="8"/>
      <c r="U119" s="14"/>
      <c r="V119" s="8"/>
      <c r="W119" s="14"/>
      <c r="X119" s="8"/>
      <c r="Y119" s="14"/>
      <c r="Z119" s="8"/>
      <c r="AA119" s="14">
        <v>0.95787006520531404</v>
      </c>
      <c r="AB119" s="8">
        <v>6</v>
      </c>
      <c r="AC119" s="14">
        <v>4.2129934794686102E-2</v>
      </c>
      <c r="AD119" s="8">
        <v>6</v>
      </c>
      <c r="AE119" s="14">
        <v>0.120496197576637</v>
      </c>
      <c r="AF119" s="8">
        <v>38</v>
      </c>
      <c r="AG119" s="14"/>
      <c r="AH119" s="8"/>
      <c r="AI119" s="14"/>
      <c r="AJ119" s="8"/>
      <c r="AK119" s="14">
        <v>0.18804758486224901</v>
      </c>
      <c r="AL119" s="8">
        <v>7</v>
      </c>
      <c r="AM119" s="14"/>
      <c r="AN119" s="8"/>
      <c r="AO119" s="14"/>
      <c r="AP119" s="8"/>
      <c r="AQ119" s="14">
        <v>0.81195241513775096</v>
      </c>
      <c r="AR119" s="10">
        <v>7</v>
      </c>
    </row>
    <row r="120" spans="1:44" outlineLevel="1" x14ac:dyDescent="0.25">
      <c r="A120" s="6" t="s">
        <v>15</v>
      </c>
      <c r="B120" t="s">
        <v>118</v>
      </c>
      <c r="C120" s="16">
        <v>0.27154014913097002</v>
      </c>
      <c r="D120">
        <v>6098</v>
      </c>
      <c r="E120" s="16">
        <v>4.2749771065003897E-2</v>
      </c>
      <c r="F120">
        <v>2552</v>
      </c>
      <c r="G120" s="16">
        <v>5.1194183993659902E-2</v>
      </c>
      <c r="H120">
        <v>2552</v>
      </c>
      <c r="I120" s="16">
        <v>0.105033507512027</v>
      </c>
      <c r="J120">
        <v>2552</v>
      </c>
      <c r="K120" s="16">
        <v>0.12133215858301</v>
      </c>
      <c r="L120">
        <v>2552</v>
      </c>
      <c r="M120" s="16">
        <v>0.51540063897213995</v>
      </c>
      <c r="N120">
        <v>2552</v>
      </c>
      <c r="O120" s="16">
        <v>0.16428973987415901</v>
      </c>
      <c r="P120">
        <v>2552</v>
      </c>
      <c r="Q120" s="16">
        <v>0.26580925871822803</v>
      </c>
      <c r="R120">
        <v>3104</v>
      </c>
      <c r="S120" s="16">
        <v>4.5224704736852001E-2</v>
      </c>
      <c r="T120">
        <v>1267</v>
      </c>
      <c r="U120" s="16">
        <v>4.14450872654126E-2</v>
      </c>
      <c r="V120">
        <v>1267</v>
      </c>
      <c r="W120" s="16">
        <v>0.12886715001551</v>
      </c>
      <c r="X120">
        <v>1267</v>
      </c>
      <c r="Y120" s="16">
        <v>8.7192437913130805E-2</v>
      </c>
      <c r="Z120">
        <v>1267</v>
      </c>
      <c r="AA120" s="16">
        <v>0.54180420203625901</v>
      </c>
      <c r="AB120">
        <v>1267</v>
      </c>
      <c r="AC120" s="16">
        <v>0.15546641803283501</v>
      </c>
      <c r="AD120">
        <v>1267</v>
      </c>
      <c r="AE120" s="16">
        <v>0.27750701713119502</v>
      </c>
      <c r="AF120">
        <v>2991</v>
      </c>
      <c r="AG120" s="16">
        <v>4.0304919733505098E-2</v>
      </c>
      <c r="AH120">
        <v>1283</v>
      </c>
      <c r="AI120" s="16">
        <v>6.0942246817279298E-2</v>
      </c>
      <c r="AJ120">
        <v>1283</v>
      </c>
      <c r="AK120" s="16">
        <v>8.0957495950776906E-2</v>
      </c>
      <c r="AL120">
        <v>1283</v>
      </c>
      <c r="AM120" s="16">
        <v>0.155437264495454</v>
      </c>
      <c r="AN120">
        <v>1283</v>
      </c>
      <c r="AO120" s="16">
        <v>0.48918284909356702</v>
      </c>
      <c r="AP120">
        <v>1283</v>
      </c>
      <c r="AQ120" s="16">
        <v>0.173175223909418</v>
      </c>
      <c r="AR120" s="11">
        <v>1283</v>
      </c>
    </row>
    <row r="121" spans="1:44" outlineLevel="1" x14ac:dyDescent="0.25">
      <c r="A121" s="6" t="s">
        <v>15</v>
      </c>
      <c r="B121" t="s">
        <v>119</v>
      </c>
      <c r="C121" s="16">
        <v>0.39349469400162701</v>
      </c>
      <c r="D121">
        <v>2172</v>
      </c>
      <c r="E121" s="16">
        <v>8.6497544582690399E-3</v>
      </c>
      <c r="F121">
        <v>1122</v>
      </c>
      <c r="G121" s="16">
        <v>5.8259595284259398E-2</v>
      </c>
      <c r="H121">
        <v>1122</v>
      </c>
      <c r="I121" s="16">
        <v>0.222279425053618</v>
      </c>
      <c r="J121">
        <v>1122</v>
      </c>
      <c r="K121" s="16">
        <v>0.12135000591374701</v>
      </c>
      <c r="L121">
        <v>1122</v>
      </c>
      <c r="M121" s="16">
        <v>0.41473556783150201</v>
      </c>
      <c r="N121">
        <v>1122</v>
      </c>
      <c r="O121" s="16">
        <v>0.174725651458605</v>
      </c>
      <c r="P121">
        <v>1122</v>
      </c>
      <c r="Q121" s="16">
        <v>0.38899347381511001</v>
      </c>
      <c r="R121">
        <v>1072</v>
      </c>
      <c r="S121" s="16">
        <v>1.63793991148454E-2</v>
      </c>
      <c r="T121">
        <v>545</v>
      </c>
      <c r="U121" s="16">
        <v>5.1115304940257497E-2</v>
      </c>
      <c r="V121">
        <v>545</v>
      </c>
      <c r="W121" s="16">
        <v>0.28275629244818301</v>
      </c>
      <c r="X121">
        <v>545</v>
      </c>
      <c r="Y121" s="16">
        <v>0.122458153685796</v>
      </c>
      <c r="Z121">
        <v>545</v>
      </c>
      <c r="AA121" s="16">
        <v>0.36934649019062299</v>
      </c>
      <c r="AB121">
        <v>545</v>
      </c>
      <c r="AC121" s="16">
        <v>0.15794435962029399</v>
      </c>
      <c r="AD121">
        <v>545</v>
      </c>
      <c r="AE121" s="16">
        <v>0.39851920667975999</v>
      </c>
      <c r="AF121">
        <v>1097</v>
      </c>
      <c r="AG121" s="16"/>
      <c r="AI121" s="16">
        <v>6.6308149715135406E-2</v>
      </c>
      <c r="AJ121">
        <v>575</v>
      </c>
      <c r="AK121" s="16">
        <v>0.154729221557869</v>
      </c>
      <c r="AL121">
        <v>575</v>
      </c>
      <c r="AM121" s="16">
        <v>0.12020450255201599</v>
      </c>
      <c r="AN121">
        <v>575</v>
      </c>
      <c r="AO121" s="16">
        <v>0.46509637085814298</v>
      </c>
      <c r="AP121">
        <v>575</v>
      </c>
      <c r="AQ121" s="16">
        <v>0.19366175531683699</v>
      </c>
      <c r="AR121" s="11">
        <v>575</v>
      </c>
    </row>
    <row r="122" spans="1:44" outlineLevel="1" x14ac:dyDescent="0.25">
      <c r="A122" s="7" t="s">
        <v>15</v>
      </c>
      <c r="B122" s="9" t="s">
        <v>120</v>
      </c>
      <c r="C122" s="15">
        <v>0.37268799673019298</v>
      </c>
      <c r="D122" s="9">
        <v>329</v>
      </c>
      <c r="E122" s="15">
        <v>1.98770314642263E-3</v>
      </c>
      <c r="F122" s="9">
        <v>125</v>
      </c>
      <c r="G122" s="15">
        <v>5.83891397651599E-2</v>
      </c>
      <c r="H122" s="9">
        <v>125</v>
      </c>
      <c r="I122" s="15">
        <v>0.33399749641920901</v>
      </c>
      <c r="J122" s="9">
        <v>125</v>
      </c>
      <c r="K122" s="15">
        <v>4.3468662243959399E-2</v>
      </c>
      <c r="L122" s="9">
        <v>125</v>
      </c>
      <c r="M122" s="15">
        <v>8.9798084067630096E-2</v>
      </c>
      <c r="N122" s="9">
        <v>125</v>
      </c>
      <c r="O122" s="15">
        <v>0.47235891435761901</v>
      </c>
      <c r="P122" s="9">
        <v>125</v>
      </c>
      <c r="Q122" s="15">
        <v>0.44917839414878702</v>
      </c>
      <c r="R122" s="9">
        <v>164</v>
      </c>
      <c r="S122" s="15"/>
      <c r="T122" s="9"/>
      <c r="U122" s="15">
        <v>1.0793939803484601E-2</v>
      </c>
      <c r="V122" s="9">
        <v>70</v>
      </c>
      <c r="W122" s="15">
        <v>0.38358001284778898</v>
      </c>
      <c r="X122" s="9">
        <v>70</v>
      </c>
      <c r="Y122" s="15">
        <v>6.0031754768243304E-3</v>
      </c>
      <c r="Z122" s="9">
        <v>70</v>
      </c>
      <c r="AA122" s="15">
        <v>6.70881710571338E-2</v>
      </c>
      <c r="AB122" s="9">
        <v>70</v>
      </c>
      <c r="AC122" s="15">
        <v>0.53253470081476795</v>
      </c>
      <c r="AD122" s="9">
        <v>70</v>
      </c>
      <c r="AE122" s="15">
        <v>0.25447652155647599</v>
      </c>
      <c r="AF122" s="9">
        <v>164</v>
      </c>
      <c r="AG122" s="15">
        <v>7.4406492808527704E-3</v>
      </c>
      <c r="AH122" s="9">
        <v>55</v>
      </c>
      <c r="AI122" s="15">
        <v>0.18895896962911299</v>
      </c>
      <c r="AJ122" s="9">
        <v>55</v>
      </c>
      <c r="AK122" s="15">
        <v>0.19797578121432699</v>
      </c>
      <c r="AL122" s="9">
        <v>55</v>
      </c>
      <c r="AM122" s="15">
        <v>0.14624924173294199</v>
      </c>
      <c r="AN122" s="9">
        <v>55</v>
      </c>
      <c r="AO122" s="15">
        <v>0.152099103506425</v>
      </c>
      <c r="AP122" s="9">
        <v>55</v>
      </c>
      <c r="AQ122" s="15">
        <v>0.30727625463634001</v>
      </c>
      <c r="AR122" s="12">
        <v>55</v>
      </c>
    </row>
    <row r="123" spans="1:44" x14ac:dyDescent="0.25">
      <c r="C123" s="16"/>
      <c r="E123" s="16"/>
      <c r="G123" s="16"/>
      <c r="I123" s="16"/>
      <c r="K123" s="16"/>
      <c r="M123" s="16"/>
      <c r="O123" s="16"/>
      <c r="Q123" s="16"/>
      <c r="S123" s="16"/>
      <c r="U123" s="16"/>
      <c r="W123" s="16"/>
      <c r="Y123" s="16"/>
      <c r="AA123" s="16"/>
      <c r="AC123" s="16"/>
      <c r="AE123" s="16"/>
      <c r="AG123" s="16"/>
      <c r="AI123" s="16"/>
      <c r="AK123" s="16"/>
      <c r="AM123" s="16"/>
      <c r="AO123" s="16"/>
      <c r="AQ123" s="16"/>
    </row>
    <row r="124" spans="1:44" x14ac:dyDescent="0.25">
      <c r="A124" s="19" t="s">
        <v>121</v>
      </c>
      <c r="B124" s="19"/>
      <c r="C124" s="20"/>
      <c r="D124" s="19"/>
      <c r="E124" s="20"/>
      <c r="F124" s="19"/>
      <c r="G124" s="20"/>
      <c r="H124" s="19"/>
      <c r="I124" s="20"/>
      <c r="J124" s="19"/>
      <c r="K124" s="20"/>
      <c r="L124" s="19"/>
      <c r="M124" s="20"/>
      <c r="N124" s="19"/>
      <c r="O124" s="20"/>
      <c r="P124" s="19"/>
      <c r="Q124" s="20"/>
      <c r="R124" s="19"/>
      <c r="S124" s="20"/>
      <c r="T124" s="19"/>
      <c r="U124" s="20"/>
      <c r="V124" s="19"/>
      <c r="W124" s="20"/>
      <c r="X124" s="19"/>
      <c r="Y124" s="20"/>
      <c r="Z124" s="19"/>
      <c r="AA124" s="20"/>
      <c r="AB124" s="19"/>
      <c r="AC124" s="20"/>
      <c r="AD124" s="19"/>
      <c r="AE124" s="20"/>
      <c r="AF124" s="19"/>
      <c r="AG124" s="20"/>
      <c r="AH124" s="19"/>
      <c r="AI124" s="20"/>
      <c r="AJ124" s="19"/>
      <c r="AK124" s="20"/>
      <c r="AL124" s="19"/>
      <c r="AM124" s="20"/>
      <c r="AN124" s="19"/>
      <c r="AO124" s="20"/>
      <c r="AP124" s="19"/>
      <c r="AQ124" s="20"/>
      <c r="AR124" s="19"/>
    </row>
    <row r="125" spans="1:44" outlineLevel="1" x14ac:dyDescent="0.25">
      <c r="A125" s="5" t="s">
        <v>15</v>
      </c>
      <c r="B125" s="8" t="s">
        <v>101</v>
      </c>
      <c r="C125" s="14">
        <v>0.58068301004200196</v>
      </c>
      <c r="D125" s="8">
        <v>111</v>
      </c>
      <c r="E125" s="14">
        <v>6.6905352324338301E-3</v>
      </c>
      <c r="F125" s="8">
        <v>59</v>
      </c>
      <c r="G125" s="14"/>
      <c r="H125" s="8"/>
      <c r="I125" s="14">
        <v>0.11426778597955101</v>
      </c>
      <c r="J125" s="8">
        <v>59</v>
      </c>
      <c r="K125" s="14">
        <v>3.74524618644734E-3</v>
      </c>
      <c r="L125" s="8">
        <v>59</v>
      </c>
      <c r="M125" s="14">
        <v>0.67674159074380102</v>
      </c>
      <c r="N125" s="8">
        <v>59</v>
      </c>
      <c r="O125" s="14">
        <v>0.19855484185776701</v>
      </c>
      <c r="P125" s="8">
        <v>59</v>
      </c>
      <c r="Q125" s="14">
        <v>0.64318477434357302</v>
      </c>
      <c r="R125" s="8">
        <v>64</v>
      </c>
      <c r="S125" s="14">
        <v>4.6578194747447198E-3</v>
      </c>
      <c r="T125" s="8">
        <v>39</v>
      </c>
      <c r="U125" s="14"/>
      <c r="V125" s="8"/>
      <c r="W125" s="14">
        <v>1.31094655634095E-2</v>
      </c>
      <c r="X125" s="8">
        <v>39</v>
      </c>
      <c r="Y125" s="14">
        <v>5.9229095523644698E-3</v>
      </c>
      <c r="Z125" s="8">
        <v>39</v>
      </c>
      <c r="AA125" s="14">
        <v>0.72025309259304204</v>
      </c>
      <c r="AB125" s="8">
        <v>39</v>
      </c>
      <c r="AC125" s="14">
        <v>0.25605671281643899</v>
      </c>
      <c r="AD125" s="8">
        <v>39</v>
      </c>
      <c r="AE125" s="14">
        <v>0.49741765145722899</v>
      </c>
      <c r="AF125" s="8">
        <v>47</v>
      </c>
      <c r="AG125" s="14">
        <v>1.0186493817570899E-2</v>
      </c>
      <c r="AH125" s="8">
        <v>20</v>
      </c>
      <c r="AI125" s="14"/>
      <c r="AJ125" s="8"/>
      <c r="AK125" s="14">
        <v>0.28824454459871901</v>
      </c>
      <c r="AL125" s="8">
        <v>20</v>
      </c>
      <c r="AM125" s="14"/>
      <c r="AN125" s="8"/>
      <c r="AO125" s="14">
        <v>0.60190849720051398</v>
      </c>
      <c r="AP125" s="8">
        <v>20</v>
      </c>
      <c r="AQ125" s="14">
        <v>9.9660464383196506E-2</v>
      </c>
      <c r="AR125" s="10">
        <v>20</v>
      </c>
    </row>
    <row r="126" spans="1:44" outlineLevel="1" x14ac:dyDescent="0.25">
      <c r="A126" s="6" t="s">
        <v>15</v>
      </c>
      <c r="B126" t="s">
        <v>122</v>
      </c>
      <c r="C126" s="16">
        <v>0.43344671631646498</v>
      </c>
      <c r="D126">
        <v>600</v>
      </c>
      <c r="E126" s="16">
        <v>3.9404838610382299E-4</v>
      </c>
      <c r="F126">
        <v>262</v>
      </c>
      <c r="G126" s="16">
        <v>7.6816983456024099E-2</v>
      </c>
      <c r="H126">
        <v>262</v>
      </c>
      <c r="I126" s="16">
        <v>0.37550978730796802</v>
      </c>
      <c r="J126">
        <v>262</v>
      </c>
      <c r="K126" s="16">
        <v>9.8312376080881697E-3</v>
      </c>
      <c r="L126">
        <v>262</v>
      </c>
      <c r="M126" s="16">
        <v>0.32028305969784499</v>
      </c>
      <c r="N126">
        <v>262</v>
      </c>
      <c r="O126" s="16">
        <v>0.21716488354397101</v>
      </c>
      <c r="P126">
        <v>262</v>
      </c>
      <c r="Q126" s="16">
        <v>0.465044954639803</v>
      </c>
      <c r="R126">
        <v>302</v>
      </c>
      <c r="S126" s="16">
        <v>6.16770357766169E-4</v>
      </c>
      <c r="T126">
        <v>139</v>
      </c>
      <c r="U126" s="16">
        <v>5.1063658514271602E-2</v>
      </c>
      <c r="V126">
        <v>139</v>
      </c>
      <c r="W126" s="16">
        <v>0.41676364869258598</v>
      </c>
      <c r="X126">
        <v>139</v>
      </c>
      <c r="Y126" s="16">
        <v>1.5362274002174801E-2</v>
      </c>
      <c r="Z126">
        <v>139</v>
      </c>
      <c r="AA126" s="16">
        <v>0.27651419593072202</v>
      </c>
      <c r="AB126">
        <v>139</v>
      </c>
      <c r="AC126" s="16">
        <v>0.23967945250247999</v>
      </c>
      <c r="AD126">
        <v>139</v>
      </c>
      <c r="AE126" s="16">
        <v>0.38712670076380401</v>
      </c>
      <c r="AF126">
        <v>297</v>
      </c>
      <c r="AG126" s="16"/>
      <c r="AI126" s="16">
        <v>0.122382161381359</v>
      </c>
      <c r="AJ126">
        <v>122</v>
      </c>
      <c r="AK126" s="16">
        <v>0.30252529130662698</v>
      </c>
      <c r="AL126">
        <v>122</v>
      </c>
      <c r="AM126" s="16">
        <v>3.4134849758542397E-5</v>
      </c>
      <c r="AN126">
        <v>122</v>
      </c>
      <c r="AO126" s="16">
        <v>0.397725163417675</v>
      </c>
      <c r="AP126">
        <v>122</v>
      </c>
      <c r="AQ126" s="16">
        <v>0.17733324904458</v>
      </c>
      <c r="AR126" s="11">
        <v>122</v>
      </c>
    </row>
    <row r="127" spans="1:44" outlineLevel="1" x14ac:dyDescent="0.25">
      <c r="A127" s="6" t="s">
        <v>15</v>
      </c>
      <c r="B127" t="s">
        <v>123</v>
      </c>
      <c r="C127" s="16">
        <v>0.43921463440236402</v>
      </c>
      <c r="D127">
        <v>3072</v>
      </c>
      <c r="E127" s="16">
        <v>5.4853134151790599E-3</v>
      </c>
      <c r="F127">
        <v>1534</v>
      </c>
      <c r="G127" s="16">
        <v>6.2563334131368498E-2</v>
      </c>
      <c r="H127">
        <v>1534</v>
      </c>
      <c r="I127" s="16">
        <v>0.253204804104668</v>
      </c>
      <c r="J127">
        <v>1534</v>
      </c>
      <c r="K127" s="16">
        <v>0.10217228796844301</v>
      </c>
      <c r="L127">
        <v>1534</v>
      </c>
      <c r="M127" s="16">
        <v>0.43282796899173598</v>
      </c>
      <c r="N127">
        <v>1534</v>
      </c>
      <c r="O127" s="16">
        <v>0.14374629138860501</v>
      </c>
      <c r="P127">
        <v>1534</v>
      </c>
      <c r="Q127" s="16">
        <v>0.42602142117008301</v>
      </c>
      <c r="R127">
        <v>1533</v>
      </c>
      <c r="S127" s="16">
        <v>1.07016408476244E-2</v>
      </c>
      <c r="T127">
        <v>758</v>
      </c>
      <c r="U127" s="16">
        <v>4.07246679928936E-2</v>
      </c>
      <c r="V127">
        <v>758</v>
      </c>
      <c r="W127" s="16">
        <v>0.30683177194526001</v>
      </c>
      <c r="X127">
        <v>758</v>
      </c>
      <c r="Y127" s="16">
        <v>6.5822610712932994E-2</v>
      </c>
      <c r="Z127">
        <v>758</v>
      </c>
      <c r="AA127" s="16">
        <v>0.44958476218137899</v>
      </c>
      <c r="AB127">
        <v>758</v>
      </c>
      <c r="AC127" s="16">
        <v>0.12633454631991001</v>
      </c>
      <c r="AD127">
        <v>758</v>
      </c>
      <c r="AE127" s="16">
        <v>0.45335738139799697</v>
      </c>
      <c r="AF127">
        <v>1536</v>
      </c>
      <c r="AG127" s="16">
        <v>2.2484322565495101E-4</v>
      </c>
      <c r="AH127">
        <v>775</v>
      </c>
      <c r="AI127" s="16">
        <v>8.4678565429078395E-2</v>
      </c>
      <c r="AJ127">
        <v>775</v>
      </c>
      <c r="AK127" s="16">
        <v>0.198262338385369</v>
      </c>
      <c r="AL127">
        <v>775</v>
      </c>
      <c r="AM127" s="16">
        <v>0.138980192978294</v>
      </c>
      <c r="AN127">
        <v>775</v>
      </c>
      <c r="AO127" s="16">
        <v>0.41637481953417799</v>
      </c>
      <c r="AP127">
        <v>775</v>
      </c>
      <c r="AQ127" s="16">
        <v>0.16147924044742501</v>
      </c>
      <c r="AR127" s="11">
        <v>775</v>
      </c>
    </row>
    <row r="128" spans="1:44" outlineLevel="1" x14ac:dyDescent="0.25">
      <c r="A128" s="7" t="s">
        <v>15</v>
      </c>
      <c r="B128" s="9" t="s">
        <v>124</v>
      </c>
      <c r="C128" s="15">
        <v>0.24304166905701999</v>
      </c>
      <c r="D128" s="9">
        <v>4899</v>
      </c>
      <c r="E128" s="15">
        <v>5.2554953651433603E-2</v>
      </c>
      <c r="F128" s="9">
        <v>1957</v>
      </c>
      <c r="G128" s="15">
        <v>4.6674122163371301E-2</v>
      </c>
      <c r="H128" s="9">
        <v>1957</v>
      </c>
      <c r="I128" s="15">
        <v>5.4755039114915603E-2</v>
      </c>
      <c r="J128" s="9">
        <v>1957</v>
      </c>
      <c r="K128" s="15">
        <v>0.13898761186025399</v>
      </c>
      <c r="L128" s="9">
        <v>1957</v>
      </c>
      <c r="M128" s="15">
        <v>0.52695980424924205</v>
      </c>
      <c r="N128" s="9">
        <v>1957</v>
      </c>
      <c r="O128" s="15">
        <v>0.18006846896078299</v>
      </c>
      <c r="P128" s="9">
        <v>1957</v>
      </c>
      <c r="Q128" s="15">
        <v>0.23723887546384601</v>
      </c>
      <c r="R128" s="9">
        <v>2486</v>
      </c>
      <c r="S128" s="15">
        <v>5.5717752802174801E-2</v>
      </c>
      <c r="T128" s="9">
        <v>952</v>
      </c>
      <c r="U128" s="15">
        <v>4.2606243581017902E-2</v>
      </c>
      <c r="V128" s="9">
        <v>952</v>
      </c>
      <c r="W128" s="15">
        <v>7.4720748257650502E-2</v>
      </c>
      <c r="X128" s="9">
        <v>952</v>
      </c>
      <c r="Y128" s="15">
        <v>0.11264070375886399</v>
      </c>
      <c r="Z128" s="9">
        <v>952</v>
      </c>
      <c r="AA128" s="15">
        <v>0.54185554372392597</v>
      </c>
      <c r="AB128" s="9">
        <v>952</v>
      </c>
      <c r="AC128" s="15">
        <v>0.17245900787636601</v>
      </c>
      <c r="AD128" s="9">
        <v>952</v>
      </c>
      <c r="AE128" s="15">
        <v>0.24908320762592101</v>
      </c>
      <c r="AF128" s="9">
        <v>2410</v>
      </c>
      <c r="AG128" s="15">
        <v>4.9435176475826799E-2</v>
      </c>
      <c r="AH128" s="9">
        <v>1003</v>
      </c>
      <c r="AI128" s="15">
        <v>5.0733538613441702E-2</v>
      </c>
      <c r="AJ128" s="9">
        <v>1003</v>
      </c>
      <c r="AK128" s="15">
        <v>3.4947289392964202E-2</v>
      </c>
      <c r="AL128" s="9">
        <v>1003</v>
      </c>
      <c r="AM128" s="15">
        <v>0.165212724076439</v>
      </c>
      <c r="AN128" s="9">
        <v>1003</v>
      </c>
      <c r="AO128" s="15">
        <v>0.51197112255557098</v>
      </c>
      <c r="AP128" s="9">
        <v>1003</v>
      </c>
      <c r="AQ128" s="15">
        <v>0.18770014888575701</v>
      </c>
      <c r="AR128" s="12">
        <v>1003</v>
      </c>
    </row>
    <row r="129" spans="1:44" x14ac:dyDescent="0.25">
      <c r="C129" s="16"/>
      <c r="E129" s="16"/>
      <c r="G129" s="16"/>
      <c r="I129" s="16"/>
      <c r="K129" s="16"/>
      <c r="M129" s="16"/>
      <c r="O129" s="16"/>
      <c r="Q129" s="16"/>
      <c r="S129" s="16"/>
      <c r="U129" s="16"/>
      <c r="W129" s="16"/>
      <c r="Y129" s="16"/>
      <c r="AA129" s="16"/>
      <c r="AC129" s="16"/>
      <c r="AE129" s="16"/>
      <c r="AG129" s="16"/>
      <c r="AI129" s="16"/>
      <c r="AK129" s="16"/>
      <c r="AM129" s="16"/>
      <c r="AO129" s="16"/>
      <c r="AQ129" s="16"/>
    </row>
    <row r="130" spans="1:44" x14ac:dyDescent="0.25">
      <c r="A130" s="19" t="s">
        <v>125</v>
      </c>
      <c r="B130" s="19"/>
      <c r="C130" s="20"/>
      <c r="D130" s="19"/>
      <c r="E130" s="20"/>
      <c r="F130" s="19"/>
      <c r="G130" s="20"/>
      <c r="H130" s="19"/>
      <c r="I130" s="20"/>
      <c r="J130" s="19"/>
      <c r="K130" s="20"/>
      <c r="L130" s="19"/>
      <c r="M130" s="20"/>
      <c r="N130" s="19"/>
      <c r="O130" s="20"/>
      <c r="P130" s="19"/>
      <c r="Q130" s="20"/>
      <c r="R130" s="19"/>
      <c r="S130" s="20"/>
      <c r="T130" s="19"/>
      <c r="U130" s="20"/>
      <c r="V130" s="19"/>
      <c r="W130" s="20"/>
      <c r="X130" s="19"/>
      <c r="Y130" s="20"/>
      <c r="Z130" s="19"/>
      <c r="AA130" s="20"/>
      <c r="AB130" s="19"/>
      <c r="AC130" s="20"/>
      <c r="AD130" s="19"/>
      <c r="AE130" s="20"/>
      <c r="AF130" s="19"/>
      <c r="AG130" s="20"/>
      <c r="AH130" s="19"/>
      <c r="AI130" s="20"/>
      <c r="AJ130" s="19"/>
      <c r="AK130" s="20"/>
      <c r="AL130" s="19"/>
      <c r="AM130" s="20"/>
      <c r="AN130" s="19"/>
      <c r="AO130" s="20"/>
      <c r="AP130" s="19"/>
      <c r="AQ130" s="20"/>
      <c r="AR130" s="19"/>
    </row>
    <row r="131" spans="1:44" outlineLevel="1" x14ac:dyDescent="0.25">
      <c r="A131" s="5" t="s">
        <v>15</v>
      </c>
      <c r="B131" s="8" t="s">
        <v>101</v>
      </c>
      <c r="C131" s="14">
        <v>0.60874310961845401</v>
      </c>
      <c r="D131" s="8">
        <v>72</v>
      </c>
      <c r="E131" s="14">
        <v>7.8515658669052E-3</v>
      </c>
      <c r="F131" s="8">
        <v>36</v>
      </c>
      <c r="G131" s="14">
        <v>1.04648606214327E-2</v>
      </c>
      <c r="H131" s="8">
        <v>36</v>
      </c>
      <c r="I131" s="14">
        <v>0.29190121428598198</v>
      </c>
      <c r="J131" s="8">
        <v>36</v>
      </c>
      <c r="K131" s="14">
        <v>9.7054536881159403E-3</v>
      </c>
      <c r="L131" s="8">
        <v>36</v>
      </c>
      <c r="M131" s="14">
        <v>0.62137884450379599</v>
      </c>
      <c r="N131" s="8">
        <v>36</v>
      </c>
      <c r="O131" s="14">
        <v>5.8698061033768602E-2</v>
      </c>
      <c r="P131" s="8">
        <v>36</v>
      </c>
      <c r="Q131" s="14">
        <v>0.57775110872901403</v>
      </c>
      <c r="R131" s="8">
        <v>26</v>
      </c>
      <c r="S131" s="14">
        <v>2.3076315877995201E-2</v>
      </c>
      <c r="T131" s="8">
        <v>12</v>
      </c>
      <c r="U131" s="14"/>
      <c r="V131" s="8"/>
      <c r="W131" s="14">
        <v>1.78137979862448E-2</v>
      </c>
      <c r="X131" s="8">
        <v>12</v>
      </c>
      <c r="Y131" s="14"/>
      <c r="Z131" s="8"/>
      <c r="AA131" s="14">
        <v>0.87620033112853102</v>
      </c>
      <c r="AB131" s="8">
        <v>12</v>
      </c>
      <c r="AC131" s="14">
        <v>8.2909555007228505E-2</v>
      </c>
      <c r="AD131" s="8">
        <v>12</v>
      </c>
      <c r="AE131" s="14">
        <v>0.63239964726569198</v>
      </c>
      <c r="AF131" s="8">
        <v>46</v>
      </c>
      <c r="AG131" s="14"/>
      <c r="AH131" s="8"/>
      <c r="AI131" s="14">
        <v>1.5861700792687401E-2</v>
      </c>
      <c r="AJ131" s="8">
        <v>24</v>
      </c>
      <c r="AK131" s="14">
        <v>0.43325101646990499</v>
      </c>
      <c r="AL131" s="8">
        <v>24</v>
      </c>
      <c r="AM131" s="14">
        <v>1.47106596090626E-2</v>
      </c>
      <c r="AN131" s="8">
        <v>24</v>
      </c>
      <c r="AO131" s="14">
        <v>0.48996468761587098</v>
      </c>
      <c r="AP131" s="8">
        <v>24</v>
      </c>
      <c r="AQ131" s="14">
        <v>4.62119355124741E-2</v>
      </c>
      <c r="AR131" s="10">
        <v>24</v>
      </c>
    </row>
    <row r="132" spans="1:44" outlineLevel="1" x14ac:dyDescent="0.25">
      <c r="A132" s="6" t="s">
        <v>15</v>
      </c>
      <c r="B132" t="s">
        <v>126</v>
      </c>
      <c r="C132" s="16">
        <v>0.433497088089288</v>
      </c>
      <c r="D132">
        <v>1110</v>
      </c>
      <c r="E132" s="16">
        <v>3.5481188136973099E-3</v>
      </c>
      <c r="F132">
        <v>511</v>
      </c>
      <c r="G132" s="16">
        <v>5.8229047249924899E-2</v>
      </c>
      <c r="H132">
        <v>511</v>
      </c>
      <c r="I132" s="16">
        <v>0.25443066111243301</v>
      </c>
      <c r="J132">
        <v>511</v>
      </c>
      <c r="K132" s="16">
        <v>6.8534893401938704E-2</v>
      </c>
      <c r="L132">
        <v>511</v>
      </c>
      <c r="M132" s="16">
        <v>0.473940107072435</v>
      </c>
      <c r="N132">
        <v>511</v>
      </c>
      <c r="O132" s="16">
        <v>0.141317172349571</v>
      </c>
      <c r="P132">
        <v>511</v>
      </c>
      <c r="Q132" s="16">
        <v>0.450041421887171</v>
      </c>
      <c r="R132">
        <v>554</v>
      </c>
      <c r="S132" s="16">
        <v>5.9829961215017904E-3</v>
      </c>
      <c r="T132">
        <v>260</v>
      </c>
      <c r="U132" s="16">
        <v>1.42974422263234E-2</v>
      </c>
      <c r="V132">
        <v>260</v>
      </c>
      <c r="W132" s="16">
        <v>0.31720527003766302</v>
      </c>
      <c r="X132">
        <v>260</v>
      </c>
      <c r="Y132" s="16">
        <v>6.8611306833080699E-2</v>
      </c>
      <c r="Z132">
        <v>260</v>
      </c>
      <c r="AA132" s="16">
        <v>0.47099422739357899</v>
      </c>
      <c r="AB132">
        <v>260</v>
      </c>
      <c r="AC132" s="16">
        <v>0.12290875738785199</v>
      </c>
      <c r="AD132">
        <v>260</v>
      </c>
      <c r="AE132" s="16">
        <v>0.41154661253033897</v>
      </c>
      <c r="AF132">
        <v>556</v>
      </c>
      <c r="AG132" s="16"/>
      <c r="AI132" s="16">
        <v>0.12224646356923501</v>
      </c>
      <c r="AJ132">
        <v>251</v>
      </c>
      <c r="AK132" s="16">
        <v>0.162955098776631</v>
      </c>
      <c r="AL132">
        <v>251</v>
      </c>
      <c r="AM132" s="16">
        <v>6.8423543260481903E-2</v>
      </c>
      <c r="AN132">
        <v>251</v>
      </c>
      <c r="AO132" s="16">
        <v>0.47823286181532598</v>
      </c>
      <c r="AP132">
        <v>251</v>
      </c>
      <c r="AQ132" s="16">
        <v>0.168142032578326</v>
      </c>
      <c r="AR132" s="11">
        <v>251</v>
      </c>
    </row>
    <row r="133" spans="1:44" outlineLevel="1" x14ac:dyDescent="0.25">
      <c r="A133" s="6" t="s">
        <v>15</v>
      </c>
      <c r="B133" t="s">
        <v>127</v>
      </c>
      <c r="C133" s="16">
        <v>0.40960390610735897</v>
      </c>
      <c r="D133">
        <v>1104</v>
      </c>
      <c r="E133" s="16">
        <v>6.7317039873583098E-4</v>
      </c>
      <c r="F133">
        <v>507</v>
      </c>
      <c r="G133" s="16">
        <v>7.5664227504374404E-2</v>
      </c>
      <c r="H133">
        <v>507</v>
      </c>
      <c r="I133" s="16">
        <v>0.20700274592554599</v>
      </c>
      <c r="J133">
        <v>507</v>
      </c>
      <c r="K133" s="16">
        <v>6.1596553678071E-2</v>
      </c>
      <c r="L133">
        <v>507</v>
      </c>
      <c r="M133" s="16">
        <v>0.42814935739893201</v>
      </c>
      <c r="N133">
        <v>507</v>
      </c>
      <c r="O133" s="16">
        <v>0.22691394509434101</v>
      </c>
      <c r="P133">
        <v>507</v>
      </c>
      <c r="Q133" s="16">
        <v>0.41147974004969101</v>
      </c>
      <c r="R133">
        <v>552</v>
      </c>
      <c r="S133" s="16">
        <v>6.3662241428722203E-4</v>
      </c>
      <c r="T133">
        <v>246</v>
      </c>
      <c r="U133" s="16">
        <v>7.1517157644939905E-2</v>
      </c>
      <c r="V133">
        <v>246</v>
      </c>
      <c r="W133" s="16">
        <v>0.19853136388513101</v>
      </c>
      <c r="X133">
        <v>246</v>
      </c>
      <c r="Y133" s="16">
        <v>3.7418171506123497E-2</v>
      </c>
      <c r="Z133">
        <v>246</v>
      </c>
      <c r="AA133" s="16">
        <v>0.42966808617276397</v>
      </c>
      <c r="AB133">
        <v>246</v>
      </c>
      <c r="AC133" s="16">
        <v>0.262228598376754</v>
      </c>
      <c r="AD133">
        <v>246</v>
      </c>
      <c r="AE133" s="16">
        <v>0.40767616728502598</v>
      </c>
      <c r="AF133">
        <v>550</v>
      </c>
      <c r="AG133" s="16">
        <v>7.1417448868671797E-4</v>
      </c>
      <c r="AH133">
        <v>260</v>
      </c>
      <c r="AI133" s="16">
        <v>8.0316923831651704E-2</v>
      </c>
      <c r="AJ133">
        <v>260</v>
      </c>
      <c r="AK133" s="16">
        <v>0.21650729499086199</v>
      </c>
      <c r="AL133">
        <v>260</v>
      </c>
      <c r="AM133" s="16">
        <v>8.8714857625830895E-2</v>
      </c>
      <c r="AN133">
        <v>260</v>
      </c>
      <c r="AO133" s="16">
        <v>0.42644810239123898</v>
      </c>
      <c r="AP133">
        <v>260</v>
      </c>
      <c r="AQ133" s="16">
        <v>0.18729864667172899</v>
      </c>
      <c r="AR133" s="11">
        <v>260</v>
      </c>
    </row>
    <row r="134" spans="1:44" outlineLevel="1" x14ac:dyDescent="0.25">
      <c r="A134" s="6" t="s">
        <v>15</v>
      </c>
      <c r="B134" t="s">
        <v>128</v>
      </c>
      <c r="C134" s="16">
        <v>0.21164857601863099</v>
      </c>
      <c r="D134">
        <v>3017</v>
      </c>
      <c r="E134" s="16">
        <v>7.0687278006951501E-2</v>
      </c>
      <c r="F134">
        <v>1052</v>
      </c>
      <c r="G134" s="16">
        <v>5.0615096981891303E-2</v>
      </c>
      <c r="H134">
        <v>1052</v>
      </c>
      <c r="I134" s="16">
        <v>4.8980356990530799E-2</v>
      </c>
      <c r="J134">
        <v>1052</v>
      </c>
      <c r="K134" s="16">
        <v>0.160210866180894</v>
      </c>
      <c r="L134">
        <v>1052</v>
      </c>
      <c r="M134" s="16">
        <v>0.46994096020405701</v>
      </c>
      <c r="N134">
        <v>1052</v>
      </c>
      <c r="O134" s="16">
        <v>0.19956544163567499</v>
      </c>
      <c r="P134">
        <v>1052</v>
      </c>
      <c r="Q134" s="16">
        <v>0.20963189158192999</v>
      </c>
      <c r="R134">
        <v>1551</v>
      </c>
      <c r="S134" s="16">
        <v>7.4835286800251005E-2</v>
      </c>
      <c r="T134">
        <v>531</v>
      </c>
      <c r="U134" s="16">
        <v>4.70149418978612E-2</v>
      </c>
      <c r="V134">
        <v>531</v>
      </c>
      <c r="W134" s="16">
        <v>6.2980580363987404E-2</v>
      </c>
      <c r="X134">
        <v>531</v>
      </c>
      <c r="Y134" s="16">
        <v>0.14019606269315399</v>
      </c>
      <c r="Z134">
        <v>531</v>
      </c>
      <c r="AA134" s="16">
        <v>0.48002981729465399</v>
      </c>
      <c r="AB134">
        <v>531</v>
      </c>
      <c r="AC134" s="16">
        <v>0.19494331095009301</v>
      </c>
      <c r="AD134">
        <v>531</v>
      </c>
      <c r="AE134" s="16">
        <v>0.21389050982688601</v>
      </c>
      <c r="AF134">
        <v>1465</v>
      </c>
      <c r="AG134" s="16">
        <v>6.6368655100252805E-2</v>
      </c>
      <c r="AH134">
        <v>521</v>
      </c>
      <c r="AI134" s="16">
        <v>5.4363332096213003E-2</v>
      </c>
      <c r="AJ134">
        <v>521</v>
      </c>
      <c r="AK134" s="16">
        <v>3.4404282451543498E-2</v>
      </c>
      <c r="AL134">
        <v>521</v>
      </c>
      <c r="AM134" s="16">
        <v>0.181048909956225</v>
      </c>
      <c r="AN134">
        <v>521</v>
      </c>
      <c r="AO134" s="16">
        <v>0.45943713258338198</v>
      </c>
      <c r="AP134">
        <v>521</v>
      </c>
      <c r="AQ134" s="16">
        <v>0.204377687812384</v>
      </c>
      <c r="AR134" s="11">
        <v>521</v>
      </c>
    </row>
    <row r="135" spans="1:44" outlineLevel="1" x14ac:dyDescent="0.25">
      <c r="A135" s="7" t="s">
        <v>15</v>
      </c>
      <c r="B135" s="9" t="s">
        <v>129</v>
      </c>
      <c r="C135" s="15">
        <v>0.41021429830837203</v>
      </c>
      <c r="D135" s="9">
        <v>3379</v>
      </c>
      <c r="E135" s="15">
        <v>8.6617433467632999E-3</v>
      </c>
      <c r="F135" s="9">
        <v>1706</v>
      </c>
      <c r="G135" s="15">
        <v>4.7527993789562899E-2</v>
      </c>
      <c r="H135" s="9">
        <v>1706</v>
      </c>
      <c r="I135" s="15">
        <v>0.17538646663349799</v>
      </c>
      <c r="J135" s="9">
        <v>1706</v>
      </c>
      <c r="K135" s="15">
        <v>9.8736993643224399E-2</v>
      </c>
      <c r="L135" s="9">
        <v>1706</v>
      </c>
      <c r="M135" s="15">
        <v>0.53698374219255096</v>
      </c>
      <c r="N135" s="9">
        <v>1706</v>
      </c>
      <c r="O135" s="15">
        <v>0.1327030603944</v>
      </c>
      <c r="P135" s="9">
        <v>1706</v>
      </c>
      <c r="Q135" s="15">
        <v>0.393673672051843</v>
      </c>
      <c r="R135" s="9">
        <v>1702</v>
      </c>
      <c r="S135" s="15">
        <v>1.0149307016195401E-2</v>
      </c>
      <c r="T135" s="9">
        <v>839</v>
      </c>
      <c r="U135" s="15">
        <v>3.8413001355498903E-2</v>
      </c>
      <c r="V135" s="9">
        <v>839</v>
      </c>
      <c r="W135" s="15">
        <v>0.240460468155067</v>
      </c>
      <c r="X135" s="9">
        <v>839</v>
      </c>
      <c r="Y135" s="15">
        <v>4.5307853335818903E-2</v>
      </c>
      <c r="Z135" s="9">
        <v>839</v>
      </c>
      <c r="AA135" s="15">
        <v>0.55266263519686198</v>
      </c>
      <c r="AB135" s="9">
        <v>839</v>
      </c>
      <c r="AC135" s="15">
        <v>0.113006734940557</v>
      </c>
      <c r="AD135" s="9">
        <v>839</v>
      </c>
      <c r="AE135" s="15">
        <v>0.42624001663413302</v>
      </c>
      <c r="AF135" s="9">
        <v>1673</v>
      </c>
      <c r="AG135" s="15">
        <v>7.3095202578707004E-3</v>
      </c>
      <c r="AH135" s="9">
        <v>864</v>
      </c>
      <c r="AI135" s="15">
        <v>5.5979266991200899E-2</v>
      </c>
      <c r="AJ135" s="9">
        <v>864</v>
      </c>
      <c r="AK135" s="15">
        <v>0.115034949696299</v>
      </c>
      <c r="AL135" s="9">
        <v>864</v>
      </c>
      <c r="AM135" s="15">
        <v>0.14797961151341901</v>
      </c>
      <c r="AN135" s="9">
        <v>864</v>
      </c>
      <c r="AO135" s="15">
        <v>0.52268210049016495</v>
      </c>
      <c r="AP135" s="9">
        <v>864</v>
      </c>
      <c r="AQ135" s="15">
        <v>0.151014551051044</v>
      </c>
      <c r="AR135" s="12">
        <v>864</v>
      </c>
    </row>
    <row r="136" spans="1:44" x14ac:dyDescent="0.25">
      <c r="C136" s="16"/>
      <c r="E136" s="16"/>
      <c r="G136" s="16"/>
      <c r="I136" s="16"/>
      <c r="K136" s="16"/>
      <c r="M136" s="16"/>
      <c r="O136" s="16"/>
      <c r="Q136" s="16"/>
      <c r="S136" s="16"/>
      <c r="U136" s="16"/>
      <c r="W136" s="16"/>
      <c r="Y136" s="16"/>
      <c r="AA136" s="16"/>
      <c r="AC136" s="16"/>
      <c r="AE136" s="16"/>
      <c r="AG136" s="16"/>
      <c r="AI136" s="16"/>
      <c r="AK136" s="16"/>
      <c r="AM136" s="16"/>
      <c r="AO136" s="16"/>
      <c r="AQ136" s="16"/>
    </row>
    <row r="137" spans="1:44" x14ac:dyDescent="0.25">
      <c r="A137" s="19" t="s">
        <v>130</v>
      </c>
      <c r="B137" s="19"/>
      <c r="C137" s="20"/>
      <c r="D137" s="19"/>
      <c r="E137" s="20"/>
      <c r="F137" s="19"/>
      <c r="G137" s="20"/>
      <c r="H137" s="19"/>
      <c r="I137" s="20"/>
      <c r="J137" s="19"/>
      <c r="K137" s="20"/>
      <c r="L137" s="19"/>
      <c r="M137" s="20"/>
      <c r="N137" s="19"/>
      <c r="O137" s="20"/>
      <c r="P137" s="19"/>
      <c r="Q137" s="20"/>
      <c r="R137" s="19"/>
      <c r="S137" s="20"/>
      <c r="T137" s="19"/>
      <c r="U137" s="20"/>
      <c r="V137" s="19"/>
      <c r="W137" s="20"/>
      <c r="X137" s="19"/>
      <c r="Y137" s="20"/>
      <c r="Z137" s="19"/>
      <c r="AA137" s="20"/>
      <c r="AB137" s="19"/>
      <c r="AC137" s="20"/>
      <c r="AD137" s="19"/>
      <c r="AE137" s="20"/>
      <c r="AF137" s="19"/>
      <c r="AG137" s="20"/>
      <c r="AH137" s="19"/>
      <c r="AI137" s="20"/>
      <c r="AJ137" s="19"/>
      <c r="AK137" s="20"/>
      <c r="AL137" s="19"/>
      <c r="AM137" s="20"/>
      <c r="AN137" s="19"/>
      <c r="AO137" s="20"/>
      <c r="AP137" s="19"/>
      <c r="AQ137" s="20"/>
      <c r="AR137" s="19"/>
    </row>
    <row r="138" spans="1:44" outlineLevel="1" x14ac:dyDescent="0.25">
      <c r="A138" s="5" t="s">
        <v>15</v>
      </c>
      <c r="B138" s="8" t="s">
        <v>101</v>
      </c>
      <c r="C138" s="14">
        <v>0.269871271158935</v>
      </c>
      <c r="D138" s="8">
        <v>2100</v>
      </c>
      <c r="E138" s="14">
        <v>0.102013615278942</v>
      </c>
      <c r="F138" s="8">
        <v>1198</v>
      </c>
      <c r="G138" s="14">
        <v>7.35382190144864E-2</v>
      </c>
      <c r="H138" s="8">
        <v>1198</v>
      </c>
      <c r="I138" s="14">
        <v>5.0330086392934202E-2</v>
      </c>
      <c r="J138" s="8">
        <v>1198</v>
      </c>
      <c r="K138" s="14">
        <v>0.161771616657364</v>
      </c>
      <c r="L138" s="8">
        <v>1198</v>
      </c>
      <c r="M138" s="14">
        <v>0.52478380960246396</v>
      </c>
      <c r="N138" s="8">
        <v>1198</v>
      </c>
      <c r="O138" s="14">
        <v>8.7562653053809003E-2</v>
      </c>
      <c r="P138" s="8">
        <v>1198</v>
      </c>
      <c r="Q138" s="14">
        <v>0.26901279996678101</v>
      </c>
      <c r="R138" s="8">
        <v>1056</v>
      </c>
      <c r="S138" s="14">
        <v>0.12339939564957</v>
      </c>
      <c r="T138" s="8">
        <v>586</v>
      </c>
      <c r="U138" s="14">
        <v>4.8085582736456203E-2</v>
      </c>
      <c r="V138" s="8">
        <v>586</v>
      </c>
      <c r="W138" s="14">
        <v>5.6876062959325603E-2</v>
      </c>
      <c r="X138" s="8">
        <v>586</v>
      </c>
      <c r="Y138" s="14">
        <v>0.14651056631117301</v>
      </c>
      <c r="Z138" s="8">
        <v>586</v>
      </c>
      <c r="AA138" s="14">
        <v>0.52655403836368098</v>
      </c>
      <c r="AB138" s="8">
        <v>586</v>
      </c>
      <c r="AC138" s="14">
        <v>9.8574353979794596E-2</v>
      </c>
      <c r="AD138" s="8">
        <v>586</v>
      </c>
      <c r="AE138" s="14">
        <v>0.27077103337535502</v>
      </c>
      <c r="AF138" s="8">
        <v>1043</v>
      </c>
      <c r="AG138" s="14">
        <v>8.1113656191858105E-2</v>
      </c>
      <c r="AH138" s="8">
        <v>612</v>
      </c>
      <c r="AI138" s="14">
        <v>9.84126471461758E-2</v>
      </c>
      <c r="AJ138" s="8">
        <v>612</v>
      </c>
      <c r="AK138" s="14">
        <v>4.3932814932571798E-2</v>
      </c>
      <c r="AL138" s="8">
        <v>612</v>
      </c>
      <c r="AM138" s="14">
        <v>0.176685981358285</v>
      </c>
      <c r="AN138" s="8">
        <v>612</v>
      </c>
      <c r="AO138" s="14">
        <v>0.52305379517030304</v>
      </c>
      <c r="AP138" s="8">
        <v>612</v>
      </c>
      <c r="AQ138" s="14">
        <v>7.6801105200806602E-2</v>
      </c>
      <c r="AR138" s="10">
        <v>612</v>
      </c>
    </row>
    <row r="139" spans="1:44" outlineLevel="1" x14ac:dyDescent="0.25">
      <c r="A139" s="6" t="s">
        <v>15</v>
      </c>
      <c r="B139" t="s">
        <v>131</v>
      </c>
      <c r="C139" s="16">
        <v>0.28744428393284999</v>
      </c>
      <c r="D139">
        <v>6481</v>
      </c>
      <c r="E139" s="16">
        <v>1.7165916802505701E-2</v>
      </c>
      <c r="F139">
        <v>2541</v>
      </c>
      <c r="G139" s="16">
        <v>4.7827787136739901E-2</v>
      </c>
      <c r="H139">
        <v>2541</v>
      </c>
      <c r="I139" s="16">
        <v>0.156927564876887</v>
      </c>
      <c r="J139">
        <v>2541</v>
      </c>
      <c r="K139" s="16">
        <v>0.110610508045899</v>
      </c>
      <c r="L139">
        <v>2541</v>
      </c>
      <c r="M139" s="16">
        <v>0.49498767870430399</v>
      </c>
      <c r="N139">
        <v>2541</v>
      </c>
      <c r="O139" s="16">
        <v>0.17248054443366401</v>
      </c>
      <c r="P139">
        <v>2541</v>
      </c>
      <c r="Q139" s="16">
        <v>0.28516702329580201</v>
      </c>
      <c r="R139">
        <v>3287</v>
      </c>
      <c r="S139" s="16">
        <v>1.5136165491967999E-2</v>
      </c>
      <c r="T139">
        <v>1272</v>
      </c>
      <c r="U139" s="16">
        <v>4.1461475896806599E-2</v>
      </c>
      <c r="V139">
        <v>1272</v>
      </c>
      <c r="W139" s="16">
        <v>0.19740502597955101</v>
      </c>
      <c r="X139">
        <v>1272</v>
      </c>
      <c r="Y139" s="16">
        <v>7.6976773165815804E-2</v>
      </c>
      <c r="Z139">
        <v>1272</v>
      </c>
      <c r="AA139" s="16">
        <v>0.50147795523772498</v>
      </c>
      <c r="AB139">
        <v>1272</v>
      </c>
      <c r="AC139" s="16">
        <v>0.167542604228134</v>
      </c>
      <c r="AD139">
        <v>1272</v>
      </c>
      <c r="AE139" s="16">
        <v>0.28990832571999597</v>
      </c>
      <c r="AF139">
        <v>3188</v>
      </c>
      <c r="AG139" s="16">
        <v>1.9369859998123101E-2</v>
      </c>
      <c r="AH139">
        <v>1265</v>
      </c>
      <c r="AI139" s="16">
        <v>5.47357474255903E-2</v>
      </c>
      <c r="AJ139">
        <v>1265</v>
      </c>
      <c r="AK139" s="16">
        <v>0.112957053373161</v>
      </c>
      <c r="AL139">
        <v>1265</v>
      </c>
      <c r="AM139" s="16">
        <v>0.14699399487241999</v>
      </c>
      <c r="AN139">
        <v>1265</v>
      </c>
      <c r="AO139" s="16">
        <v>0.48799883909384101</v>
      </c>
      <c r="AP139">
        <v>1265</v>
      </c>
      <c r="AQ139" s="16">
        <v>0.177944505236865</v>
      </c>
      <c r="AR139" s="11">
        <v>1265</v>
      </c>
    </row>
    <row r="140" spans="1:44" outlineLevel="1" x14ac:dyDescent="0.25">
      <c r="A140" s="7" t="s">
        <v>15</v>
      </c>
      <c r="B140" s="9" t="s">
        <v>132</v>
      </c>
      <c r="C140" s="15">
        <v>0.92100829093099001</v>
      </c>
      <c r="D140" s="9">
        <v>101</v>
      </c>
      <c r="E140" s="15"/>
      <c r="F140" s="9"/>
      <c r="G140" s="15"/>
      <c r="H140" s="9"/>
      <c r="I140" s="15">
        <v>3.7421063775614598E-2</v>
      </c>
      <c r="J140" s="9">
        <v>73</v>
      </c>
      <c r="K140" s="15">
        <v>3.48612715564254E-3</v>
      </c>
      <c r="L140" s="9">
        <v>73</v>
      </c>
      <c r="M140" s="15">
        <v>1.32025994260175E-2</v>
      </c>
      <c r="N140" s="9">
        <v>73</v>
      </c>
      <c r="O140" s="15">
        <v>0.94589020964272497</v>
      </c>
      <c r="P140" s="9">
        <v>73</v>
      </c>
      <c r="Q140" s="15">
        <v>0.88387477202531295</v>
      </c>
      <c r="R140" s="9">
        <v>42</v>
      </c>
      <c r="S140" s="15"/>
      <c r="T140" s="9"/>
      <c r="U140" s="15"/>
      <c r="V140" s="9"/>
      <c r="W140" s="15">
        <v>1.68091452181134E-2</v>
      </c>
      <c r="X140" s="9">
        <v>30</v>
      </c>
      <c r="Y140" s="15">
        <v>9.7704438955719692E-3</v>
      </c>
      <c r="Z140" s="9">
        <v>30</v>
      </c>
      <c r="AA140" s="15">
        <v>1.6310039361393899E-2</v>
      </c>
      <c r="AB140" s="9">
        <v>30</v>
      </c>
      <c r="AC140" s="15">
        <v>0.95711037152492096</v>
      </c>
      <c r="AD140" s="9">
        <v>30</v>
      </c>
      <c r="AE140" s="15">
        <v>0.94288321364503003</v>
      </c>
      <c r="AF140" s="9">
        <v>59</v>
      </c>
      <c r="AG140" s="15"/>
      <c r="AH140" s="9"/>
      <c r="AI140" s="15"/>
      <c r="AJ140" s="9"/>
      <c r="AK140" s="15">
        <v>4.8803406885912101E-2</v>
      </c>
      <c r="AL140" s="9">
        <v>43</v>
      </c>
      <c r="AM140" s="15">
        <v>1.5792788265972099E-5</v>
      </c>
      <c r="AN140" s="9">
        <v>43</v>
      </c>
      <c r="AO140" s="15">
        <v>1.14866045058734E-2</v>
      </c>
      <c r="AP140" s="9">
        <v>43</v>
      </c>
      <c r="AQ140" s="15">
        <v>0.93969419581994895</v>
      </c>
      <c r="AR140" s="12">
        <v>43</v>
      </c>
    </row>
    <row r="141" spans="1:44" x14ac:dyDescent="0.25">
      <c r="C141" s="16"/>
      <c r="E141" s="16"/>
      <c r="G141" s="16"/>
      <c r="I141" s="16"/>
      <c r="K141" s="16"/>
      <c r="M141" s="16"/>
      <c r="O141" s="16"/>
      <c r="Q141" s="16"/>
      <c r="S141" s="16"/>
      <c r="U141" s="16"/>
      <c r="W141" s="16"/>
      <c r="Y141" s="16"/>
      <c r="AA141" s="16"/>
      <c r="AC141" s="16"/>
      <c r="AE141" s="16"/>
      <c r="AG141" s="16"/>
      <c r="AI141" s="16"/>
      <c r="AK141" s="16"/>
      <c r="AM141" s="16"/>
      <c r="AO141" s="16"/>
      <c r="AQ141" s="16"/>
    </row>
    <row r="142" spans="1:44" x14ac:dyDescent="0.25">
      <c r="A142" s="19" t="s">
        <v>133</v>
      </c>
      <c r="B142" s="19"/>
      <c r="C142" s="20"/>
      <c r="D142" s="19"/>
      <c r="E142" s="20"/>
      <c r="F142" s="19"/>
      <c r="G142" s="20"/>
      <c r="H142" s="19"/>
      <c r="I142" s="20"/>
      <c r="J142" s="19"/>
      <c r="K142" s="20"/>
      <c r="L142" s="19"/>
      <c r="M142" s="20"/>
      <c r="N142" s="19"/>
      <c r="O142" s="20"/>
      <c r="P142" s="19"/>
      <c r="Q142" s="20"/>
      <c r="R142" s="19"/>
      <c r="S142" s="20"/>
      <c r="T142" s="19"/>
      <c r="U142" s="20"/>
      <c r="V142" s="19"/>
      <c r="W142" s="20"/>
      <c r="X142" s="19"/>
      <c r="Y142" s="20"/>
      <c r="Z142" s="19"/>
      <c r="AA142" s="20"/>
      <c r="AB142" s="19"/>
      <c r="AC142" s="20"/>
      <c r="AD142" s="19"/>
      <c r="AE142" s="20"/>
      <c r="AF142" s="19"/>
      <c r="AG142" s="20"/>
      <c r="AH142" s="19"/>
      <c r="AI142" s="20"/>
      <c r="AJ142" s="19"/>
      <c r="AK142" s="20"/>
      <c r="AL142" s="19"/>
      <c r="AM142" s="20"/>
      <c r="AN142" s="19"/>
      <c r="AO142" s="20"/>
      <c r="AP142" s="19"/>
      <c r="AQ142" s="20"/>
      <c r="AR142" s="19"/>
    </row>
    <row r="143" spans="1:44" outlineLevel="1" x14ac:dyDescent="0.25">
      <c r="A143" s="5" t="s">
        <v>15</v>
      </c>
      <c r="B143" s="8" t="s">
        <v>101</v>
      </c>
      <c r="C143" s="14">
        <v>0.269871271158935</v>
      </c>
      <c r="D143" s="8">
        <v>2100</v>
      </c>
      <c r="E143" s="14">
        <v>0.102013615278942</v>
      </c>
      <c r="F143" s="8">
        <v>1198</v>
      </c>
      <c r="G143" s="14">
        <v>7.35382190144864E-2</v>
      </c>
      <c r="H143" s="8">
        <v>1198</v>
      </c>
      <c r="I143" s="14">
        <v>5.0330086392934202E-2</v>
      </c>
      <c r="J143" s="8">
        <v>1198</v>
      </c>
      <c r="K143" s="14">
        <v>0.161771616657364</v>
      </c>
      <c r="L143" s="8">
        <v>1198</v>
      </c>
      <c r="M143" s="14">
        <v>0.52478380960246396</v>
      </c>
      <c r="N143" s="8">
        <v>1198</v>
      </c>
      <c r="O143" s="14">
        <v>8.7562653053809003E-2</v>
      </c>
      <c r="P143" s="8">
        <v>1198</v>
      </c>
      <c r="Q143" s="14">
        <v>0.26901279996678101</v>
      </c>
      <c r="R143" s="8">
        <v>1056</v>
      </c>
      <c r="S143" s="14">
        <v>0.12339939564957</v>
      </c>
      <c r="T143" s="8">
        <v>586</v>
      </c>
      <c r="U143" s="14">
        <v>4.8085582736456203E-2</v>
      </c>
      <c r="V143" s="8">
        <v>586</v>
      </c>
      <c r="W143" s="14">
        <v>5.6876062959325603E-2</v>
      </c>
      <c r="X143" s="8">
        <v>586</v>
      </c>
      <c r="Y143" s="14">
        <v>0.14651056631117301</v>
      </c>
      <c r="Z143" s="8">
        <v>586</v>
      </c>
      <c r="AA143" s="14">
        <v>0.52655403836368098</v>
      </c>
      <c r="AB143" s="8">
        <v>586</v>
      </c>
      <c r="AC143" s="14">
        <v>9.8574353979794596E-2</v>
      </c>
      <c r="AD143" s="8">
        <v>586</v>
      </c>
      <c r="AE143" s="14">
        <v>0.27077103337535502</v>
      </c>
      <c r="AF143" s="8">
        <v>1043</v>
      </c>
      <c r="AG143" s="14">
        <v>8.1113656191858105E-2</v>
      </c>
      <c r="AH143" s="8">
        <v>612</v>
      </c>
      <c r="AI143" s="14">
        <v>9.84126471461758E-2</v>
      </c>
      <c r="AJ143" s="8">
        <v>612</v>
      </c>
      <c r="AK143" s="14">
        <v>4.3932814932571798E-2</v>
      </c>
      <c r="AL143" s="8">
        <v>612</v>
      </c>
      <c r="AM143" s="14">
        <v>0.176685981358285</v>
      </c>
      <c r="AN143" s="8">
        <v>612</v>
      </c>
      <c r="AO143" s="14">
        <v>0.52305379517030304</v>
      </c>
      <c r="AP143" s="8">
        <v>612</v>
      </c>
      <c r="AQ143" s="14">
        <v>7.6801105200806602E-2</v>
      </c>
      <c r="AR143" s="10">
        <v>612</v>
      </c>
    </row>
    <row r="144" spans="1:44" outlineLevel="1" x14ac:dyDescent="0.25">
      <c r="A144" s="6" t="s">
        <v>15</v>
      </c>
      <c r="B144" t="s">
        <v>131</v>
      </c>
      <c r="C144" s="16">
        <v>0.28783405089530101</v>
      </c>
      <c r="D144">
        <v>6379</v>
      </c>
      <c r="E144" s="16">
        <v>1.7264905352586901E-2</v>
      </c>
      <c r="F144">
        <v>2525</v>
      </c>
      <c r="G144" s="16">
        <v>4.80000353789218E-2</v>
      </c>
      <c r="H144">
        <v>2525</v>
      </c>
      <c r="I144" s="16">
        <v>0.157501361393379</v>
      </c>
      <c r="J144">
        <v>2525</v>
      </c>
      <c r="K144" s="16">
        <v>0.11124835185821499</v>
      </c>
      <c r="L144">
        <v>2525</v>
      </c>
      <c r="M144" s="16">
        <v>0.49618539398136802</v>
      </c>
      <c r="N144">
        <v>2525</v>
      </c>
      <c r="O144" s="16">
        <v>0.16979995203553</v>
      </c>
      <c r="P144">
        <v>2525</v>
      </c>
      <c r="Q144" s="16">
        <v>0.28640423801590198</v>
      </c>
      <c r="R144">
        <v>3234</v>
      </c>
      <c r="S144" s="16">
        <v>1.51853688006367E-2</v>
      </c>
      <c r="T144">
        <v>1266</v>
      </c>
      <c r="U144" s="16">
        <v>4.1596255197250402E-2</v>
      </c>
      <c r="V144">
        <v>1266</v>
      </c>
      <c r="W144" s="16">
        <v>0.19804673278641499</v>
      </c>
      <c r="X144">
        <v>1266</v>
      </c>
      <c r="Y144" s="16">
        <v>7.7227002454892099E-2</v>
      </c>
      <c r="Z144">
        <v>1266</v>
      </c>
      <c r="AA144" s="16">
        <v>0.50031519000809899</v>
      </c>
      <c r="AB144">
        <v>1266</v>
      </c>
      <c r="AC144" s="16">
        <v>0.16762945075270699</v>
      </c>
      <c r="AD144">
        <v>1266</v>
      </c>
      <c r="AE144" s="16">
        <v>0.28937146684447301</v>
      </c>
      <c r="AF144">
        <v>3139</v>
      </c>
      <c r="AG144" s="16">
        <v>1.9534512757373799E-2</v>
      </c>
      <c r="AH144">
        <v>1255</v>
      </c>
      <c r="AI144" s="16">
        <v>5.4985049587711901E-2</v>
      </c>
      <c r="AJ144">
        <v>1255</v>
      </c>
      <c r="AK144" s="16">
        <v>0.113226605634157</v>
      </c>
      <c r="AL144">
        <v>1255</v>
      </c>
      <c r="AM144" s="16">
        <v>0.14824351174302999</v>
      </c>
      <c r="AN144">
        <v>1255</v>
      </c>
      <c r="AO144" s="16">
        <v>0.49172174931285001</v>
      </c>
      <c r="AP144">
        <v>1255</v>
      </c>
      <c r="AQ144" s="16">
        <v>0.17228857096487599</v>
      </c>
      <c r="AR144" s="11">
        <v>1255</v>
      </c>
    </row>
    <row r="145" spans="1:44" outlineLevel="1" x14ac:dyDescent="0.25">
      <c r="A145" s="7" t="s">
        <v>15</v>
      </c>
      <c r="B145" s="9" t="s">
        <v>132</v>
      </c>
      <c r="C145" s="15">
        <v>0.63961900556777995</v>
      </c>
      <c r="D145" s="9">
        <v>203</v>
      </c>
      <c r="E145" s="15"/>
      <c r="F145" s="9"/>
      <c r="G145" s="15">
        <v>2.6617563323407798E-3</v>
      </c>
      <c r="H145" s="9">
        <v>89</v>
      </c>
      <c r="I145" s="15">
        <v>4.0385932113701797E-2</v>
      </c>
      <c r="J145" s="9">
        <v>89</v>
      </c>
      <c r="K145" s="15">
        <v>2.9693998773004798E-3</v>
      </c>
      <c r="L145" s="9">
        <v>89</v>
      </c>
      <c r="M145" s="15">
        <v>5.3828613631616201E-2</v>
      </c>
      <c r="N145" s="9">
        <v>89</v>
      </c>
      <c r="O145" s="15">
        <v>0.90015429804504099</v>
      </c>
      <c r="P145" s="9">
        <v>89</v>
      </c>
      <c r="Q145" s="15">
        <v>0.49472684522398103</v>
      </c>
      <c r="R145" s="9">
        <v>95</v>
      </c>
      <c r="S145" s="15"/>
      <c r="T145" s="9"/>
      <c r="U145" s="15"/>
      <c r="V145" s="9"/>
      <c r="W145" s="15">
        <v>1.47006994755077E-2</v>
      </c>
      <c r="X145" s="9">
        <v>36</v>
      </c>
      <c r="Y145" s="15">
        <v>8.5448937222777806E-3</v>
      </c>
      <c r="Z145" s="9">
        <v>36</v>
      </c>
      <c r="AA145" s="15">
        <v>0.12203415355571</v>
      </c>
      <c r="AB145" s="9">
        <v>36</v>
      </c>
      <c r="AC145" s="15">
        <v>0.85472025324650502</v>
      </c>
      <c r="AD145" s="9">
        <v>36</v>
      </c>
      <c r="AE145" s="15">
        <v>0.75719819410053002</v>
      </c>
      <c r="AF145" s="9">
        <v>108</v>
      </c>
      <c r="AG145" s="15"/>
      <c r="AH145" s="9"/>
      <c r="AI145" s="15">
        <v>4.0730252423633899E-3</v>
      </c>
      <c r="AJ145" s="9">
        <v>53</v>
      </c>
      <c r="AK145" s="15">
        <v>5.4004297487178103E-2</v>
      </c>
      <c r="AL145" s="9">
        <v>53</v>
      </c>
      <c r="AM145" s="15">
        <v>1.32610956114808E-5</v>
      </c>
      <c r="AN145" s="9">
        <v>53</v>
      </c>
      <c r="AO145" s="15">
        <v>1.7665890238551099E-2</v>
      </c>
      <c r="AP145" s="9">
        <v>53</v>
      </c>
      <c r="AQ145" s="15">
        <v>0.924243525936296</v>
      </c>
      <c r="AR145" s="12">
        <v>53</v>
      </c>
    </row>
    <row r="146" spans="1:44" x14ac:dyDescent="0.25">
      <c r="C146" s="16"/>
      <c r="E146" s="16"/>
      <c r="G146" s="16"/>
      <c r="I146" s="16"/>
      <c r="K146" s="16"/>
      <c r="M146" s="16"/>
      <c r="O146" s="16"/>
      <c r="Q146" s="16"/>
      <c r="S146" s="16"/>
      <c r="U146" s="16"/>
      <c r="W146" s="16"/>
      <c r="Y146" s="16"/>
      <c r="AA146" s="16"/>
      <c r="AC146" s="16"/>
      <c r="AE146" s="16"/>
      <c r="AG146" s="16"/>
      <c r="AI146" s="16"/>
      <c r="AK146" s="16"/>
      <c r="AM146" s="16"/>
      <c r="AO146" s="16"/>
      <c r="AQ146" s="16"/>
    </row>
    <row r="147" spans="1:44" x14ac:dyDescent="0.25">
      <c r="A147" s="19" t="s">
        <v>134</v>
      </c>
      <c r="B147" s="19"/>
      <c r="C147" s="20"/>
      <c r="D147" s="19"/>
      <c r="E147" s="20"/>
      <c r="F147" s="19"/>
      <c r="G147" s="20"/>
      <c r="H147" s="19"/>
      <c r="I147" s="20"/>
      <c r="J147" s="19"/>
      <c r="K147" s="20"/>
      <c r="L147" s="19"/>
      <c r="M147" s="20"/>
      <c r="N147" s="19"/>
      <c r="O147" s="20"/>
      <c r="P147" s="19"/>
      <c r="Q147" s="20"/>
      <c r="R147" s="19"/>
      <c r="S147" s="20"/>
      <c r="T147" s="19"/>
      <c r="U147" s="20"/>
      <c r="V147" s="19"/>
      <c r="W147" s="20"/>
      <c r="X147" s="19"/>
      <c r="Y147" s="20"/>
      <c r="Z147" s="19"/>
      <c r="AA147" s="20"/>
      <c r="AB147" s="19"/>
      <c r="AC147" s="20"/>
      <c r="AD147" s="19"/>
      <c r="AE147" s="20"/>
      <c r="AF147" s="19"/>
      <c r="AG147" s="20"/>
      <c r="AH147" s="19"/>
      <c r="AI147" s="20"/>
      <c r="AJ147" s="19"/>
      <c r="AK147" s="20"/>
      <c r="AL147" s="19"/>
      <c r="AM147" s="20"/>
      <c r="AN147" s="19"/>
      <c r="AO147" s="20"/>
      <c r="AP147" s="19"/>
      <c r="AQ147" s="20"/>
      <c r="AR147" s="19"/>
    </row>
    <row r="148" spans="1:44" outlineLevel="1" x14ac:dyDescent="0.25">
      <c r="A148" s="5" t="s">
        <v>15</v>
      </c>
      <c r="B148" s="8" t="s">
        <v>135</v>
      </c>
      <c r="C148" s="14">
        <v>0.61388620432455099</v>
      </c>
      <c r="D148" s="8">
        <v>2283</v>
      </c>
      <c r="E148" s="14">
        <v>4.4163289459126197E-3</v>
      </c>
      <c r="F148" s="8">
        <v>1166</v>
      </c>
      <c r="G148" s="14">
        <v>8.2084223866195401E-3</v>
      </c>
      <c r="H148" s="8">
        <v>1166</v>
      </c>
      <c r="I148" s="14">
        <v>5.9507318327046303E-2</v>
      </c>
      <c r="J148" s="8">
        <v>1166</v>
      </c>
      <c r="K148" s="14">
        <v>5.02844321611116E-2</v>
      </c>
      <c r="L148" s="8">
        <v>1166</v>
      </c>
      <c r="M148" s="14">
        <v>0.77707047521204897</v>
      </c>
      <c r="N148" s="8">
        <v>1166</v>
      </c>
      <c r="O148" s="14">
        <v>0.100513022967261</v>
      </c>
      <c r="P148" s="8">
        <v>1166</v>
      </c>
      <c r="Q148" s="14">
        <v>0.61966438862225703</v>
      </c>
      <c r="R148" s="8">
        <v>1102</v>
      </c>
      <c r="S148" s="14">
        <v>6.0191327525825396E-3</v>
      </c>
      <c r="T148" s="8">
        <v>571</v>
      </c>
      <c r="U148" s="14">
        <v>9.74010364646072E-3</v>
      </c>
      <c r="V148" s="8">
        <v>571</v>
      </c>
      <c r="W148" s="14">
        <v>5.7068107456337801E-2</v>
      </c>
      <c r="X148" s="8">
        <v>571</v>
      </c>
      <c r="Y148" s="14">
        <v>5.4535532017572802E-2</v>
      </c>
      <c r="Z148" s="8">
        <v>571</v>
      </c>
      <c r="AA148" s="14">
        <v>0.77891264642167402</v>
      </c>
      <c r="AB148" s="8">
        <v>571</v>
      </c>
      <c r="AC148" s="14">
        <v>9.3724477705371997E-2</v>
      </c>
      <c r="AD148" s="8">
        <v>571</v>
      </c>
      <c r="AE148" s="14">
        <v>0.60873672308247995</v>
      </c>
      <c r="AF148" s="8">
        <v>1178</v>
      </c>
      <c r="AG148" s="14">
        <v>2.9594376137396499E-3</v>
      </c>
      <c r="AH148" s="8">
        <v>593</v>
      </c>
      <c r="AI148" s="14">
        <v>6.82620645883277E-3</v>
      </c>
      <c r="AJ148" s="8">
        <v>593</v>
      </c>
      <c r="AK148" s="14">
        <v>6.1890997578388098E-2</v>
      </c>
      <c r="AL148" s="8">
        <v>593</v>
      </c>
      <c r="AM148" s="14">
        <v>4.6517317176899102E-2</v>
      </c>
      <c r="AN148" s="8">
        <v>593</v>
      </c>
      <c r="AO148" s="14">
        <v>0.77482271252760204</v>
      </c>
      <c r="AP148" s="8">
        <v>593</v>
      </c>
      <c r="AQ148" s="14">
        <v>0.10698332864453799</v>
      </c>
      <c r="AR148" s="10">
        <v>593</v>
      </c>
    </row>
    <row r="149" spans="1:44" outlineLevel="1" x14ac:dyDescent="0.25">
      <c r="A149" s="6" t="s">
        <v>15</v>
      </c>
      <c r="B149" t="s">
        <v>136</v>
      </c>
      <c r="C149" s="16">
        <v>0.28314321746215998</v>
      </c>
      <c r="D149">
        <v>196</v>
      </c>
      <c r="E149" s="16">
        <v>8.53223335356393E-3</v>
      </c>
      <c r="F149">
        <v>50</v>
      </c>
      <c r="G149" s="16"/>
      <c r="I149" s="16">
        <v>0.111177505872522</v>
      </c>
      <c r="J149">
        <v>50</v>
      </c>
      <c r="K149" s="16">
        <v>9.3973338790119307E-2</v>
      </c>
      <c r="L149">
        <v>50</v>
      </c>
      <c r="M149" s="16">
        <v>0.129428904555628</v>
      </c>
      <c r="N149">
        <v>50</v>
      </c>
      <c r="O149" s="16">
        <v>0.65688801742816605</v>
      </c>
      <c r="P149">
        <v>50</v>
      </c>
      <c r="Q149" s="16">
        <v>0.29144155882907002</v>
      </c>
      <c r="R149">
        <v>100</v>
      </c>
      <c r="S149" s="16">
        <v>1.6997495856884901E-2</v>
      </c>
      <c r="T149">
        <v>24</v>
      </c>
      <c r="U149" s="16"/>
      <c r="W149" s="16">
        <v>9.7944821949406194E-2</v>
      </c>
      <c r="X149">
        <v>24</v>
      </c>
      <c r="Y149" s="16">
        <v>1.6997495856884901E-2</v>
      </c>
      <c r="Z149">
        <v>24</v>
      </c>
      <c r="AA149" s="16">
        <v>0.19446965940564201</v>
      </c>
      <c r="AB149">
        <v>24</v>
      </c>
      <c r="AC149" s="16">
        <v>0.67359052693118204</v>
      </c>
      <c r="AD149">
        <v>24</v>
      </c>
      <c r="AE149" s="16">
        <v>0.27662621700332002</v>
      </c>
      <c r="AF149">
        <v>95</v>
      </c>
      <c r="AG149" s="16"/>
      <c r="AI149" s="16"/>
      <c r="AK149" s="16">
        <v>0.12451487693239</v>
      </c>
      <c r="AL149">
        <v>26</v>
      </c>
      <c r="AM149" s="16">
        <v>0.17155815724506801</v>
      </c>
      <c r="AN149">
        <v>26</v>
      </c>
      <c r="AO149" s="16">
        <v>6.3873595709086503E-2</v>
      </c>
      <c r="AP149">
        <v>26</v>
      </c>
      <c r="AQ149" s="16">
        <v>0.64005337011345598</v>
      </c>
      <c r="AR149" s="11">
        <v>26</v>
      </c>
    </row>
    <row r="150" spans="1:44" outlineLevel="1" x14ac:dyDescent="0.25">
      <c r="A150" s="6" t="s">
        <v>15</v>
      </c>
      <c r="B150" t="s">
        <v>137</v>
      </c>
      <c r="C150" s="16">
        <v>0.67567567567567599</v>
      </c>
      <c r="D150">
        <v>259</v>
      </c>
      <c r="E150" s="16">
        <v>5.7142857142857099E-3</v>
      </c>
      <c r="F150">
        <v>175</v>
      </c>
      <c r="G150" s="16">
        <v>1.7142857142857099E-2</v>
      </c>
      <c r="H150">
        <v>175</v>
      </c>
      <c r="I150" s="16">
        <v>0.20571428571428599</v>
      </c>
      <c r="J150">
        <v>175</v>
      </c>
      <c r="K150" s="16">
        <v>3.4285714285714301E-2</v>
      </c>
      <c r="L150">
        <v>175</v>
      </c>
      <c r="M150" s="16">
        <v>0.64571428571428602</v>
      </c>
      <c r="N150">
        <v>175</v>
      </c>
      <c r="O150" s="16">
        <v>9.1428571428571401E-2</v>
      </c>
      <c r="P150">
        <v>175</v>
      </c>
      <c r="Q150" s="16">
        <v>0.61290322580645196</v>
      </c>
      <c r="R150">
        <v>124</v>
      </c>
      <c r="S150" s="16"/>
      <c r="U150" s="16"/>
      <c r="W150" s="16">
        <v>0.25</v>
      </c>
      <c r="X150">
        <v>76</v>
      </c>
      <c r="Y150" s="16">
        <v>3.94736842105263E-2</v>
      </c>
      <c r="Z150">
        <v>76</v>
      </c>
      <c r="AA150" s="16">
        <v>0.57894736842105299</v>
      </c>
      <c r="AB150">
        <v>76</v>
      </c>
      <c r="AC150" s="16">
        <v>0.13157894736842099</v>
      </c>
      <c r="AD150">
        <v>76</v>
      </c>
      <c r="AE150" s="16">
        <v>0.73134328358209</v>
      </c>
      <c r="AF150">
        <v>134</v>
      </c>
      <c r="AG150" s="16">
        <v>1.02040816326531E-2</v>
      </c>
      <c r="AH150">
        <v>98</v>
      </c>
      <c r="AI150" s="16">
        <v>3.06122448979592E-2</v>
      </c>
      <c r="AJ150">
        <v>98</v>
      </c>
      <c r="AK150" s="16">
        <v>0.16326530612244899</v>
      </c>
      <c r="AL150">
        <v>98</v>
      </c>
      <c r="AM150" s="16">
        <v>3.06122448979592E-2</v>
      </c>
      <c r="AN150">
        <v>98</v>
      </c>
      <c r="AO150" s="16">
        <v>0.70408163265306101</v>
      </c>
      <c r="AP150">
        <v>98</v>
      </c>
      <c r="AQ150" s="16">
        <v>6.1224489795918401E-2</v>
      </c>
      <c r="AR150" s="11">
        <v>98</v>
      </c>
    </row>
    <row r="151" spans="1:44" outlineLevel="1" x14ac:dyDescent="0.25">
      <c r="A151" s="6" t="s">
        <v>15</v>
      </c>
      <c r="B151" t="s">
        <v>138</v>
      </c>
      <c r="C151" s="16">
        <v>0.463917525773196</v>
      </c>
      <c r="D151">
        <v>97</v>
      </c>
      <c r="E151" s="16"/>
      <c r="G151" s="16"/>
      <c r="I151" s="16">
        <v>0.71111111111111103</v>
      </c>
      <c r="J151">
        <v>45</v>
      </c>
      <c r="K151" s="16">
        <v>6.6666666666666693E-2</v>
      </c>
      <c r="L151">
        <v>45</v>
      </c>
      <c r="M151" s="16"/>
      <c r="O151" s="16">
        <v>0.22222222222222199</v>
      </c>
      <c r="P151">
        <v>45</v>
      </c>
      <c r="Q151" s="16">
        <v>0.5</v>
      </c>
      <c r="R151">
        <v>54</v>
      </c>
      <c r="S151" s="16"/>
      <c r="U151" s="16"/>
      <c r="W151" s="16">
        <v>0.70370370370370405</v>
      </c>
      <c r="X151">
        <v>27</v>
      </c>
      <c r="Y151" s="16">
        <v>7.4074074074074098E-2</v>
      </c>
      <c r="Z151">
        <v>27</v>
      </c>
      <c r="AA151" s="16"/>
      <c r="AC151" s="16">
        <v>0.22222222222222199</v>
      </c>
      <c r="AD151">
        <v>27</v>
      </c>
      <c r="AE151" s="16">
        <v>0.418604651162791</v>
      </c>
      <c r="AF151">
        <v>43</v>
      </c>
      <c r="AG151" s="16"/>
      <c r="AI151" s="16"/>
      <c r="AK151" s="16">
        <v>0.72222222222222199</v>
      </c>
      <c r="AL151">
        <v>18</v>
      </c>
      <c r="AM151" s="16">
        <v>5.5555555555555601E-2</v>
      </c>
      <c r="AN151">
        <v>18</v>
      </c>
      <c r="AO151" s="16"/>
      <c r="AQ151" s="16">
        <v>0.22222222222222199</v>
      </c>
      <c r="AR151" s="11">
        <v>18</v>
      </c>
    </row>
    <row r="152" spans="1:44" outlineLevel="1" x14ac:dyDescent="0.25">
      <c r="A152" s="6" t="s">
        <v>15</v>
      </c>
      <c r="B152" t="s">
        <v>139</v>
      </c>
      <c r="C152" s="16">
        <v>0.60092198056995805</v>
      </c>
      <c r="D152">
        <v>1149</v>
      </c>
      <c r="E152" s="16">
        <v>1.1165452525075999E-2</v>
      </c>
      <c r="F152">
        <v>759</v>
      </c>
      <c r="G152" s="16">
        <v>2.81859804066972E-2</v>
      </c>
      <c r="H152">
        <v>759</v>
      </c>
      <c r="I152" s="16">
        <v>5.5533333375878798E-2</v>
      </c>
      <c r="J152">
        <v>759</v>
      </c>
      <c r="K152" s="16">
        <v>3.6651808531324701E-2</v>
      </c>
      <c r="L152">
        <v>759</v>
      </c>
      <c r="M152" s="16">
        <v>0.767199922290414</v>
      </c>
      <c r="N152">
        <v>759</v>
      </c>
      <c r="O152" s="16">
        <v>0.10126350287061001</v>
      </c>
      <c r="P152">
        <v>759</v>
      </c>
      <c r="Q152" s="16">
        <v>0.56096884813650905</v>
      </c>
      <c r="R152">
        <v>607</v>
      </c>
      <c r="S152" s="16">
        <v>1.0532662777835201E-2</v>
      </c>
      <c r="T152">
        <v>385</v>
      </c>
      <c r="U152" s="16">
        <v>2.8217808919192601E-2</v>
      </c>
      <c r="V152">
        <v>385</v>
      </c>
      <c r="W152" s="16">
        <v>5.81224250137218E-2</v>
      </c>
      <c r="X152">
        <v>385</v>
      </c>
      <c r="Y152" s="16">
        <v>2.6132763854521599E-2</v>
      </c>
      <c r="Z152">
        <v>385</v>
      </c>
      <c r="AA152" s="16">
        <v>0.77515584367818602</v>
      </c>
      <c r="AB152">
        <v>385</v>
      </c>
      <c r="AC152" s="16">
        <v>0.101838495756543</v>
      </c>
      <c r="AD152">
        <v>385</v>
      </c>
      <c r="AE152" s="16">
        <v>0.64616732110118003</v>
      </c>
      <c r="AF152">
        <v>542</v>
      </c>
      <c r="AG152" s="16">
        <v>1.17846977470672E-2</v>
      </c>
      <c r="AH152">
        <v>374</v>
      </c>
      <c r="AI152" s="16">
        <v>2.8154833166445899E-2</v>
      </c>
      <c r="AJ152">
        <v>374</v>
      </c>
      <c r="AK152" s="16">
        <v>5.2999659856321303E-2</v>
      </c>
      <c r="AL152">
        <v>374</v>
      </c>
      <c r="AM152" s="16">
        <v>4.6945698696936003E-2</v>
      </c>
      <c r="AN152">
        <v>374</v>
      </c>
      <c r="AO152" s="16">
        <v>0.75941429313413</v>
      </c>
      <c r="AP152">
        <v>374</v>
      </c>
      <c r="AQ152" s="16">
        <v>0.100700817399099</v>
      </c>
      <c r="AR152" s="11">
        <v>374</v>
      </c>
    </row>
    <row r="153" spans="1:44" outlineLevel="1" x14ac:dyDescent="0.25">
      <c r="A153" s="6" t="s">
        <v>15</v>
      </c>
      <c r="B153" t="s">
        <v>140</v>
      </c>
      <c r="C153" s="16">
        <v>0.165554631081028</v>
      </c>
      <c r="D153">
        <v>2626</v>
      </c>
      <c r="E153" s="16">
        <v>7.3777098083200501E-2</v>
      </c>
      <c r="F153">
        <v>535</v>
      </c>
      <c r="G153" s="16">
        <v>9.4212116437404597E-2</v>
      </c>
      <c r="H153">
        <v>535</v>
      </c>
      <c r="I153" s="16">
        <v>0.21657212874495399</v>
      </c>
      <c r="J153">
        <v>535</v>
      </c>
      <c r="K153" s="16">
        <v>0.235229650847329</v>
      </c>
      <c r="L153">
        <v>535</v>
      </c>
      <c r="M153" s="16">
        <v>0.10985877223307899</v>
      </c>
      <c r="N153">
        <v>535</v>
      </c>
      <c r="O153" s="16">
        <v>0.27035023365403299</v>
      </c>
      <c r="P153">
        <v>535</v>
      </c>
      <c r="Q153" s="16">
        <v>0.17221563828531999</v>
      </c>
      <c r="R153">
        <v>1337</v>
      </c>
      <c r="S153" s="16">
        <v>7.7177901360827E-2</v>
      </c>
      <c r="T153">
        <v>274</v>
      </c>
      <c r="U153" s="16">
        <v>6.7196455987814194E-2</v>
      </c>
      <c r="V153">
        <v>274</v>
      </c>
      <c r="W153" s="16">
        <v>0.281749607042592</v>
      </c>
      <c r="X153">
        <v>274</v>
      </c>
      <c r="Y153" s="16">
        <v>0.168744485641351</v>
      </c>
      <c r="Z153">
        <v>274</v>
      </c>
      <c r="AA153" s="16">
        <v>0.16013831247855501</v>
      </c>
      <c r="AB153">
        <v>274</v>
      </c>
      <c r="AC153" s="16">
        <v>0.24499323748886101</v>
      </c>
      <c r="AD153">
        <v>274</v>
      </c>
      <c r="AE153" s="16">
        <v>0.15861878747201399</v>
      </c>
      <c r="AF153">
        <v>1288</v>
      </c>
      <c r="AG153" s="16">
        <v>6.9833752311537906E-2</v>
      </c>
      <c r="AH153">
        <v>261</v>
      </c>
      <c r="AI153" s="16">
        <v>0.125537683283164</v>
      </c>
      <c r="AJ153">
        <v>261</v>
      </c>
      <c r="AK153" s="16">
        <v>0.14099665069730799</v>
      </c>
      <c r="AL153">
        <v>261</v>
      </c>
      <c r="AM153" s="16">
        <v>0.31232143584356697</v>
      </c>
      <c r="AN153">
        <v>261</v>
      </c>
      <c r="AO153" s="16">
        <v>5.15579543843869E-2</v>
      </c>
      <c r="AP153">
        <v>261</v>
      </c>
      <c r="AQ153" s="16">
        <v>0.299752523480036</v>
      </c>
      <c r="AR153" s="11">
        <v>261</v>
      </c>
    </row>
    <row r="154" spans="1:44" outlineLevel="1" x14ac:dyDescent="0.25">
      <c r="A154" s="6" t="s">
        <v>15</v>
      </c>
      <c r="B154" t="s">
        <v>141</v>
      </c>
      <c r="C154" s="16">
        <v>0.64525586168313298</v>
      </c>
      <c r="D154">
        <v>1866</v>
      </c>
      <c r="E154" s="16">
        <v>1.1866558438863001E-2</v>
      </c>
      <c r="F154">
        <v>1027</v>
      </c>
      <c r="G154" s="16">
        <v>1.5989437206511799E-2</v>
      </c>
      <c r="H154">
        <v>1027</v>
      </c>
      <c r="I154" s="16">
        <v>3.4703633763956798E-2</v>
      </c>
      <c r="J154">
        <v>1027</v>
      </c>
      <c r="K154" s="16">
        <v>3.3131696069743498E-2</v>
      </c>
      <c r="L154">
        <v>1027</v>
      </c>
      <c r="M154" s="16">
        <v>0.79979048117594598</v>
      </c>
      <c r="N154">
        <v>1027</v>
      </c>
      <c r="O154" s="16">
        <v>0.104518193344979</v>
      </c>
      <c r="P154">
        <v>1027</v>
      </c>
      <c r="Q154" s="16">
        <v>0.62519115425144101</v>
      </c>
      <c r="R154">
        <v>955</v>
      </c>
      <c r="S154" s="16">
        <v>1.13498466541232E-2</v>
      </c>
      <c r="T154">
        <v>508</v>
      </c>
      <c r="U154" s="16">
        <v>1.6965389080498699E-2</v>
      </c>
      <c r="V154">
        <v>508</v>
      </c>
      <c r="W154" s="16">
        <v>3.4542741963926003E-2</v>
      </c>
      <c r="X154">
        <v>508</v>
      </c>
      <c r="Y154" s="16">
        <v>3.2593500142042001E-2</v>
      </c>
      <c r="Z154">
        <v>508</v>
      </c>
      <c r="AA154" s="16">
        <v>0.78595598312318704</v>
      </c>
      <c r="AB154">
        <v>508</v>
      </c>
      <c r="AC154" s="16">
        <v>0.11859253903622299</v>
      </c>
      <c r="AD154">
        <v>508</v>
      </c>
      <c r="AE154" s="16">
        <v>0.666501174463072</v>
      </c>
      <c r="AF154">
        <v>911</v>
      </c>
      <c r="AG154" s="16">
        <v>1.2372667188004199E-2</v>
      </c>
      <c r="AH154">
        <v>519</v>
      </c>
      <c r="AI154" s="16">
        <v>1.5033512072320799E-2</v>
      </c>
      <c r="AJ154">
        <v>519</v>
      </c>
      <c r="AK154" s="16">
        <v>3.4861224030069402E-2</v>
      </c>
      <c r="AL154">
        <v>519</v>
      </c>
      <c r="AM154" s="16">
        <v>3.3658848102668497E-2</v>
      </c>
      <c r="AN154">
        <v>519</v>
      </c>
      <c r="AO154" s="16">
        <v>0.81334109238951202</v>
      </c>
      <c r="AP154">
        <v>519</v>
      </c>
      <c r="AQ154" s="16">
        <v>9.0732656217425003E-2</v>
      </c>
      <c r="AR154" s="11">
        <v>519</v>
      </c>
    </row>
    <row r="155" spans="1:44" outlineLevel="1" x14ac:dyDescent="0.25">
      <c r="A155" s="7" t="s">
        <v>15</v>
      </c>
      <c r="B155" s="9" t="s">
        <v>142</v>
      </c>
      <c r="C155" s="15">
        <v>0.23706786825220399</v>
      </c>
      <c r="D155" s="9">
        <v>206</v>
      </c>
      <c r="E155" s="15">
        <v>2.76536985379096E-2</v>
      </c>
      <c r="F155" s="9">
        <v>55</v>
      </c>
      <c r="G155" s="15">
        <v>1.38268492689548E-2</v>
      </c>
      <c r="H155" s="9">
        <v>55</v>
      </c>
      <c r="I155" s="15">
        <v>0.203353984883512</v>
      </c>
      <c r="J155" s="9">
        <v>55</v>
      </c>
      <c r="K155" s="15">
        <v>0.140435669680015</v>
      </c>
      <c r="L155" s="9">
        <v>55</v>
      </c>
      <c r="M155" s="15">
        <v>0.40148778586369599</v>
      </c>
      <c r="N155" s="9">
        <v>55</v>
      </c>
      <c r="O155" s="15">
        <v>0.21324201176591201</v>
      </c>
      <c r="P155" s="9">
        <v>55</v>
      </c>
      <c r="Q155" s="15">
        <v>0.18117460554902701</v>
      </c>
      <c r="R155" s="9">
        <v>106</v>
      </c>
      <c r="S155" s="15">
        <v>6.6190491154289002E-2</v>
      </c>
      <c r="T155" s="9">
        <v>23</v>
      </c>
      <c r="U155" s="15"/>
      <c r="V155" s="9"/>
      <c r="W155" s="15">
        <v>0.27196175921636201</v>
      </c>
      <c r="X155" s="9">
        <v>23</v>
      </c>
      <c r="Y155" s="15">
        <v>5.0922806132099201E-2</v>
      </c>
      <c r="Z155" s="9">
        <v>23</v>
      </c>
      <c r="AA155" s="15">
        <v>0.51921080478846604</v>
      </c>
      <c r="AB155" s="9">
        <v>23</v>
      </c>
      <c r="AC155" s="15">
        <v>9.1714138708784199E-2</v>
      </c>
      <c r="AD155" s="9">
        <v>23</v>
      </c>
      <c r="AE155" s="15">
        <v>0.30415807693943903</v>
      </c>
      <c r="AF155" s="9">
        <v>99</v>
      </c>
      <c r="AG155" s="15"/>
      <c r="AH155" s="9"/>
      <c r="AI155" s="15">
        <v>2.3784142891348399E-2</v>
      </c>
      <c r="AJ155" s="9">
        <v>31</v>
      </c>
      <c r="AK155" s="15">
        <v>0.15435038293367501</v>
      </c>
      <c r="AL155" s="9">
        <v>31</v>
      </c>
      <c r="AM155" s="15">
        <v>0.20348871373090199</v>
      </c>
      <c r="AN155" s="9">
        <v>31</v>
      </c>
      <c r="AO155" s="15">
        <v>0.317481283114391</v>
      </c>
      <c r="AP155" s="9">
        <v>31</v>
      </c>
      <c r="AQ155" s="15">
        <v>0.30089547732968502</v>
      </c>
      <c r="AR155" s="12">
        <v>31</v>
      </c>
    </row>
    <row r="156" spans="1:44" x14ac:dyDescent="0.25">
      <c r="C156" s="16"/>
      <c r="E156" s="16"/>
      <c r="G156" s="16"/>
      <c r="I156" s="16"/>
      <c r="K156" s="16"/>
      <c r="M156" s="16"/>
      <c r="O156" s="16"/>
      <c r="Q156" s="16"/>
      <c r="S156" s="16"/>
      <c r="U156" s="16"/>
      <c r="W156" s="16"/>
      <c r="Y156" s="16"/>
      <c r="AA156" s="16"/>
      <c r="AC156" s="16"/>
      <c r="AE156" s="16"/>
      <c r="AG156" s="16"/>
      <c r="AI156" s="16"/>
      <c r="AK156" s="16"/>
      <c r="AM156" s="16"/>
      <c r="AO156" s="16"/>
      <c r="AQ156" s="16"/>
    </row>
    <row r="157" spans="1:44" x14ac:dyDescent="0.25">
      <c r="A157" s="19" t="s">
        <v>143</v>
      </c>
      <c r="B157" s="19"/>
      <c r="C157" s="20"/>
      <c r="D157" s="19"/>
      <c r="E157" s="20"/>
      <c r="F157" s="19"/>
      <c r="G157" s="20"/>
      <c r="H157" s="19"/>
      <c r="I157" s="20"/>
      <c r="J157" s="19"/>
      <c r="K157" s="20"/>
      <c r="L157" s="19"/>
      <c r="M157" s="20"/>
      <c r="N157" s="19"/>
      <c r="O157" s="20"/>
      <c r="P157" s="19"/>
      <c r="Q157" s="20"/>
      <c r="R157" s="19"/>
      <c r="S157" s="20"/>
      <c r="T157" s="19"/>
      <c r="U157" s="20"/>
      <c r="V157" s="19"/>
      <c r="W157" s="20"/>
      <c r="X157" s="19"/>
      <c r="Y157" s="20"/>
      <c r="Z157" s="19"/>
      <c r="AA157" s="20"/>
      <c r="AB157" s="19"/>
      <c r="AC157" s="20"/>
      <c r="AD157" s="19"/>
      <c r="AE157" s="20"/>
      <c r="AF157" s="19"/>
      <c r="AG157" s="20"/>
      <c r="AH157" s="19"/>
      <c r="AI157" s="20"/>
      <c r="AJ157" s="19"/>
      <c r="AK157" s="20"/>
      <c r="AL157" s="19"/>
      <c r="AM157" s="20"/>
      <c r="AN157" s="19"/>
      <c r="AO157" s="20"/>
      <c r="AP157" s="19"/>
      <c r="AQ157" s="20"/>
      <c r="AR157" s="19"/>
    </row>
    <row r="158" spans="1:44" outlineLevel="1" x14ac:dyDescent="0.25">
      <c r="A158" s="5" t="s">
        <v>15</v>
      </c>
      <c r="B158" s="8" t="s">
        <v>144</v>
      </c>
      <c r="C158" s="14">
        <v>0.69245028658097396</v>
      </c>
      <c r="D158" s="8">
        <v>538</v>
      </c>
      <c r="E158" s="14">
        <v>2.9613455087040999E-3</v>
      </c>
      <c r="F158" s="8">
        <v>334</v>
      </c>
      <c r="G158" s="14">
        <v>7.6738671623467298E-3</v>
      </c>
      <c r="H158" s="8">
        <v>334</v>
      </c>
      <c r="I158" s="14">
        <v>7.4961668646760293E-2</v>
      </c>
      <c r="J158" s="8">
        <v>334</v>
      </c>
      <c r="K158" s="14">
        <v>5.80243428150738E-2</v>
      </c>
      <c r="L158" s="8">
        <v>334</v>
      </c>
      <c r="M158" s="14">
        <v>0.73822405067256402</v>
      </c>
      <c r="N158" s="8">
        <v>334</v>
      </c>
      <c r="O158" s="14">
        <v>0.118154725194551</v>
      </c>
      <c r="P158" s="8">
        <v>334</v>
      </c>
      <c r="Q158" s="14">
        <v>0.70685135006132904</v>
      </c>
      <c r="R158" s="8">
        <v>254</v>
      </c>
      <c r="S158" s="14">
        <v>6.0572496130022599E-3</v>
      </c>
      <c r="T158" s="8">
        <v>162</v>
      </c>
      <c r="U158" s="14">
        <v>7.6573944812404499E-3</v>
      </c>
      <c r="V158" s="8">
        <v>162</v>
      </c>
      <c r="W158" s="14">
        <v>6.2770304409301494E-2</v>
      </c>
      <c r="X158" s="8">
        <v>162</v>
      </c>
      <c r="Y158" s="14">
        <v>7.1879723141146198E-2</v>
      </c>
      <c r="Z158" s="8">
        <v>162</v>
      </c>
      <c r="AA158" s="14">
        <v>0.74018011818448803</v>
      </c>
      <c r="AB158" s="8">
        <v>162</v>
      </c>
      <c r="AC158" s="14">
        <v>0.11145521017082199</v>
      </c>
      <c r="AD158" s="8">
        <v>162</v>
      </c>
      <c r="AE158" s="14">
        <v>0.68187386464005095</v>
      </c>
      <c r="AF158" s="8">
        <v>283</v>
      </c>
      <c r="AG158" s="14"/>
      <c r="AH158" s="8"/>
      <c r="AI158" s="14">
        <v>7.6896238843145196E-3</v>
      </c>
      <c r="AJ158" s="8">
        <v>172</v>
      </c>
      <c r="AK158" s="14">
        <v>8.6623154440022304E-2</v>
      </c>
      <c r="AL158" s="8">
        <v>172</v>
      </c>
      <c r="AM158" s="14">
        <v>4.4771164771530099E-2</v>
      </c>
      <c r="AN158" s="8">
        <v>172</v>
      </c>
      <c r="AO158" s="14">
        <v>0.73635300055408204</v>
      </c>
      <c r="AP158" s="8">
        <v>172</v>
      </c>
      <c r="AQ158" s="14">
        <v>0.12456305635005099</v>
      </c>
      <c r="AR158" s="10">
        <v>172</v>
      </c>
    </row>
    <row r="159" spans="1:44" outlineLevel="1" x14ac:dyDescent="0.25">
      <c r="A159" s="6" t="s">
        <v>15</v>
      </c>
      <c r="B159" t="s">
        <v>145</v>
      </c>
      <c r="C159" s="16">
        <v>0.56393904807191797</v>
      </c>
      <c r="D159">
        <v>1941</v>
      </c>
      <c r="E159" s="16">
        <v>5.12394605092952E-3</v>
      </c>
      <c r="F159">
        <v>882</v>
      </c>
      <c r="G159" s="16">
        <v>8.1073134948648606E-3</v>
      </c>
      <c r="H159">
        <v>882</v>
      </c>
      <c r="I159" s="16">
        <v>5.5534561314069399E-2</v>
      </c>
      <c r="J159">
        <v>882</v>
      </c>
      <c r="K159" s="16">
        <v>4.8956402523956402E-2</v>
      </c>
      <c r="L159">
        <v>882</v>
      </c>
      <c r="M159" s="16">
        <v>0.767823506091874</v>
      </c>
      <c r="N159">
        <v>882</v>
      </c>
      <c r="O159" s="16">
        <v>0.114454270524306</v>
      </c>
      <c r="P159">
        <v>882</v>
      </c>
      <c r="Q159" s="16">
        <v>0.56458705208230098</v>
      </c>
      <c r="R159">
        <v>948</v>
      </c>
      <c r="S159" s="16">
        <v>6.4360471656587804E-3</v>
      </c>
      <c r="T159">
        <v>433</v>
      </c>
      <c r="U159" s="16">
        <v>1.01759799577129E-2</v>
      </c>
      <c r="V159">
        <v>433</v>
      </c>
      <c r="W159" s="16">
        <v>5.6433756059404698E-2</v>
      </c>
      <c r="X159">
        <v>433</v>
      </c>
      <c r="Y159" s="16">
        <v>4.6237790076247502E-2</v>
      </c>
      <c r="Z159">
        <v>433</v>
      </c>
      <c r="AA159" s="16">
        <v>0.77115214019108802</v>
      </c>
      <c r="AB159">
        <v>433</v>
      </c>
      <c r="AC159" s="16">
        <v>0.10956428654988799</v>
      </c>
      <c r="AD159">
        <v>433</v>
      </c>
      <c r="AE159" s="16">
        <v>0.56287078227777898</v>
      </c>
      <c r="AF159">
        <v>990</v>
      </c>
      <c r="AG159" s="16">
        <v>3.95498146981965E-3</v>
      </c>
      <c r="AH159">
        <v>447</v>
      </c>
      <c r="AI159" s="16">
        <v>6.2644139548039103E-3</v>
      </c>
      <c r="AJ159">
        <v>447</v>
      </c>
      <c r="AK159" s="16">
        <v>5.4908268517168499E-2</v>
      </c>
      <c r="AL159">
        <v>447</v>
      </c>
      <c r="AM159" s="16">
        <v>5.1578621298573601E-2</v>
      </c>
      <c r="AN159">
        <v>447</v>
      </c>
      <c r="AO159" s="16">
        <v>0.76403414729042696</v>
      </c>
      <c r="AP159">
        <v>447</v>
      </c>
      <c r="AQ159" s="16">
        <v>0.119259567469207</v>
      </c>
      <c r="AR159" s="11">
        <v>447</v>
      </c>
    </row>
    <row r="160" spans="1:44" outlineLevel="1" x14ac:dyDescent="0.25">
      <c r="A160" s="6" t="s">
        <v>15</v>
      </c>
      <c r="B160" t="s">
        <v>146</v>
      </c>
      <c r="C160" s="16">
        <v>0.55725190839694605</v>
      </c>
      <c r="D160">
        <v>262</v>
      </c>
      <c r="E160" s="16">
        <v>6.8493150684931503E-3</v>
      </c>
      <c r="F160">
        <v>146</v>
      </c>
      <c r="G160" s="16">
        <v>2.0547945205479499E-2</v>
      </c>
      <c r="H160">
        <v>146</v>
      </c>
      <c r="I160" s="16">
        <v>0.30821917808219201</v>
      </c>
      <c r="J160">
        <v>146</v>
      </c>
      <c r="K160" s="16">
        <v>2.7397260273972601E-2</v>
      </c>
      <c r="L160">
        <v>146</v>
      </c>
      <c r="M160" s="16">
        <v>0.465753424657534</v>
      </c>
      <c r="N160">
        <v>146</v>
      </c>
      <c r="O160" s="16">
        <v>0.17123287671232901</v>
      </c>
      <c r="P160">
        <v>146</v>
      </c>
      <c r="Q160" s="16">
        <v>0.50746268656716398</v>
      </c>
      <c r="R160">
        <v>134</v>
      </c>
      <c r="S160" s="16"/>
      <c r="U160" s="16"/>
      <c r="W160" s="16">
        <v>0.36764705882352899</v>
      </c>
      <c r="X160">
        <v>68</v>
      </c>
      <c r="Y160" s="16">
        <v>4.4117647058823498E-2</v>
      </c>
      <c r="Z160">
        <v>68</v>
      </c>
      <c r="AA160" s="16">
        <v>0.35294117647058798</v>
      </c>
      <c r="AB160">
        <v>68</v>
      </c>
      <c r="AC160" s="16">
        <v>0.23529411764705899</v>
      </c>
      <c r="AD160">
        <v>68</v>
      </c>
      <c r="AE160" s="16">
        <v>0.609375</v>
      </c>
      <c r="AF160">
        <v>128</v>
      </c>
      <c r="AG160" s="16">
        <v>1.2820512820512799E-2</v>
      </c>
      <c r="AH160">
        <v>78</v>
      </c>
      <c r="AI160" s="16">
        <v>3.8461538461538498E-2</v>
      </c>
      <c r="AJ160">
        <v>78</v>
      </c>
      <c r="AK160" s="16">
        <v>0.256410256410256</v>
      </c>
      <c r="AL160">
        <v>78</v>
      </c>
      <c r="AM160" s="16">
        <v>1.2820512820512799E-2</v>
      </c>
      <c r="AN160">
        <v>78</v>
      </c>
      <c r="AO160" s="16">
        <v>0.56410256410256399</v>
      </c>
      <c r="AP160">
        <v>78</v>
      </c>
      <c r="AQ160" s="16">
        <v>0.115384615384615</v>
      </c>
      <c r="AR160" s="11">
        <v>78</v>
      </c>
    </row>
    <row r="161" spans="1:44" outlineLevel="1" x14ac:dyDescent="0.25">
      <c r="A161" s="6" t="s">
        <v>15</v>
      </c>
      <c r="B161" t="s">
        <v>147</v>
      </c>
      <c r="C161" s="16">
        <v>0.78723404255319196</v>
      </c>
      <c r="D161">
        <v>94</v>
      </c>
      <c r="E161" s="16"/>
      <c r="G161" s="16"/>
      <c r="I161" s="16">
        <v>0.31081081081081102</v>
      </c>
      <c r="J161">
        <v>74</v>
      </c>
      <c r="K161" s="16">
        <v>6.7567567567567599E-2</v>
      </c>
      <c r="L161">
        <v>74</v>
      </c>
      <c r="M161" s="16">
        <v>0.608108108108108</v>
      </c>
      <c r="N161">
        <v>74</v>
      </c>
      <c r="O161" s="16">
        <v>1.35135135135135E-2</v>
      </c>
      <c r="P161">
        <v>74</v>
      </c>
      <c r="Q161" s="16">
        <v>0.79545454545454597</v>
      </c>
      <c r="R161">
        <v>44</v>
      </c>
      <c r="S161" s="16"/>
      <c r="U161" s="16"/>
      <c r="W161" s="16">
        <v>0.371428571428571</v>
      </c>
      <c r="X161">
        <v>35</v>
      </c>
      <c r="Y161" s="16">
        <v>5.7142857142857099E-2</v>
      </c>
      <c r="Z161">
        <v>35</v>
      </c>
      <c r="AA161" s="16">
        <v>0.57142857142857195</v>
      </c>
      <c r="AB161">
        <v>35</v>
      </c>
      <c r="AC161" s="16"/>
      <c r="AE161" s="16">
        <v>0.77551020408163296</v>
      </c>
      <c r="AF161">
        <v>49</v>
      </c>
      <c r="AG161" s="16"/>
      <c r="AI161" s="16"/>
      <c r="AK161" s="16">
        <v>0.23684210526315799</v>
      </c>
      <c r="AL161">
        <v>38</v>
      </c>
      <c r="AM161" s="16">
        <v>7.8947368421052599E-2</v>
      </c>
      <c r="AN161">
        <v>38</v>
      </c>
      <c r="AO161" s="16">
        <v>0.65789473684210498</v>
      </c>
      <c r="AP161">
        <v>38</v>
      </c>
      <c r="AQ161" s="16">
        <v>2.6315789473684199E-2</v>
      </c>
      <c r="AR161" s="11">
        <v>38</v>
      </c>
    </row>
    <row r="162" spans="1:44" outlineLevel="1" x14ac:dyDescent="0.25">
      <c r="A162" s="6" t="s">
        <v>15</v>
      </c>
      <c r="B162" t="s">
        <v>148</v>
      </c>
      <c r="C162" s="16">
        <v>0.27425163283147602</v>
      </c>
      <c r="D162">
        <v>1055</v>
      </c>
      <c r="E162" s="16">
        <v>4.1451995754695797E-2</v>
      </c>
      <c r="F162">
        <v>389</v>
      </c>
      <c r="G162" s="16">
        <v>0.105504969140484</v>
      </c>
      <c r="H162">
        <v>389</v>
      </c>
      <c r="I162" s="16">
        <v>0.129290285589134</v>
      </c>
      <c r="J162">
        <v>389</v>
      </c>
      <c r="K162" s="16">
        <v>9.4104776141136798E-2</v>
      </c>
      <c r="L162">
        <v>389</v>
      </c>
      <c r="M162" s="16">
        <v>0.42436777148537103</v>
      </c>
      <c r="N162">
        <v>389</v>
      </c>
      <c r="O162" s="16">
        <v>0.205280201889179</v>
      </c>
      <c r="P162">
        <v>389</v>
      </c>
      <c r="Q162" s="16">
        <v>0.28856620130567701</v>
      </c>
      <c r="R162">
        <v>569</v>
      </c>
      <c r="S162" s="16">
        <v>5.45821553078705E-2</v>
      </c>
      <c r="T162">
        <v>218</v>
      </c>
      <c r="U162" s="16">
        <v>7.16247528365834E-2</v>
      </c>
      <c r="V162">
        <v>218</v>
      </c>
      <c r="W162" s="16">
        <v>0.136768438104512</v>
      </c>
      <c r="X162">
        <v>218</v>
      </c>
      <c r="Y162" s="16">
        <v>7.8044828225224405E-2</v>
      </c>
      <c r="Z162">
        <v>218</v>
      </c>
      <c r="AA162" s="16">
        <v>0.42010299228817299</v>
      </c>
      <c r="AB162">
        <v>218</v>
      </c>
      <c r="AC162" s="16">
        <v>0.238876833237637</v>
      </c>
      <c r="AD162">
        <v>218</v>
      </c>
      <c r="AE162" s="16">
        <v>0.25689327563491199</v>
      </c>
      <c r="AF162">
        <v>486</v>
      </c>
      <c r="AG162" s="16">
        <v>2.3431730064588398E-2</v>
      </c>
      <c r="AH162">
        <v>171</v>
      </c>
      <c r="AI162" s="16">
        <v>0.15200329971766</v>
      </c>
      <c r="AJ162">
        <v>171</v>
      </c>
      <c r="AK162" s="16">
        <v>0.119027021486934</v>
      </c>
      <c r="AL162">
        <v>171</v>
      </c>
      <c r="AM162" s="16">
        <v>0.116145980381039</v>
      </c>
      <c r="AN162">
        <v>171</v>
      </c>
      <c r="AO162" s="16">
        <v>0.43022089565586702</v>
      </c>
      <c r="AP162">
        <v>171</v>
      </c>
      <c r="AQ162" s="16">
        <v>0.15917107269391101</v>
      </c>
      <c r="AR162" s="11">
        <v>171</v>
      </c>
    </row>
    <row r="163" spans="1:44" outlineLevel="1" x14ac:dyDescent="0.25">
      <c r="A163" s="6" t="s">
        <v>15</v>
      </c>
      <c r="B163" t="s">
        <v>149</v>
      </c>
      <c r="C163" s="16">
        <v>0.26083251039373301</v>
      </c>
      <c r="D163">
        <v>2720</v>
      </c>
      <c r="E163" s="16">
        <v>4.1136975618167801E-2</v>
      </c>
      <c r="F163">
        <v>905</v>
      </c>
      <c r="G163" s="16">
        <v>4.4361972541407599E-2</v>
      </c>
      <c r="H163">
        <v>905</v>
      </c>
      <c r="I163" s="16">
        <v>0.13402880964639999</v>
      </c>
      <c r="J163">
        <v>905</v>
      </c>
      <c r="K163" s="16">
        <v>0.14483445110982399</v>
      </c>
      <c r="L163">
        <v>905</v>
      </c>
      <c r="M163" s="16">
        <v>0.46099137761904702</v>
      </c>
      <c r="N163">
        <v>905</v>
      </c>
      <c r="O163" s="16">
        <v>0.174646413465154</v>
      </c>
      <c r="P163">
        <v>905</v>
      </c>
      <c r="Q163" s="16">
        <v>0.25346956954752597</v>
      </c>
      <c r="R163">
        <v>1375</v>
      </c>
      <c r="S163" s="16">
        <v>3.9624054358925798E-2</v>
      </c>
      <c r="T163">
        <v>441</v>
      </c>
      <c r="U163" s="16">
        <v>3.81972674090095E-2</v>
      </c>
      <c r="V163">
        <v>441</v>
      </c>
      <c r="W163" s="16">
        <v>0.18331508023682</v>
      </c>
      <c r="X163">
        <v>441</v>
      </c>
      <c r="Y163" s="16">
        <v>0.105269817981369</v>
      </c>
      <c r="Z163">
        <v>441</v>
      </c>
      <c r="AA163" s="16">
        <v>0.48618066265527299</v>
      </c>
      <c r="AB163">
        <v>441</v>
      </c>
      <c r="AC163" s="16">
        <v>0.14741311735860299</v>
      </c>
      <c r="AD163">
        <v>441</v>
      </c>
      <c r="AE163" s="16">
        <v>0.26851718511182299</v>
      </c>
      <c r="AF163">
        <v>1344</v>
      </c>
      <c r="AG163" s="16">
        <v>4.26098808974016E-2</v>
      </c>
      <c r="AH163">
        <v>464</v>
      </c>
      <c r="AI163" s="16">
        <v>5.0363624431062702E-2</v>
      </c>
      <c r="AJ163">
        <v>464</v>
      </c>
      <c r="AK163" s="16">
        <v>8.6046135265349002E-2</v>
      </c>
      <c r="AL163">
        <v>464</v>
      </c>
      <c r="AM163" s="16">
        <v>0.18335262028080099</v>
      </c>
      <c r="AN163">
        <v>464</v>
      </c>
      <c r="AO163" s="16">
        <v>0.43646833606395002</v>
      </c>
      <c r="AP163">
        <v>464</v>
      </c>
      <c r="AQ163" s="16">
        <v>0.20115940306143601</v>
      </c>
      <c r="AR163" s="11">
        <v>464</v>
      </c>
    </row>
    <row r="164" spans="1:44" outlineLevel="1" x14ac:dyDescent="0.25">
      <c r="A164" s="6" t="s">
        <v>15</v>
      </c>
      <c r="B164" t="s">
        <v>150</v>
      </c>
      <c r="C164" s="16">
        <v>0.55651987041083195</v>
      </c>
      <c r="D164">
        <v>628</v>
      </c>
      <c r="E164" s="16">
        <v>9.4520289940938397E-3</v>
      </c>
      <c r="F164">
        <v>347</v>
      </c>
      <c r="G164" s="16">
        <v>2.5696581442820599E-2</v>
      </c>
      <c r="H164">
        <v>347</v>
      </c>
      <c r="I164" s="16">
        <v>3.1962329878680702E-2</v>
      </c>
      <c r="J164">
        <v>347</v>
      </c>
      <c r="K164" s="16">
        <v>5.5779436481133697E-2</v>
      </c>
      <c r="L164">
        <v>347</v>
      </c>
      <c r="M164" s="16">
        <v>0.73257184377778795</v>
      </c>
      <c r="N164">
        <v>347</v>
      </c>
      <c r="O164" s="16">
        <v>0.14453777942548399</v>
      </c>
      <c r="P164">
        <v>347</v>
      </c>
      <c r="Q164" s="16">
        <v>0.52177222154708502</v>
      </c>
      <c r="R164">
        <v>325</v>
      </c>
      <c r="S164" s="16">
        <v>8.4527447894221092E-3</v>
      </c>
      <c r="T164">
        <v>168</v>
      </c>
      <c r="U164" s="16">
        <v>2.8513393855593299E-2</v>
      </c>
      <c r="V164">
        <v>168</v>
      </c>
      <c r="W164" s="16">
        <v>3.9335252251686097E-2</v>
      </c>
      <c r="X164">
        <v>168</v>
      </c>
      <c r="Y164" s="16">
        <v>4.7402821791559101E-2</v>
      </c>
      <c r="Z164">
        <v>168</v>
      </c>
      <c r="AA164" s="16">
        <v>0.73866538060237696</v>
      </c>
      <c r="AB164">
        <v>168</v>
      </c>
      <c r="AC164" s="16">
        <v>0.137630406709362</v>
      </c>
      <c r="AD164">
        <v>168</v>
      </c>
      <c r="AE164" s="16">
        <v>0.59478396851720405</v>
      </c>
      <c r="AF164">
        <v>303</v>
      </c>
      <c r="AG164" s="16">
        <v>1.0403874724079601E-2</v>
      </c>
      <c r="AH164">
        <v>179</v>
      </c>
      <c r="AI164" s="16">
        <v>2.3013490031254202E-2</v>
      </c>
      <c r="AJ164">
        <v>179</v>
      </c>
      <c r="AK164" s="16">
        <v>2.49394182330719E-2</v>
      </c>
      <c r="AL164">
        <v>179</v>
      </c>
      <c r="AM164" s="16">
        <v>6.3758392704731007E-2</v>
      </c>
      <c r="AN164">
        <v>179</v>
      </c>
      <c r="AO164" s="16">
        <v>0.726767582107403</v>
      </c>
      <c r="AP164">
        <v>179</v>
      </c>
      <c r="AQ164" s="16">
        <v>0.15111724219945999</v>
      </c>
      <c r="AR164" s="11">
        <v>179</v>
      </c>
    </row>
    <row r="165" spans="1:44" outlineLevel="1" x14ac:dyDescent="0.25">
      <c r="A165" s="7" t="s">
        <v>15</v>
      </c>
      <c r="B165" s="9" t="s">
        <v>151</v>
      </c>
      <c r="C165" s="15">
        <v>0.64098854524033499</v>
      </c>
      <c r="D165" s="9">
        <v>1444</v>
      </c>
      <c r="E165" s="15">
        <v>1.3154094618030901E-2</v>
      </c>
      <c r="F165" s="9">
        <v>735</v>
      </c>
      <c r="G165" s="15">
        <v>1.29341944327209E-2</v>
      </c>
      <c r="H165" s="9">
        <v>735</v>
      </c>
      <c r="I165" s="15">
        <v>4.1380167056824298E-2</v>
      </c>
      <c r="J165" s="9">
        <v>735</v>
      </c>
      <c r="K165" s="15">
        <v>2.98905068389347E-2</v>
      </c>
      <c r="L165" s="9">
        <v>735</v>
      </c>
      <c r="M165" s="15">
        <v>0.80664865654070195</v>
      </c>
      <c r="N165" s="9">
        <v>735</v>
      </c>
      <c r="O165" s="15">
        <v>9.5992380512786996E-2</v>
      </c>
      <c r="P165" s="9">
        <v>735</v>
      </c>
      <c r="Q165" s="15">
        <v>0.62126385546848595</v>
      </c>
      <c r="R165" s="9">
        <v>736</v>
      </c>
      <c r="S165" s="15">
        <v>1.3831433574348E-2</v>
      </c>
      <c r="T165" s="9">
        <v>363</v>
      </c>
      <c r="U165" s="15">
        <v>1.29699105737868E-2</v>
      </c>
      <c r="V165" s="9">
        <v>363</v>
      </c>
      <c r="W165" s="15">
        <v>4.0033234744997197E-2</v>
      </c>
      <c r="X165" s="9">
        <v>363</v>
      </c>
      <c r="Y165" s="15">
        <v>2.86418618141282E-2</v>
      </c>
      <c r="Z165" s="9">
        <v>363</v>
      </c>
      <c r="AA165" s="15">
        <v>0.792486017590047</v>
      </c>
      <c r="AB165" s="9">
        <v>363</v>
      </c>
      <c r="AC165" s="15">
        <v>0.11203754170269201</v>
      </c>
      <c r="AD165" s="9">
        <v>363</v>
      </c>
      <c r="AE165" s="15">
        <v>0.66180589988146798</v>
      </c>
      <c r="AF165" s="9">
        <v>707</v>
      </c>
      <c r="AG165" s="15">
        <v>1.24927813062083E-2</v>
      </c>
      <c r="AH165" s="9">
        <v>371</v>
      </c>
      <c r="AI165" s="15">
        <v>1.29000460823025E-2</v>
      </c>
      <c r="AJ165" s="9">
        <v>371</v>
      </c>
      <c r="AK165" s="15">
        <v>4.2699219182583403E-2</v>
      </c>
      <c r="AL165" s="9">
        <v>371</v>
      </c>
      <c r="AM165" s="15">
        <v>3.1053760013066499E-2</v>
      </c>
      <c r="AN165" s="9">
        <v>371</v>
      </c>
      <c r="AO165" s="15">
        <v>0.82054008103424303</v>
      </c>
      <c r="AP165" s="9">
        <v>371</v>
      </c>
      <c r="AQ165" s="15">
        <v>8.03141123815964E-2</v>
      </c>
      <c r="AR165" s="12">
        <v>371</v>
      </c>
    </row>
    <row r="166" spans="1:44" x14ac:dyDescent="0.25">
      <c r="C166" s="16"/>
      <c r="E166" s="16"/>
      <c r="G166" s="16"/>
      <c r="I166" s="16"/>
      <c r="K166" s="16"/>
      <c r="M166" s="16"/>
      <c r="O166" s="16"/>
      <c r="Q166" s="16"/>
      <c r="S166" s="16"/>
      <c r="U166" s="16"/>
      <c r="W166" s="16"/>
      <c r="Y166" s="16"/>
      <c r="AA166" s="16"/>
      <c r="AC166" s="16"/>
      <c r="AE166" s="16"/>
      <c r="AG166" s="16"/>
      <c r="AI166" s="16"/>
      <c r="AK166" s="16"/>
      <c r="AM166" s="16"/>
      <c r="AO166" s="16"/>
      <c r="AQ166" s="16"/>
    </row>
    <row r="167" spans="1:44" x14ac:dyDescent="0.25">
      <c r="A167" s="19" t="s">
        <v>152</v>
      </c>
      <c r="B167" s="19"/>
      <c r="C167" s="20"/>
      <c r="D167" s="19"/>
      <c r="E167" s="20"/>
      <c r="F167" s="19"/>
      <c r="G167" s="20"/>
      <c r="H167" s="19"/>
      <c r="I167" s="20"/>
      <c r="J167" s="19"/>
      <c r="K167" s="20"/>
      <c r="L167" s="19"/>
      <c r="M167" s="20"/>
      <c r="N167" s="19"/>
      <c r="O167" s="20"/>
      <c r="P167" s="19"/>
      <c r="Q167" s="20"/>
      <c r="R167" s="19"/>
      <c r="S167" s="20"/>
      <c r="T167" s="19"/>
      <c r="U167" s="20"/>
      <c r="V167" s="19"/>
      <c r="W167" s="20"/>
      <c r="X167" s="19"/>
      <c r="Y167" s="20"/>
      <c r="Z167" s="19"/>
      <c r="AA167" s="20"/>
      <c r="AB167" s="19"/>
      <c r="AC167" s="20"/>
      <c r="AD167" s="19"/>
      <c r="AE167" s="20"/>
      <c r="AF167" s="19"/>
      <c r="AG167" s="20"/>
      <c r="AH167" s="19"/>
      <c r="AI167" s="20"/>
      <c r="AJ167" s="19"/>
      <c r="AK167" s="20"/>
      <c r="AL167" s="19"/>
      <c r="AM167" s="20"/>
      <c r="AN167" s="19"/>
      <c r="AO167" s="20"/>
      <c r="AP167" s="19"/>
      <c r="AQ167" s="20"/>
      <c r="AR167" s="19"/>
    </row>
    <row r="168" spans="1:44" outlineLevel="1" x14ac:dyDescent="0.25">
      <c r="A168" s="5" t="s">
        <v>15</v>
      </c>
      <c r="B168" s="8" t="s">
        <v>153</v>
      </c>
      <c r="C168" s="14">
        <v>0.611051314135729</v>
      </c>
      <c r="D168" s="8">
        <v>180</v>
      </c>
      <c r="E168" s="14"/>
      <c r="F168" s="8"/>
      <c r="G168" s="14"/>
      <c r="H168" s="8"/>
      <c r="I168" s="14">
        <v>5.1575016294108898E-2</v>
      </c>
      <c r="J168" s="8">
        <v>86</v>
      </c>
      <c r="K168" s="14">
        <v>1.2529819849019699E-2</v>
      </c>
      <c r="L168" s="8">
        <v>86</v>
      </c>
      <c r="M168" s="14">
        <v>0.82288430438375904</v>
      </c>
      <c r="N168" s="8">
        <v>86</v>
      </c>
      <c r="O168" s="14">
        <v>0.113010859473112</v>
      </c>
      <c r="P168" s="8">
        <v>86</v>
      </c>
      <c r="Q168" s="14">
        <v>0.59830981573655695</v>
      </c>
      <c r="R168" s="8">
        <v>83</v>
      </c>
      <c r="S168" s="14"/>
      <c r="T168" s="8"/>
      <c r="U168" s="14"/>
      <c r="V168" s="8"/>
      <c r="W168" s="14">
        <v>2.19236303934633E-2</v>
      </c>
      <c r="X168" s="8">
        <v>39</v>
      </c>
      <c r="Y168" s="14">
        <v>2.6646452437580501E-2</v>
      </c>
      <c r="Z168" s="8">
        <v>39</v>
      </c>
      <c r="AA168" s="14">
        <v>0.81971737470515005</v>
      </c>
      <c r="AB168" s="8">
        <v>39</v>
      </c>
      <c r="AC168" s="14">
        <v>0.13171254246380601</v>
      </c>
      <c r="AD168" s="8">
        <v>39</v>
      </c>
      <c r="AE168" s="14">
        <v>0.62282394129089402</v>
      </c>
      <c r="AF168" s="8">
        <v>97</v>
      </c>
      <c r="AG168" s="14"/>
      <c r="AH168" s="8"/>
      <c r="AI168" s="14"/>
      <c r="AJ168" s="8"/>
      <c r="AK168" s="14">
        <v>7.7893369575465596E-2</v>
      </c>
      <c r="AL168" s="8">
        <v>47</v>
      </c>
      <c r="AM168" s="14"/>
      <c r="AN168" s="8"/>
      <c r="AO168" s="14">
        <v>0.82569524800636496</v>
      </c>
      <c r="AP168" s="8">
        <v>47</v>
      </c>
      <c r="AQ168" s="14">
        <v>9.6411382418169406E-2</v>
      </c>
      <c r="AR168" s="10">
        <v>47</v>
      </c>
    </row>
    <row r="169" spans="1:44" outlineLevel="1" x14ac:dyDescent="0.25">
      <c r="A169" s="6" t="s">
        <v>15</v>
      </c>
      <c r="B169" t="s">
        <v>154</v>
      </c>
      <c r="C169" s="16">
        <v>0.57981788829722003</v>
      </c>
      <c r="D169">
        <v>806</v>
      </c>
      <c r="E169" s="16">
        <v>1.1479365092512399E-3</v>
      </c>
      <c r="F169">
        <v>385</v>
      </c>
      <c r="G169" s="16">
        <v>1.7727023395251899E-2</v>
      </c>
      <c r="H169">
        <v>385</v>
      </c>
      <c r="I169" s="16">
        <v>6.5230155667381606E-2</v>
      </c>
      <c r="J169">
        <v>385</v>
      </c>
      <c r="K169" s="16">
        <v>5.2071761707871297E-2</v>
      </c>
      <c r="L169">
        <v>385</v>
      </c>
      <c r="M169" s="16">
        <v>0.74655153298690202</v>
      </c>
      <c r="N169">
        <v>385</v>
      </c>
      <c r="O169" s="16">
        <v>0.11727158973334199</v>
      </c>
      <c r="P169">
        <v>385</v>
      </c>
      <c r="Q169" s="16">
        <v>0.61558113154981697</v>
      </c>
      <c r="R169">
        <v>406</v>
      </c>
      <c r="S169" s="16"/>
      <c r="U169" s="16">
        <v>1.9787085367220202E-2</v>
      </c>
      <c r="V169">
        <v>207</v>
      </c>
      <c r="W169" s="16">
        <v>6.3039640187064205E-2</v>
      </c>
      <c r="X169">
        <v>207</v>
      </c>
      <c r="Y169" s="16">
        <v>5.5447227971785203E-2</v>
      </c>
      <c r="Z169">
        <v>207</v>
      </c>
      <c r="AA169" s="16">
        <v>0.768626437181679</v>
      </c>
      <c r="AB169">
        <v>207</v>
      </c>
      <c r="AC169" s="16">
        <v>9.3099609292251306E-2</v>
      </c>
      <c r="AD169">
        <v>207</v>
      </c>
      <c r="AE169" s="16">
        <v>0.54700719060908698</v>
      </c>
      <c r="AF169">
        <v>398</v>
      </c>
      <c r="AG169" s="16">
        <v>2.3642537441571801E-3</v>
      </c>
      <c r="AH169">
        <v>177</v>
      </c>
      <c r="AI169" s="16">
        <v>1.5625028781351E-2</v>
      </c>
      <c r="AJ169">
        <v>177</v>
      </c>
      <c r="AK169" s="16">
        <v>6.7808519614680193E-2</v>
      </c>
      <c r="AL169">
        <v>177</v>
      </c>
      <c r="AM169" s="16">
        <v>4.8721590895119203E-2</v>
      </c>
      <c r="AN169">
        <v>177</v>
      </c>
      <c r="AO169" s="16">
        <v>0.722217066352147</v>
      </c>
      <c r="AP169">
        <v>177</v>
      </c>
      <c r="AQ169" s="16">
        <v>0.14326354061254501</v>
      </c>
      <c r="AR169" s="11">
        <v>177</v>
      </c>
    </row>
    <row r="170" spans="1:44" outlineLevel="1" x14ac:dyDescent="0.25">
      <c r="A170" s="6" t="s">
        <v>15</v>
      </c>
      <c r="B170" t="s">
        <v>155</v>
      </c>
      <c r="C170" s="16">
        <v>0.55139072405645495</v>
      </c>
      <c r="D170">
        <v>953</v>
      </c>
      <c r="E170" s="16"/>
      <c r="G170" s="16"/>
      <c r="I170" s="16">
        <v>3.2886848773350699E-2</v>
      </c>
      <c r="J170">
        <v>402</v>
      </c>
      <c r="K170" s="16">
        <v>1.9708144617664899E-2</v>
      </c>
      <c r="L170">
        <v>402</v>
      </c>
      <c r="M170" s="16">
        <v>0.858877723084574</v>
      </c>
      <c r="N170">
        <v>402</v>
      </c>
      <c r="O170" s="16">
        <v>8.8527283524410902E-2</v>
      </c>
      <c r="P170">
        <v>402</v>
      </c>
      <c r="Q170" s="16">
        <v>0.54192792550387503</v>
      </c>
      <c r="R170">
        <v>438</v>
      </c>
      <c r="S170" s="16"/>
      <c r="U170" s="16"/>
      <c r="W170" s="16">
        <v>4.0813185960094298E-2</v>
      </c>
      <c r="X170">
        <v>180</v>
      </c>
      <c r="Y170" s="16">
        <v>3.2220552095659397E-2</v>
      </c>
      <c r="Z170">
        <v>180</v>
      </c>
      <c r="AA170" s="16">
        <v>0.83178169385281198</v>
      </c>
      <c r="AB170">
        <v>180</v>
      </c>
      <c r="AC170" s="16">
        <v>9.5184568091434801E-2</v>
      </c>
      <c r="AD170">
        <v>180</v>
      </c>
      <c r="AE170" s="16">
        <v>0.55926640524146198</v>
      </c>
      <c r="AF170">
        <v>513</v>
      </c>
      <c r="AG170" s="16"/>
      <c r="AI170" s="16"/>
      <c r="AK170" s="16">
        <v>2.6381025384505902E-2</v>
      </c>
      <c r="AL170">
        <v>221</v>
      </c>
      <c r="AM170" s="16">
        <v>9.3326823744701894E-3</v>
      </c>
      <c r="AN170">
        <v>221</v>
      </c>
      <c r="AO170" s="16">
        <v>0.881023779784887</v>
      </c>
      <c r="AP170">
        <v>221</v>
      </c>
      <c r="AQ170" s="16">
        <v>8.3262512456136403E-2</v>
      </c>
      <c r="AR170" s="11">
        <v>221</v>
      </c>
    </row>
    <row r="171" spans="1:44" outlineLevel="1" x14ac:dyDescent="0.25">
      <c r="A171" s="6" t="s">
        <v>15</v>
      </c>
      <c r="B171" t="s">
        <v>156</v>
      </c>
      <c r="C171" s="16">
        <v>0.69260958410597695</v>
      </c>
      <c r="D171">
        <v>540</v>
      </c>
      <c r="E171" s="16">
        <v>1.7638994545800601E-2</v>
      </c>
      <c r="F171">
        <v>343</v>
      </c>
      <c r="G171" s="16">
        <v>9.6927121572619006E-3</v>
      </c>
      <c r="H171">
        <v>343</v>
      </c>
      <c r="I171" s="16">
        <v>0.10086044893868</v>
      </c>
      <c r="J171">
        <v>343</v>
      </c>
      <c r="K171" s="16">
        <v>0.112819370520043</v>
      </c>
      <c r="L171">
        <v>343</v>
      </c>
      <c r="M171" s="16">
        <v>0.604161697773554</v>
      </c>
      <c r="N171">
        <v>343</v>
      </c>
      <c r="O171" s="16">
        <v>0.154826776064661</v>
      </c>
      <c r="P171">
        <v>343</v>
      </c>
      <c r="Q171" s="16">
        <v>0.67363982052635196</v>
      </c>
      <c r="R171">
        <v>275</v>
      </c>
      <c r="S171" s="16">
        <v>2.7286096530773199E-2</v>
      </c>
      <c r="T171">
        <v>169</v>
      </c>
      <c r="U171" s="16">
        <v>1.1387415581889999E-2</v>
      </c>
      <c r="V171">
        <v>169</v>
      </c>
      <c r="W171" s="16">
        <v>8.96056696233275E-2</v>
      </c>
      <c r="X171">
        <v>169</v>
      </c>
      <c r="Y171" s="16">
        <v>9.1324641048866395E-2</v>
      </c>
      <c r="Z171">
        <v>169</v>
      </c>
      <c r="AA171" s="16">
        <v>0.63093437521229401</v>
      </c>
      <c r="AB171">
        <v>169</v>
      </c>
      <c r="AC171" s="16">
        <v>0.149461802002849</v>
      </c>
      <c r="AD171">
        <v>169</v>
      </c>
      <c r="AE171" s="16">
        <v>0.71040297568539101</v>
      </c>
      <c r="AF171">
        <v>265</v>
      </c>
      <c r="AG171" s="16">
        <v>9.0681055282788008E-3</v>
      </c>
      <c r="AH171">
        <v>174</v>
      </c>
      <c r="AI171" s="16">
        <v>8.1870667320629899E-3</v>
      </c>
      <c r="AJ171">
        <v>174</v>
      </c>
      <c r="AK171" s="16">
        <v>0.110859665758285</v>
      </c>
      <c r="AL171">
        <v>174</v>
      </c>
      <c r="AM171" s="16">
        <v>0.13191618747565201</v>
      </c>
      <c r="AN171">
        <v>174</v>
      </c>
      <c r="AO171" s="16">
        <v>0.58037573102552997</v>
      </c>
      <c r="AP171">
        <v>174</v>
      </c>
      <c r="AQ171" s="16">
        <v>0.15959324348019099</v>
      </c>
      <c r="AR171" s="11">
        <v>174</v>
      </c>
    </row>
    <row r="172" spans="1:44" outlineLevel="1" x14ac:dyDescent="0.25">
      <c r="A172" s="6" t="s">
        <v>15</v>
      </c>
      <c r="B172" t="s">
        <v>157</v>
      </c>
      <c r="C172" s="16">
        <v>0.78260869565217395</v>
      </c>
      <c r="D172">
        <v>23</v>
      </c>
      <c r="E172" s="16"/>
      <c r="G172" s="16"/>
      <c r="I172" s="16">
        <v>0.22222222222222199</v>
      </c>
      <c r="J172">
        <v>18</v>
      </c>
      <c r="K172" s="16">
        <v>5.5555555555555601E-2</v>
      </c>
      <c r="L172">
        <v>18</v>
      </c>
      <c r="M172" s="16">
        <v>0.61111111111111105</v>
      </c>
      <c r="N172">
        <v>18</v>
      </c>
      <c r="O172" s="16">
        <v>0.11111111111111099</v>
      </c>
      <c r="P172">
        <v>18</v>
      </c>
      <c r="Q172" s="16">
        <v>0.88888888888888895</v>
      </c>
      <c r="R172">
        <v>9</v>
      </c>
      <c r="S172" s="16"/>
      <c r="U172" s="16"/>
      <c r="W172" s="16">
        <v>0.25</v>
      </c>
      <c r="X172">
        <v>8</v>
      </c>
      <c r="Y172" s="16"/>
      <c r="AA172" s="16">
        <v>0.75</v>
      </c>
      <c r="AB172">
        <v>8</v>
      </c>
      <c r="AC172" s="16"/>
      <c r="AE172" s="16">
        <v>0.69230769230769196</v>
      </c>
      <c r="AF172">
        <v>13</v>
      </c>
      <c r="AG172" s="16"/>
      <c r="AI172" s="16"/>
      <c r="AK172" s="16">
        <v>0.11111111111111099</v>
      </c>
      <c r="AL172">
        <v>9</v>
      </c>
      <c r="AM172" s="16">
        <v>0.11111111111111099</v>
      </c>
      <c r="AN172">
        <v>9</v>
      </c>
      <c r="AO172" s="16">
        <v>0.55555555555555602</v>
      </c>
      <c r="AP172">
        <v>9</v>
      </c>
      <c r="AQ172" s="16">
        <v>0.22222222222222199</v>
      </c>
      <c r="AR172" s="11">
        <v>9</v>
      </c>
    </row>
    <row r="173" spans="1:44" outlineLevel="1" x14ac:dyDescent="0.25">
      <c r="A173" s="6" t="s">
        <v>15</v>
      </c>
      <c r="B173" t="s">
        <v>158</v>
      </c>
      <c r="C173" s="16">
        <v>0.6</v>
      </c>
      <c r="D173">
        <v>120</v>
      </c>
      <c r="E173" s="16"/>
      <c r="G173" s="16"/>
      <c r="I173" s="16">
        <v>0.41666666666666702</v>
      </c>
      <c r="J173">
        <v>72</v>
      </c>
      <c r="K173" s="16">
        <v>5.5555555555555601E-2</v>
      </c>
      <c r="L173">
        <v>72</v>
      </c>
      <c r="M173" s="16">
        <v>0.38888888888888901</v>
      </c>
      <c r="N173">
        <v>72</v>
      </c>
      <c r="O173" s="16">
        <v>0.13888888888888901</v>
      </c>
      <c r="P173">
        <v>72</v>
      </c>
      <c r="Q173" s="16">
        <v>0.57142857142857195</v>
      </c>
      <c r="R173">
        <v>63</v>
      </c>
      <c r="S173" s="16"/>
      <c r="U173" s="16"/>
      <c r="W173" s="16">
        <v>0.47222222222222199</v>
      </c>
      <c r="X173">
        <v>36</v>
      </c>
      <c r="Y173" s="16">
        <v>5.5555555555555601E-2</v>
      </c>
      <c r="Z173">
        <v>36</v>
      </c>
      <c r="AA173" s="16">
        <v>0.30555555555555602</v>
      </c>
      <c r="AB173">
        <v>36</v>
      </c>
      <c r="AC173" s="16">
        <v>0.16666666666666699</v>
      </c>
      <c r="AD173">
        <v>36</v>
      </c>
      <c r="AE173" s="16">
        <v>0.63157894736842102</v>
      </c>
      <c r="AF173">
        <v>57</v>
      </c>
      <c r="AG173" s="16"/>
      <c r="AI173" s="16"/>
      <c r="AK173" s="16">
        <v>0.36111111111111099</v>
      </c>
      <c r="AL173">
        <v>36</v>
      </c>
      <c r="AM173" s="16">
        <v>5.5555555555555601E-2</v>
      </c>
      <c r="AN173">
        <v>36</v>
      </c>
      <c r="AO173" s="16">
        <v>0.47222222222222199</v>
      </c>
      <c r="AP173">
        <v>36</v>
      </c>
      <c r="AQ173" s="16">
        <v>0.11111111111111099</v>
      </c>
      <c r="AR173" s="11">
        <v>36</v>
      </c>
    </row>
    <row r="174" spans="1:44" outlineLevel="1" x14ac:dyDescent="0.25">
      <c r="A174" s="6" t="s">
        <v>15</v>
      </c>
      <c r="B174" t="s">
        <v>159</v>
      </c>
      <c r="C174" s="16">
        <v>0.60139860139860102</v>
      </c>
      <c r="D174">
        <v>143</v>
      </c>
      <c r="E174" s="16"/>
      <c r="G174" s="16"/>
      <c r="I174" s="16">
        <v>0.27906976744186102</v>
      </c>
      <c r="J174">
        <v>86</v>
      </c>
      <c r="K174" s="16">
        <v>2.32558139534884E-2</v>
      </c>
      <c r="L174">
        <v>86</v>
      </c>
      <c r="M174" s="16">
        <v>0.59302325581395399</v>
      </c>
      <c r="N174">
        <v>86</v>
      </c>
      <c r="O174" s="16">
        <v>0.104651162790698</v>
      </c>
      <c r="P174">
        <v>86</v>
      </c>
      <c r="Q174" s="16">
        <v>0.5</v>
      </c>
      <c r="R174">
        <v>72</v>
      </c>
      <c r="S174" s="16"/>
      <c r="U174" s="16"/>
      <c r="W174" s="16">
        <v>0.30555555555555602</v>
      </c>
      <c r="X174">
        <v>36</v>
      </c>
      <c r="Y174" s="16">
        <v>2.7777777777777801E-2</v>
      </c>
      <c r="Z174">
        <v>36</v>
      </c>
      <c r="AA174" s="16">
        <v>0.5</v>
      </c>
      <c r="AB174">
        <v>36</v>
      </c>
      <c r="AC174" s="16">
        <v>0.16666666666666699</v>
      </c>
      <c r="AD174">
        <v>36</v>
      </c>
      <c r="AE174" s="16">
        <v>0.70422535211267601</v>
      </c>
      <c r="AF174">
        <v>71</v>
      </c>
      <c r="AG174" s="16"/>
      <c r="AI174" s="16"/>
      <c r="AK174" s="16">
        <v>0.26</v>
      </c>
      <c r="AL174">
        <v>50</v>
      </c>
      <c r="AM174" s="16">
        <v>0.02</v>
      </c>
      <c r="AN174">
        <v>50</v>
      </c>
      <c r="AO174" s="16">
        <v>0.66</v>
      </c>
      <c r="AP174">
        <v>50</v>
      </c>
      <c r="AQ174" s="16">
        <v>0.06</v>
      </c>
      <c r="AR174" s="11">
        <v>50</v>
      </c>
    </row>
    <row r="175" spans="1:44" outlineLevel="1" x14ac:dyDescent="0.25">
      <c r="A175" s="6" t="s">
        <v>15</v>
      </c>
      <c r="B175" t="s">
        <v>160</v>
      </c>
      <c r="C175" s="16">
        <v>0.628571428571429</v>
      </c>
      <c r="D175">
        <v>70</v>
      </c>
      <c r="E175" s="16">
        <v>2.27272727272727E-2</v>
      </c>
      <c r="F175">
        <v>44</v>
      </c>
      <c r="G175" s="16">
        <v>6.8181818181818205E-2</v>
      </c>
      <c r="H175">
        <v>44</v>
      </c>
      <c r="I175" s="16">
        <v>0.22727272727272699</v>
      </c>
      <c r="J175">
        <v>44</v>
      </c>
      <c r="K175" s="16">
        <v>4.5454545454545497E-2</v>
      </c>
      <c r="L175">
        <v>44</v>
      </c>
      <c r="M175" s="16">
        <v>0.52272727272727304</v>
      </c>
      <c r="N175">
        <v>44</v>
      </c>
      <c r="O175" s="16">
        <v>0.11363636363636399</v>
      </c>
      <c r="P175">
        <v>44</v>
      </c>
      <c r="Q175" s="16">
        <v>0.67647058823529405</v>
      </c>
      <c r="R175">
        <v>34</v>
      </c>
      <c r="S175" s="16"/>
      <c r="U175" s="16"/>
      <c r="W175" s="16">
        <v>0.34782608695652201</v>
      </c>
      <c r="X175">
        <v>23</v>
      </c>
      <c r="Y175" s="16">
        <v>8.6956521739130405E-2</v>
      </c>
      <c r="Z175">
        <v>23</v>
      </c>
      <c r="AA175" s="16">
        <v>0.39130434782608697</v>
      </c>
      <c r="AB175">
        <v>23</v>
      </c>
      <c r="AC175" s="16">
        <v>0.173913043478261</v>
      </c>
      <c r="AD175">
        <v>23</v>
      </c>
      <c r="AE175" s="16">
        <v>0.58333333333333304</v>
      </c>
      <c r="AF175">
        <v>36</v>
      </c>
      <c r="AG175" s="16">
        <v>4.7619047619047603E-2</v>
      </c>
      <c r="AH175">
        <v>21</v>
      </c>
      <c r="AI175" s="16">
        <v>0.14285714285714299</v>
      </c>
      <c r="AJ175">
        <v>21</v>
      </c>
      <c r="AK175" s="16">
        <v>9.5238095238095205E-2</v>
      </c>
      <c r="AL175">
        <v>21</v>
      </c>
      <c r="AM175" s="16"/>
      <c r="AO175" s="16">
        <v>0.66666666666666696</v>
      </c>
      <c r="AP175">
        <v>21</v>
      </c>
      <c r="AQ175" s="16">
        <v>4.7619047619047603E-2</v>
      </c>
      <c r="AR175" s="11">
        <v>21</v>
      </c>
    </row>
    <row r="176" spans="1:44" outlineLevel="1" x14ac:dyDescent="0.25">
      <c r="A176" s="6" t="s">
        <v>15</v>
      </c>
      <c r="B176" t="s">
        <v>161</v>
      </c>
      <c r="C176" s="16">
        <v>0.22839751590774501</v>
      </c>
      <c r="D176">
        <v>263</v>
      </c>
      <c r="E176" s="16"/>
      <c r="G176" s="16"/>
      <c r="I176" s="16">
        <v>0.209835916475373</v>
      </c>
      <c r="J176">
        <v>80</v>
      </c>
      <c r="K176" s="16">
        <v>5.7559334398658402E-2</v>
      </c>
      <c r="L176">
        <v>80</v>
      </c>
      <c r="M176" s="16">
        <v>0.58689966569559604</v>
      </c>
      <c r="N176">
        <v>80</v>
      </c>
      <c r="O176" s="16">
        <v>0.145705083430373</v>
      </c>
      <c r="P176">
        <v>80</v>
      </c>
      <c r="Q176" s="16">
        <v>0.260817902082567</v>
      </c>
      <c r="R176">
        <v>117</v>
      </c>
      <c r="S176" s="16"/>
      <c r="U176" s="16"/>
      <c r="W176" s="16">
        <v>0.20852619935160499</v>
      </c>
      <c r="X176">
        <v>41</v>
      </c>
      <c r="Y176" s="16">
        <v>0.11164395988163001</v>
      </c>
      <c r="Z176">
        <v>41</v>
      </c>
      <c r="AA176" s="16">
        <v>0.50570620106309205</v>
      </c>
      <c r="AB176">
        <v>41</v>
      </c>
      <c r="AC176" s="16">
        <v>0.17412363970367301</v>
      </c>
      <c r="AD176">
        <v>41</v>
      </c>
      <c r="AE176" s="16">
        <v>0.20171314744574201</v>
      </c>
      <c r="AF176">
        <v>146</v>
      </c>
      <c r="AG176" s="16"/>
      <c r="AI176" s="16"/>
      <c r="AK176" s="16">
        <v>0.21122977739650201</v>
      </c>
      <c r="AL176">
        <v>39</v>
      </c>
      <c r="AM176" s="16"/>
      <c r="AO176" s="16">
        <v>0.67330946774256295</v>
      </c>
      <c r="AP176">
        <v>39</v>
      </c>
      <c r="AQ176" s="16">
        <v>0.115460754860935</v>
      </c>
      <c r="AR176" s="11">
        <v>39</v>
      </c>
    </row>
    <row r="177" spans="1:44" outlineLevel="1" x14ac:dyDescent="0.25">
      <c r="A177" s="6" t="s">
        <v>15</v>
      </c>
      <c r="B177" t="s">
        <v>162</v>
      </c>
      <c r="C177" s="16">
        <v>0.2433860306343</v>
      </c>
      <c r="D177">
        <v>1189</v>
      </c>
      <c r="E177" s="16"/>
      <c r="G177" s="16">
        <v>4.6468553591073797E-2</v>
      </c>
      <c r="H177">
        <v>410</v>
      </c>
      <c r="I177" s="16">
        <v>0.124838774596725</v>
      </c>
      <c r="J177">
        <v>410</v>
      </c>
      <c r="K177" s="16">
        <v>0.140417725678008</v>
      </c>
      <c r="L177">
        <v>410</v>
      </c>
      <c r="M177" s="16">
        <v>0.54013293851192101</v>
      </c>
      <c r="N177">
        <v>410</v>
      </c>
      <c r="O177" s="16">
        <v>0.148142007622272</v>
      </c>
      <c r="P177">
        <v>410</v>
      </c>
      <c r="Q177" s="16">
        <v>0.24277294928097901</v>
      </c>
      <c r="R177">
        <v>624</v>
      </c>
      <c r="S177" s="16"/>
      <c r="U177" s="16">
        <v>2.7467172481059999E-2</v>
      </c>
      <c r="V177">
        <v>214</v>
      </c>
      <c r="W177" s="16">
        <v>0.13329430390426</v>
      </c>
      <c r="X177">
        <v>214</v>
      </c>
      <c r="Y177" s="16">
        <v>9.9509264080410706E-2</v>
      </c>
      <c r="Z177">
        <v>214</v>
      </c>
      <c r="AA177" s="16">
        <v>0.60282465110405503</v>
      </c>
      <c r="AB177">
        <v>214</v>
      </c>
      <c r="AC177" s="16">
        <v>0.13690460843021501</v>
      </c>
      <c r="AD177">
        <v>214</v>
      </c>
      <c r="AE177" s="16">
        <v>0.24435672423958299</v>
      </c>
      <c r="AF177">
        <v>564</v>
      </c>
      <c r="AG177" s="16"/>
      <c r="AI177" s="16">
        <v>6.7653858791618199E-2</v>
      </c>
      <c r="AJ177">
        <v>196</v>
      </c>
      <c r="AK177" s="16">
        <v>0.1154114088713</v>
      </c>
      <c r="AL177">
        <v>196</v>
      </c>
      <c r="AM177" s="16">
        <v>0.18602800206855599</v>
      </c>
      <c r="AN177">
        <v>196</v>
      </c>
      <c r="AO177" s="16">
        <v>0.47023575276949903</v>
      </c>
      <c r="AP177">
        <v>196</v>
      </c>
      <c r="AQ177" s="16">
        <v>0.16067097749902701</v>
      </c>
      <c r="AR177" s="11">
        <v>196</v>
      </c>
    </row>
    <row r="178" spans="1:44" outlineLevel="1" x14ac:dyDescent="0.25">
      <c r="A178" s="6" t="s">
        <v>15</v>
      </c>
      <c r="B178" t="s">
        <v>163</v>
      </c>
      <c r="C178" s="16">
        <v>0.16922454139072499</v>
      </c>
      <c r="D178">
        <v>1507</v>
      </c>
      <c r="E178" s="16"/>
      <c r="G178" s="16">
        <v>1.73682836052148E-2</v>
      </c>
      <c r="H178">
        <v>363</v>
      </c>
      <c r="I178" s="16">
        <v>0.12726762305838801</v>
      </c>
      <c r="J178">
        <v>363</v>
      </c>
      <c r="K178" s="16">
        <v>2.1449612623705799E-2</v>
      </c>
      <c r="L178">
        <v>363</v>
      </c>
      <c r="M178" s="16">
        <v>0.65106074937443903</v>
      </c>
      <c r="N178">
        <v>363</v>
      </c>
      <c r="O178" s="16">
        <v>0.182853731338252</v>
      </c>
      <c r="P178">
        <v>363</v>
      </c>
      <c r="Q178" s="16">
        <v>0.16866879110064401</v>
      </c>
      <c r="R178">
        <v>773</v>
      </c>
      <c r="S178" s="16"/>
      <c r="U178" s="16">
        <v>2.610094835313E-2</v>
      </c>
      <c r="V178">
        <v>185</v>
      </c>
      <c r="W178" s="16">
        <v>0.16986697086977501</v>
      </c>
      <c r="X178">
        <v>185</v>
      </c>
      <c r="Y178" s="16">
        <v>1.9954106611291999E-2</v>
      </c>
      <c r="Z178">
        <v>185</v>
      </c>
      <c r="AA178" s="16">
        <v>0.64062358098740901</v>
      </c>
      <c r="AB178">
        <v>185</v>
      </c>
      <c r="AC178" s="16">
        <v>0.14345439317839401</v>
      </c>
      <c r="AD178">
        <v>185</v>
      </c>
      <c r="AE178" s="16">
        <v>0.16981669606959099</v>
      </c>
      <c r="AF178">
        <v>734</v>
      </c>
      <c r="AG178" s="16"/>
      <c r="AI178" s="16">
        <v>8.0772233712761692E-3</v>
      </c>
      <c r="AJ178">
        <v>178</v>
      </c>
      <c r="AK178" s="16">
        <v>8.1944331959119598E-2</v>
      </c>
      <c r="AL178">
        <v>178</v>
      </c>
      <c r="AM178" s="16">
        <v>2.3040746240151101E-2</v>
      </c>
      <c r="AN178">
        <v>178</v>
      </c>
      <c r="AO178" s="16">
        <v>0.66216530485148295</v>
      </c>
      <c r="AP178">
        <v>178</v>
      </c>
      <c r="AQ178" s="16">
        <v>0.22477239357796999</v>
      </c>
      <c r="AR178" s="11">
        <v>178</v>
      </c>
    </row>
    <row r="179" spans="1:44" outlineLevel="1" x14ac:dyDescent="0.25">
      <c r="A179" s="6" t="s">
        <v>15</v>
      </c>
      <c r="B179" t="s">
        <v>164</v>
      </c>
      <c r="C179" s="16">
        <v>0.47059169551798502</v>
      </c>
      <c r="D179">
        <v>816</v>
      </c>
      <c r="E179" s="16">
        <v>0.10382384845604101</v>
      </c>
      <c r="F179">
        <v>441</v>
      </c>
      <c r="G179" s="16">
        <v>0.105788383476868</v>
      </c>
      <c r="H179">
        <v>441</v>
      </c>
      <c r="I179" s="16">
        <v>0.130901092344612</v>
      </c>
      <c r="J179">
        <v>441</v>
      </c>
      <c r="K179" s="16">
        <v>0.20780956417549801</v>
      </c>
      <c r="L179">
        <v>441</v>
      </c>
      <c r="M179" s="16">
        <v>0.23915658289734801</v>
      </c>
      <c r="N179">
        <v>441</v>
      </c>
      <c r="O179" s="16">
        <v>0.212520528649634</v>
      </c>
      <c r="P179">
        <v>441</v>
      </c>
      <c r="Q179" s="16">
        <v>0.45447050764610097</v>
      </c>
      <c r="R179">
        <v>430</v>
      </c>
      <c r="S179" s="16">
        <v>0.112607724346137</v>
      </c>
      <c r="T179">
        <v>219</v>
      </c>
      <c r="U179" s="16">
        <v>8.4462389356417006E-2</v>
      </c>
      <c r="V179">
        <v>219</v>
      </c>
      <c r="W179" s="16">
        <v>0.19232757430320499</v>
      </c>
      <c r="X179">
        <v>219</v>
      </c>
      <c r="Y179" s="16">
        <v>0.144728508902527</v>
      </c>
      <c r="Z179">
        <v>219</v>
      </c>
      <c r="AA179" s="16">
        <v>0.24498397258558099</v>
      </c>
      <c r="AB179">
        <v>219</v>
      </c>
      <c r="AC179" s="16">
        <v>0.22088983050613401</v>
      </c>
      <c r="AD179">
        <v>219</v>
      </c>
      <c r="AE179" s="16">
        <v>0.48820945349287997</v>
      </c>
      <c r="AF179">
        <v>386</v>
      </c>
      <c r="AG179" s="16">
        <v>9.4843935134680105E-2</v>
      </c>
      <c r="AH179">
        <v>222</v>
      </c>
      <c r="AI179" s="16">
        <v>0.12759032843711299</v>
      </c>
      <c r="AJ179">
        <v>222</v>
      </c>
      <c r="AK179" s="16">
        <v>6.8103701929950702E-2</v>
      </c>
      <c r="AL179">
        <v>222</v>
      </c>
      <c r="AM179" s="16">
        <v>0.27229845446252199</v>
      </c>
      <c r="AN179">
        <v>222</v>
      </c>
      <c r="AO179" s="16">
        <v>0.233199138263013</v>
      </c>
      <c r="AP179">
        <v>222</v>
      </c>
      <c r="AQ179" s="16">
        <v>0.20396444177272199</v>
      </c>
      <c r="AR179" s="11">
        <v>222</v>
      </c>
    </row>
    <row r="180" spans="1:44" outlineLevel="1" x14ac:dyDescent="0.25">
      <c r="A180" s="6" t="s">
        <v>15</v>
      </c>
      <c r="B180" t="s">
        <v>165</v>
      </c>
      <c r="C180" s="16">
        <v>0.61327546426368296</v>
      </c>
      <c r="D180">
        <v>159</v>
      </c>
      <c r="E180" s="16"/>
      <c r="G180" s="16"/>
      <c r="I180" s="16">
        <v>1.22665734672715E-2</v>
      </c>
      <c r="J180">
        <v>77</v>
      </c>
      <c r="K180" s="16"/>
      <c r="M180" s="16">
        <v>0.91684149415585003</v>
      </c>
      <c r="N180">
        <v>77</v>
      </c>
      <c r="O180" s="16">
        <v>7.0891932376878394E-2</v>
      </c>
      <c r="P180">
        <v>77</v>
      </c>
      <c r="Q180" s="16">
        <v>0.54278697521394104</v>
      </c>
      <c r="R180">
        <v>81</v>
      </c>
      <c r="S180" s="16"/>
      <c r="U180" s="16"/>
      <c r="W180" s="16"/>
      <c r="Y180" s="16"/>
      <c r="AA180" s="16">
        <v>0.88297438671316297</v>
      </c>
      <c r="AB180">
        <v>35</v>
      </c>
      <c r="AC180" s="16">
        <v>0.117025613286837</v>
      </c>
      <c r="AD180">
        <v>35</v>
      </c>
      <c r="AE180" s="16">
        <v>0.67337443783717899</v>
      </c>
      <c r="AF180">
        <v>78</v>
      </c>
      <c r="AG180" s="16"/>
      <c r="AI180" s="16"/>
      <c r="AK180" s="16">
        <v>2.0581712026899599E-2</v>
      </c>
      <c r="AL180">
        <v>42</v>
      </c>
      <c r="AM180" s="16"/>
      <c r="AO180" s="16">
        <v>0.93979898034799003</v>
      </c>
      <c r="AP180">
        <v>42</v>
      </c>
      <c r="AQ180" s="16">
        <v>3.9619307625109998E-2</v>
      </c>
      <c r="AR180" s="11">
        <v>42</v>
      </c>
    </row>
    <row r="181" spans="1:44" outlineLevel="1" x14ac:dyDescent="0.25">
      <c r="A181" s="6" t="s">
        <v>15</v>
      </c>
      <c r="B181" t="s">
        <v>166</v>
      </c>
      <c r="C181" s="16">
        <v>0.63897639592324695</v>
      </c>
      <c r="D181">
        <v>660</v>
      </c>
      <c r="E181" s="16"/>
      <c r="G181" s="16">
        <v>1.2123730916007901E-2</v>
      </c>
      <c r="H181">
        <v>357</v>
      </c>
      <c r="I181" s="16">
        <v>5.4297150831822898E-2</v>
      </c>
      <c r="J181">
        <v>357</v>
      </c>
      <c r="K181" s="16">
        <v>1.0781008225860001E-2</v>
      </c>
      <c r="L181">
        <v>357</v>
      </c>
      <c r="M181" s="16">
        <v>0.85322456971347305</v>
      </c>
      <c r="N181">
        <v>357</v>
      </c>
      <c r="O181" s="16">
        <v>6.9573540312835899E-2</v>
      </c>
      <c r="P181">
        <v>357</v>
      </c>
      <c r="Q181" s="16">
        <v>0.62883497102610297</v>
      </c>
      <c r="R181">
        <v>341</v>
      </c>
      <c r="S181" s="16"/>
      <c r="U181" s="16">
        <v>1.04733270389319E-2</v>
      </c>
      <c r="V181">
        <v>175</v>
      </c>
      <c r="W181" s="16">
        <v>5.5529258147415397E-2</v>
      </c>
      <c r="X181">
        <v>175</v>
      </c>
      <c r="Y181" s="16">
        <v>1.3328633260982801E-2</v>
      </c>
      <c r="Z181">
        <v>175</v>
      </c>
      <c r="AA181" s="16">
        <v>0.85385165291020104</v>
      </c>
      <c r="AB181">
        <v>175</v>
      </c>
      <c r="AC181" s="16">
        <v>6.6817128642468804E-2</v>
      </c>
      <c r="AD181">
        <v>175</v>
      </c>
      <c r="AE181" s="16">
        <v>0.65068672443526099</v>
      </c>
      <c r="AF181">
        <v>319</v>
      </c>
      <c r="AG181" s="16"/>
      <c r="AI181" s="16">
        <v>1.40515617593752E-2</v>
      </c>
      <c r="AJ181">
        <v>182</v>
      </c>
      <c r="AK181" s="16">
        <v>5.28579307001142E-2</v>
      </c>
      <c r="AL181">
        <v>182</v>
      </c>
      <c r="AM181" s="16">
        <v>7.8051365690713801E-3</v>
      </c>
      <c r="AN181">
        <v>182</v>
      </c>
      <c r="AO181" s="16">
        <v>0.85249207608279298</v>
      </c>
      <c r="AP181">
        <v>182</v>
      </c>
      <c r="AQ181" s="16">
        <v>7.2793294888646595E-2</v>
      </c>
      <c r="AR181" s="11">
        <v>182</v>
      </c>
    </row>
    <row r="182" spans="1:44" outlineLevel="1" x14ac:dyDescent="0.25">
      <c r="A182" s="6" t="s">
        <v>15</v>
      </c>
      <c r="B182" t="s">
        <v>167</v>
      </c>
      <c r="C182" s="16">
        <v>0.53463719862494796</v>
      </c>
      <c r="D182">
        <v>807</v>
      </c>
      <c r="E182" s="16"/>
      <c r="G182" s="16">
        <v>2.9437012811853202E-3</v>
      </c>
      <c r="H182">
        <v>342</v>
      </c>
      <c r="I182" s="16">
        <v>7.0019644722999199E-3</v>
      </c>
      <c r="J182">
        <v>342</v>
      </c>
      <c r="K182" s="16">
        <v>3.8346540961875599E-3</v>
      </c>
      <c r="L182">
        <v>342</v>
      </c>
      <c r="M182" s="16">
        <v>0.89527369831652304</v>
      </c>
      <c r="N182">
        <v>342</v>
      </c>
      <c r="O182" s="16">
        <v>9.0945981833804104E-2</v>
      </c>
      <c r="P182">
        <v>342</v>
      </c>
      <c r="Q182" s="16">
        <v>0.49770348030071199</v>
      </c>
      <c r="R182">
        <v>394</v>
      </c>
      <c r="S182" s="16"/>
      <c r="U182" s="16">
        <v>6.8232394490206402E-3</v>
      </c>
      <c r="V182">
        <v>166</v>
      </c>
      <c r="W182" s="16">
        <v>9.1595197356305492E-3</v>
      </c>
      <c r="X182">
        <v>166</v>
      </c>
      <c r="Y182" s="16"/>
      <c r="AA182" s="16">
        <v>0.87610421206928302</v>
      </c>
      <c r="AB182">
        <v>166</v>
      </c>
      <c r="AC182" s="16">
        <v>0.10791302874606599</v>
      </c>
      <c r="AD182">
        <v>166</v>
      </c>
      <c r="AE182" s="16">
        <v>0.568940421660589</v>
      </c>
      <c r="AF182">
        <v>413</v>
      </c>
      <c r="AG182" s="16"/>
      <c r="AI182" s="16"/>
      <c r="AK182" s="16">
        <v>5.3648628591359297E-3</v>
      </c>
      <c r="AL182">
        <v>176</v>
      </c>
      <c r="AM182" s="16">
        <v>6.7442984114407696E-3</v>
      </c>
      <c r="AN182">
        <v>176</v>
      </c>
      <c r="AO182" s="16">
        <v>0.90981904850627304</v>
      </c>
      <c r="AP182">
        <v>176</v>
      </c>
      <c r="AQ182" s="16">
        <v>7.80717902231505E-2</v>
      </c>
      <c r="AR182" s="11">
        <v>176</v>
      </c>
    </row>
    <row r="183" spans="1:44" outlineLevel="1" x14ac:dyDescent="0.25">
      <c r="A183" s="7" t="s">
        <v>15</v>
      </c>
      <c r="B183" s="9" t="s">
        <v>168</v>
      </c>
      <c r="C183" s="15">
        <v>0.740566068981095</v>
      </c>
      <c r="D183" s="9">
        <v>446</v>
      </c>
      <c r="E183" s="15">
        <v>5.00699876437634E-2</v>
      </c>
      <c r="F183" s="9">
        <v>306</v>
      </c>
      <c r="G183" s="15">
        <v>4.3783813068277597E-2</v>
      </c>
      <c r="H183" s="9">
        <v>306</v>
      </c>
      <c r="I183" s="15">
        <v>6.9058844445668496E-2</v>
      </c>
      <c r="J183" s="9">
        <v>306</v>
      </c>
      <c r="K183" s="15">
        <v>0.126195484145503</v>
      </c>
      <c r="L183" s="9">
        <v>306</v>
      </c>
      <c r="M183" s="15">
        <v>0.51588857759366402</v>
      </c>
      <c r="N183" s="9">
        <v>306</v>
      </c>
      <c r="O183" s="15">
        <v>0.195003293103123</v>
      </c>
      <c r="P183" s="9">
        <v>306</v>
      </c>
      <c r="Q183" s="15">
        <v>0.70690058580265103</v>
      </c>
      <c r="R183" s="9">
        <v>245</v>
      </c>
      <c r="S183" s="15">
        <v>4.6991558040830501E-2</v>
      </c>
      <c r="T183" s="9">
        <v>155</v>
      </c>
      <c r="U183" s="15">
        <v>3.9763041724116897E-2</v>
      </c>
      <c r="V183" s="9">
        <v>155</v>
      </c>
      <c r="W183" s="15">
        <v>6.0005242359368098E-2</v>
      </c>
      <c r="X183" s="9">
        <v>155</v>
      </c>
      <c r="Y183" s="15">
        <v>0.104272740792486</v>
      </c>
      <c r="Z183" s="9">
        <v>155</v>
      </c>
      <c r="AA183" s="15">
        <v>0.54705770525389896</v>
      </c>
      <c r="AB183" s="9">
        <v>155</v>
      </c>
      <c r="AC183" s="15">
        <v>0.20190971182929901</v>
      </c>
      <c r="AD183" s="9">
        <v>155</v>
      </c>
      <c r="AE183" s="15">
        <v>0.78526727277881503</v>
      </c>
      <c r="AF183" s="9">
        <v>200</v>
      </c>
      <c r="AG183" s="15">
        <v>5.3661559253089103E-2</v>
      </c>
      <c r="AH183" s="9">
        <v>150</v>
      </c>
      <c r="AI183" s="15">
        <v>4.8470450842551402E-2</v>
      </c>
      <c r="AJ183" s="9">
        <v>150</v>
      </c>
      <c r="AK183" s="15">
        <v>7.9605834272173895E-2</v>
      </c>
      <c r="AL183" s="9">
        <v>150</v>
      </c>
      <c r="AM183" s="15">
        <v>0.15152465425283701</v>
      </c>
      <c r="AN183" s="9">
        <v>150</v>
      </c>
      <c r="AO183" s="15">
        <v>0.47972994054298201</v>
      </c>
      <c r="AP183" s="9">
        <v>150</v>
      </c>
      <c r="AQ183" s="15">
        <v>0.18700756083636599</v>
      </c>
      <c r="AR183" s="12">
        <v>150</v>
      </c>
    </row>
    <row r="184" spans="1:44" x14ac:dyDescent="0.25">
      <c r="C184" s="16"/>
      <c r="E184" s="16"/>
      <c r="G184" s="16"/>
      <c r="I184" s="16"/>
      <c r="K184" s="16"/>
      <c r="M184" s="16"/>
      <c r="O184" s="16"/>
      <c r="Q184" s="16"/>
      <c r="S184" s="16"/>
      <c r="U184" s="16"/>
      <c r="W184" s="16"/>
      <c r="Y184" s="16"/>
      <c r="AA184" s="16"/>
      <c r="AC184" s="16"/>
      <c r="AE184" s="16"/>
      <c r="AG184" s="16"/>
      <c r="AI184" s="16"/>
      <c r="AK184" s="16"/>
      <c r="AM184" s="16"/>
      <c r="AO184" s="16"/>
      <c r="AQ184" s="16"/>
    </row>
    <row r="185" spans="1:44" x14ac:dyDescent="0.25">
      <c r="C185" s="16"/>
      <c r="E185" s="16"/>
      <c r="G185" s="16"/>
      <c r="I185" s="16"/>
      <c r="K185" s="16"/>
      <c r="M185" s="16"/>
      <c r="O185" s="16"/>
      <c r="Q185" s="16"/>
      <c r="S185" s="16"/>
      <c r="U185" s="16"/>
      <c r="W185" s="16"/>
      <c r="Y185" s="16"/>
      <c r="AA185" s="16"/>
      <c r="AC185" s="16"/>
      <c r="AE185" s="16"/>
      <c r="AG185" s="16"/>
      <c r="AI185" s="16"/>
      <c r="AK185" s="16"/>
      <c r="AM185" s="16"/>
      <c r="AO185" s="16"/>
      <c r="AQ185" s="16"/>
    </row>
  </sheetData>
  <mergeCells count="44">
    <mergeCell ref="A167:AR167"/>
    <mergeCell ref="A130:AR130"/>
    <mergeCell ref="A137:AR137"/>
    <mergeCell ref="A142:AR142"/>
    <mergeCell ref="A147:AR147"/>
    <mergeCell ref="A157:AR157"/>
    <mergeCell ref="A86:AR86"/>
    <mergeCell ref="A96:AR96"/>
    <mergeCell ref="A101:AR101"/>
    <mergeCell ref="A118:AR118"/>
    <mergeCell ref="A124:AR124"/>
    <mergeCell ref="A6:AR6"/>
    <mergeCell ref="A9:AR9"/>
    <mergeCell ref="A15:AR15"/>
    <mergeCell ref="A35:AR35"/>
    <mergeCell ref="A80:AR80"/>
    <mergeCell ref="AI4:AJ4"/>
    <mergeCell ref="AK4:AL4"/>
    <mergeCell ref="AM4:AN4"/>
    <mergeCell ref="AO4:AP4"/>
    <mergeCell ref="AQ4:AR4"/>
    <mergeCell ref="Y4:Z4"/>
    <mergeCell ref="AA4:AB4"/>
    <mergeCell ref="AC4:AD4"/>
    <mergeCell ref="Q4:R4"/>
    <mergeCell ref="AG4:AH4"/>
    <mergeCell ref="AE4:AF4"/>
    <mergeCell ref="O4:P4"/>
    <mergeCell ref="C4:D4"/>
    <mergeCell ref="S4:T4"/>
    <mergeCell ref="U4:V4"/>
    <mergeCell ref="W4:X4"/>
    <mergeCell ref="E4:F4"/>
    <mergeCell ref="G4:H4"/>
    <mergeCell ref="I4:J4"/>
    <mergeCell ref="K4:L4"/>
    <mergeCell ref="M4:N4"/>
    <mergeCell ref="A1:AR1"/>
    <mergeCell ref="C2:P2"/>
    <mergeCell ref="Q2:AD2"/>
    <mergeCell ref="AE2:AR2"/>
    <mergeCell ref="E3:P3"/>
    <mergeCell ref="S3:AD3"/>
    <mergeCell ref="AG3:AR3"/>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76"/>
  <sheetViews>
    <sheetView showGridLines="0" topLeftCell="A58" workbookViewId="0">
      <selection activeCell="E5" sqref="E1:E1048576"/>
    </sheetView>
  </sheetViews>
  <sheetFormatPr defaultColWidth="11.42578125" defaultRowHeight="15" outlineLevelRow="1" x14ac:dyDescent="0.25"/>
  <sheetData>
    <row r="1" spans="1:20" x14ac:dyDescent="0.25">
      <c r="A1" s="18" t="s">
        <v>182</v>
      </c>
      <c r="B1" s="18"/>
      <c r="C1" s="18"/>
      <c r="D1" s="18"/>
      <c r="E1" s="18"/>
      <c r="F1" s="18"/>
      <c r="G1" s="18"/>
      <c r="H1" s="18"/>
      <c r="I1" s="18"/>
      <c r="J1" s="18"/>
      <c r="K1" s="18"/>
      <c r="L1" s="18"/>
      <c r="M1" s="18"/>
      <c r="N1" s="18"/>
      <c r="O1" s="18"/>
      <c r="P1" s="18"/>
      <c r="Q1" s="18"/>
      <c r="R1" s="18"/>
      <c r="S1" s="18"/>
      <c r="T1" s="18"/>
    </row>
    <row r="2" spans="1:20" x14ac:dyDescent="0.25">
      <c r="C2" s="19" t="s">
        <v>2</v>
      </c>
      <c r="D2" s="19"/>
      <c r="E2" s="19"/>
      <c r="F2" s="19"/>
      <c r="G2" s="19"/>
      <c r="H2" s="19"/>
      <c r="I2" s="19" t="s">
        <v>3</v>
      </c>
      <c r="J2" s="19"/>
      <c r="K2" s="19"/>
      <c r="L2" s="19"/>
      <c r="M2" s="19"/>
      <c r="N2" s="19"/>
      <c r="O2" s="19" t="s">
        <v>4</v>
      </c>
      <c r="P2" s="19"/>
      <c r="Q2" s="19"/>
      <c r="R2" s="19"/>
      <c r="S2" s="19"/>
      <c r="T2" s="19"/>
    </row>
    <row r="3" spans="1:20" x14ac:dyDescent="0.25">
      <c r="E3" s="19" t="s">
        <v>183</v>
      </c>
      <c r="F3" s="19"/>
      <c r="G3" s="19"/>
      <c r="H3" s="19"/>
      <c r="K3" s="19" t="s">
        <v>183</v>
      </c>
      <c r="L3" s="19"/>
      <c r="M3" s="19"/>
      <c r="N3" s="19"/>
      <c r="Q3" s="19" t="s">
        <v>183</v>
      </c>
      <c r="R3" s="19"/>
      <c r="S3" s="19"/>
      <c r="T3" s="19"/>
    </row>
    <row r="4" spans="1:20" x14ac:dyDescent="0.25">
      <c r="C4" s="19" t="s">
        <v>10</v>
      </c>
      <c r="D4" s="19"/>
      <c r="E4" s="19" t="s">
        <v>184</v>
      </c>
      <c r="F4" s="19"/>
      <c r="G4" s="19" t="s">
        <v>185</v>
      </c>
      <c r="H4" s="19"/>
      <c r="I4" s="19" t="s">
        <v>10</v>
      </c>
      <c r="J4" s="19"/>
      <c r="K4" s="19" t="s">
        <v>184</v>
      </c>
      <c r="L4" s="19"/>
      <c r="M4" s="19" t="s">
        <v>185</v>
      </c>
      <c r="N4" s="19"/>
      <c r="O4" s="19" t="s">
        <v>10</v>
      </c>
      <c r="P4" s="19"/>
      <c r="Q4" s="19" t="s">
        <v>184</v>
      </c>
      <c r="R4" s="19"/>
      <c r="S4" s="19" t="s">
        <v>185</v>
      </c>
      <c r="T4" s="19"/>
    </row>
    <row r="5" spans="1:20" x14ac:dyDescent="0.25">
      <c r="A5" s="1" t="s">
        <v>11</v>
      </c>
      <c r="B5" s="1" t="s">
        <v>12</v>
      </c>
      <c r="C5" s="1" t="s">
        <v>13</v>
      </c>
      <c r="D5" s="1" t="s">
        <v>14</v>
      </c>
      <c r="E5" s="1" t="s">
        <v>13</v>
      </c>
      <c r="F5" s="1" t="s">
        <v>14</v>
      </c>
      <c r="G5" s="1" t="s">
        <v>13</v>
      </c>
      <c r="H5" s="1" t="s">
        <v>14</v>
      </c>
      <c r="I5" s="1" t="s">
        <v>13</v>
      </c>
      <c r="J5" s="1" t="s">
        <v>14</v>
      </c>
      <c r="K5" s="1" t="s">
        <v>13</v>
      </c>
      <c r="L5" s="1" t="s">
        <v>14</v>
      </c>
      <c r="M5" s="1" t="s">
        <v>13</v>
      </c>
      <c r="N5" s="1" t="s">
        <v>14</v>
      </c>
      <c r="O5" s="1" t="s">
        <v>13</v>
      </c>
      <c r="P5" s="1" t="s">
        <v>14</v>
      </c>
      <c r="Q5" s="1" t="s">
        <v>13</v>
      </c>
      <c r="R5" s="1" t="s">
        <v>14</v>
      </c>
      <c r="S5" s="1" t="s">
        <v>13</v>
      </c>
      <c r="T5" s="1" t="s">
        <v>14</v>
      </c>
    </row>
    <row r="6" spans="1:20" x14ac:dyDescent="0.25">
      <c r="A6" s="19" t="s">
        <v>16</v>
      </c>
      <c r="B6" s="19"/>
      <c r="C6" s="20"/>
      <c r="D6" s="19"/>
      <c r="E6" s="20"/>
      <c r="F6" s="19"/>
      <c r="G6" s="20"/>
      <c r="H6" s="19"/>
      <c r="I6" s="20"/>
      <c r="J6" s="19"/>
      <c r="K6" s="20"/>
      <c r="L6" s="19"/>
      <c r="M6" s="20"/>
      <c r="N6" s="19"/>
      <c r="O6" s="20"/>
      <c r="P6" s="19"/>
      <c r="Q6" s="20"/>
      <c r="R6" s="19"/>
      <c r="S6" s="20"/>
      <c r="T6" s="19"/>
    </row>
    <row r="7" spans="1:20" outlineLevel="1" x14ac:dyDescent="0.25">
      <c r="A7" s="2" t="s">
        <v>15</v>
      </c>
      <c r="B7" s="3" t="s">
        <v>17</v>
      </c>
      <c r="C7" s="13">
        <v>0.73765210182271801</v>
      </c>
      <c r="D7" s="3">
        <v>625</v>
      </c>
      <c r="E7" s="13">
        <v>0.73228679089764503</v>
      </c>
      <c r="F7" s="3">
        <v>624</v>
      </c>
      <c r="G7" s="13">
        <v>0.41114361689923101</v>
      </c>
      <c r="H7" s="3">
        <v>624</v>
      </c>
      <c r="I7" s="13">
        <v>0.70752550025543304</v>
      </c>
      <c r="J7" s="3">
        <v>290</v>
      </c>
      <c r="K7" s="13">
        <v>0.70752550025543304</v>
      </c>
      <c r="L7" s="3">
        <v>290</v>
      </c>
      <c r="M7" s="13">
        <v>0.415080107062337</v>
      </c>
      <c r="N7" s="3">
        <v>290</v>
      </c>
      <c r="O7" s="13">
        <v>0.76341405892609804</v>
      </c>
      <c r="P7" s="3">
        <v>334</v>
      </c>
      <c r="Q7" s="13">
        <v>0.75402922133334505</v>
      </c>
      <c r="R7" s="3">
        <v>333</v>
      </c>
      <c r="S7" s="13">
        <v>0.40830035172014401</v>
      </c>
      <c r="T7" s="4">
        <v>333</v>
      </c>
    </row>
    <row r="8" spans="1:20" x14ac:dyDescent="0.25">
      <c r="C8" s="16"/>
      <c r="E8" s="16"/>
      <c r="G8" s="16"/>
      <c r="I8" s="16"/>
      <c r="K8" s="16"/>
      <c r="M8" s="16"/>
      <c r="O8" s="16"/>
      <c r="Q8" s="16"/>
      <c r="S8" s="16"/>
    </row>
    <row r="9" spans="1:20" x14ac:dyDescent="0.25">
      <c r="A9" s="19" t="s">
        <v>21</v>
      </c>
      <c r="B9" s="19"/>
      <c r="C9" s="20"/>
      <c r="D9" s="19"/>
      <c r="E9" s="20"/>
      <c r="F9" s="19"/>
      <c r="G9" s="20"/>
      <c r="H9" s="19"/>
      <c r="I9" s="20"/>
      <c r="J9" s="19"/>
      <c r="K9" s="20"/>
      <c r="L9" s="19"/>
      <c r="M9" s="20"/>
      <c r="N9" s="19"/>
      <c r="O9" s="20"/>
      <c r="P9" s="19"/>
      <c r="Q9" s="20"/>
      <c r="R9" s="19"/>
      <c r="S9" s="20"/>
      <c r="T9" s="19"/>
    </row>
    <row r="10" spans="1:20" outlineLevel="1" x14ac:dyDescent="0.25">
      <c r="A10" s="5" t="s">
        <v>15</v>
      </c>
      <c r="B10" s="8" t="s">
        <v>22</v>
      </c>
      <c r="C10" s="14">
        <v>1</v>
      </c>
      <c r="D10" s="8">
        <v>6</v>
      </c>
      <c r="E10" s="14">
        <v>1</v>
      </c>
      <c r="F10" s="8">
        <v>6</v>
      </c>
      <c r="G10" s="14">
        <v>0.82965875728966099</v>
      </c>
      <c r="H10" s="8">
        <v>6</v>
      </c>
      <c r="I10" s="14">
        <v>1</v>
      </c>
      <c r="J10" s="8">
        <v>3</v>
      </c>
      <c r="K10" s="14">
        <v>1</v>
      </c>
      <c r="L10" s="8">
        <v>3</v>
      </c>
      <c r="M10" s="14">
        <v>1</v>
      </c>
      <c r="N10" s="8">
        <v>3</v>
      </c>
      <c r="O10" s="14">
        <v>1</v>
      </c>
      <c r="P10" s="8">
        <v>3</v>
      </c>
      <c r="Q10" s="14">
        <v>1</v>
      </c>
      <c r="R10" s="8">
        <v>3</v>
      </c>
      <c r="S10" s="14">
        <v>0.65802173749345005</v>
      </c>
      <c r="T10" s="10">
        <v>3</v>
      </c>
    </row>
    <row r="11" spans="1:20" outlineLevel="1" x14ac:dyDescent="0.25">
      <c r="A11" s="6" t="s">
        <v>15</v>
      </c>
      <c r="B11" t="s">
        <v>23</v>
      </c>
      <c r="C11" s="16">
        <v>0.86718398567389399</v>
      </c>
      <c r="D11">
        <v>38</v>
      </c>
      <c r="E11" s="16">
        <v>0.86718398567389399</v>
      </c>
      <c r="F11">
        <v>38</v>
      </c>
      <c r="G11" s="16">
        <v>0.533071423171532</v>
      </c>
      <c r="H11">
        <v>38</v>
      </c>
      <c r="I11" s="16">
        <v>0.88235131288973501</v>
      </c>
      <c r="J11">
        <v>21</v>
      </c>
      <c r="K11" s="16">
        <v>0.88235131288973501</v>
      </c>
      <c r="L11">
        <v>21</v>
      </c>
      <c r="M11" s="16">
        <v>0.33574206366579301</v>
      </c>
      <c r="N11">
        <v>21</v>
      </c>
      <c r="O11" s="16">
        <v>0.84512225531410401</v>
      </c>
      <c r="P11">
        <v>17</v>
      </c>
      <c r="Q11" s="16">
        <v>0.84512225531410401</v>
      </c>
      <c r="R11">
        <v>17</v>
      </c>
      <c r="S11" s="16">
        <v>0.82009807325522499</v>
      </c>
      <c r="T11" s="11">
        <v>17</v>
      </c>
    </row>
    <row r="12" spans="1:20" outlineLevel="1" x14ac:dyDescent="0.25">
      <c r="A12" s="6" t="s">
        <v>15</v>
      </c>
      <c r="B12" t="s">
        <v>24</v>
      </c>
      <c r="C12" s="16">
        <v>1</v>
      </c>
      <c r="D12">
        <v>9</v>
      </c>
      <c r="E12" s="16">
        <v>1</v>
      </c>
      <c r="F12">
        <v>9</v>
      </c>
      <c r="G12" s="16">
        <v>0.55285678265759697</v>
      </c>
      <c r="H12">
        <v>9</v>
      </c>
      <c r="I12" s="16">
        <v>1</v>
      </c>
      <c r="J12">
        <v>2</v>
      </c>
      <c r="K12" s="16">
        <v>1</v>
      </c>
      <c r="L12">
        <v>2</v>
      </c>
      <c r="M12" s="16"/>
      <c r="O12" s="16">
        <v>1</v>
      </c>
      <c r="P12">
        <v>7</v>
      </c>
      <c r="Q12" s="16">
        <v>1</v>
      </c>
      <c r="R12">
        <v>7</v>
      </c>
      <c r="S12" s="16">
        <v>0.70910300668925896</v>
      </c>
      <c r="T12" s="11">
        <v>7</v>
      </c>
    </row>
    <row r="13" spans="1:20" outlineLevel="1" x14ac:dyDescent="0.25">
      <c r="A13" s="6" t="s">
        <v>15</v>
      </c>
      <c r="B13" t="s">
        <v>25</v>
      </c>
      <c r="C13" s="16">
        <v>0.42445798966003201</v>
      </c>
      <c r="D13">
        <v>57</v>
      </c>
      <c r="E13" s="16">
        <v>0.42445798966003201</v>
      </c>
      <c r="F13">
        <v>57</v>
      </c>
      <c r="G13" s="16">
        <v>0.304833727234531</v>
      </c>
      <c r="H13">
        <v>57</v>
      </c>
      <c r="I13" s="16">
        <v>0.34547107252716402</v>
      </c>
      <c r="J13">
        <v>25</v>
      </c>
      <c r="K13" s="16">
        <v>0.34547107252716402</v>
      </c>
      <c r="L13">
        <v>25</v>
      </c>
      <c r="M13" s="16">
        <v>0.19503840562420999</v>
      </c>
      <c r="N13">
        <v>25</v>
      </c>
      <c r="O13" s="16">
        <v>0.50458926647344204</v>
      </c>
      <c r="P13">
        <v>32</v>
      </c>
      <c r="Q13" s="16">
        <v>0.50458926647344204</v>
      </c>
      <c r="R13">
        <v>32</v>
      </c>
      <c r="S13" s="16">
        <v>0.41621975960713797</v>
      </c>
      <c r="T13" s="11">
        <v>32</v>
      </c>
    </row>
    <row r="14" spans="1:20" outlineLevel="1" x14ac:dyDescent="0.25">
      <c r="A14" s="6" t="s">
        <v>15</v>
      </c>
      <c r="B14" t="s">
        <v>26</v>
      </c>
      <c r="C14" s="16">
        <v>0.76983979616957099</v>
      </c>
      <c r="D14">
        <v>41</v>
      </c>
      <c r="E14" s="16">
        <v>0.76983979616957099</v>
      </c>
      <c r="F14">
        <v>41</v>
      </c>
      <c r="G14" s="16">
        <v>0.43869569767487199</v>
      </c>
      <c r="H14">
        <v>41</v>
      </c>
      <c r="I14" s="16">
        <v>0.95746357086088896</v>
      </c>
      <c r="J14">
        <v>23</v>
      </c>
      <c r="K14" s="16">
        <v>0.95746357086088896</v>
      </c>
      <c r="L14">
        <v>23</v>
      </c>
      <c r="M14" s="16">
        <v>0.62487079246568999</v>
      </c>
      <c r="N14">
        <v>23</v>
      </c>
      <c r="O14" s="16">
        <v>0.66365757813244397</v>
      </c>
      <c r="P14">
        <v>18</v>
      </c>
      <c r="Q14" s="16">
        <v>0.66365757813244397</v>
      </c>
      <c r="R14">
        <v>18</v>
      </c>
      <c r="S14" s="16">
        <v>0.33333333333333298</v>
      </c>
      <c r="T14" s="11">
        <v>18</v>
      </c>
    </row>
    <row r="15" spans="1:20" outlineLevel="1" x14ac:dyDescent="0.25">
      <c r="A15" s="6" t="s">
        <v>15</v>
      </c>
      <c r="B15" t="s">
        <v>27</v>
      </c>
      <c r="C15" s="16">
        <v>0.36529840261609098</v>
      </c>
      <c r="D15">
        <v>64</v>
      </c>
      <c r="E15" s="16">
        <v>0.36529840261609098</v>
      </c>
      <c r="F15">
        <v>64</v>
      </c>
      <c r="G15" s="16">
        <v>0.26151787284855799</v>
      </c>
      <c r="H15">
        <v>64</v>
      </c>
      <c r="I15" s="16">
        <v>0.32699319378577102</v>
      </c>
      <c r="J15">
        <v>29</v>
      </c>
      <c r="K15" s="16">
        <v>0.32699319378577102</v>
      </c>
      <c r="L15">
        <v>29</v>
      </c>
      <c r="M15" s="16">
        <v>0.30051639650747403</v>
      </c>
      <c r="N15">
        <v>29</v>
      </c>
      <c r="O15" s="16">
        <v>0.39706068456191101</v>
      </c>
      <c r="P15">
        <v>35</v>
      </c>
      <c r="Q15" s="16">
        <v>0.39706068456191101</v>
      </c>
      <c r="R15">
        <v>35</v>
      </c>
      <c r="S15" s="16">
        <v>0.229180701436383</v>
      </c>
      <c r="T15" s="11">
        <v>35</v>
      </c>
    </row>
    <row r="16" spans="1:20" outlineLevel="1" x14ac:dyDescent="0.25">
      <c r="A16" s="6" t="s">
        <v>15</v>
      </c>
      <c r="B16" t="s">
        <v>28</v>
      </c>
      <c r="C16" s="16">
        <v>0.85148650712852503</v>
      </c>
      <c r="D16">
        <v>43</v>
      </c>
      <c r="E16" s="16">
        <v>0.85148650712852503</v>
      </c>
      <c r="F16">
        <v>43</v>
      </c>
      <c r="G16" s="16">
        <v>0.48493644981063899</v>
      </c>
      <c r="H16">
        <v>43</v>
      </c>
      <c r="I16" s="16">
        <v>0.73995575924738499</v>
      </c>
      <c r="J16">
        <v>21</v>
      </c>
      <c r="K16" s="16">
        <v>0.73995575924738499</v>
      </c>
      <c r="L16">
        <v>21</v>
      </c>
      <c r="M16" s="16">
        <v>0.37608604174469101</v>
      </c>
      <c r="N16">
        <v>21</v>
      </c>
      <c r="O16" s="16">
        <v>0.96429112832417896</v>
      </c>
      <c r="P16">
        <v>22</v>
      </c>
      <c r="Q16" s="16">
        <v>0.96429112832417896</v>
      </c>
      <c r="R16">
        <v>22</v>
      </c>
      <c r="S16" s="16">
        <v>0.59503011709203701</v>
      </c>
      <c r="T16" s="11">
        <v>22</v>
      </c>
    </row>
    <row r="17" spans="1:20" outlineLevel="1" x14ac:dyDescent="0.25">
      <c r="A17" s="6" t="s">
        <v>15</v>
      </c>
      <c r="B17" t="s">
        <v>29</v>
      </c>
      <c r="C17" s="16">
        <v>0.48790197151384901</v>
      </c>
      <c r="D17">
        <v>24</v>
      </c>
      <c r="E17" s="16">
        <v>0.48790197151384901</v>
      </c>
      <c r="F17">
        <v>24</v>
      </c>
      <c r="G17" s="16">
        <v>0.366271500783728</v>
      </c>
      <c r="H17">
        <v>24</v>
      </c>
      <c r="I17" s="16">
        <v>0.49567469129597103</v>
      </c>
      <c r="J17">
        <v>13</v>
      </c>
      <c r="K17" s="16">
        <v>0.49567469129597103</v>
      </c>
      <c r="L17">
        <v>13</v>
      </c>
      <c r="M17" s="16">
        <v>0.49567469129597103</v>
      </c>
      <c r="N17">
        <v>13</v>
      </c>
      <c r="O17" s="16">
        <v>0.466215722956277</v>
      </c>
      <c r="P17">
        <v>11</v>
      </c>
      <c r="Q17" s="16">
        <v>0.466215722956277</v>
      </c>
      <c r="R17">
        <v>11</v>
      </c>
      <c r="S17" s="16">
        <v>5.23059975369512E-3</v>
      </c>
      <c r="T17" s="11">
        <v>11</v>
      </c>
    </row>
    <row r="18" spans="1:20" outlineLevel="1" x14ac:dyDescent="0.25">
      <c r="A18" s="6" t="s">
        <v>15</v>
      </c>
      <c r="B18" t="s">
        <v>30</v>
      </c>
      <c r="C18" s="16">
        <v>1</v>
      </c>
      <c r="D18">
        <v>12</v>
      </c>
      <c r="E18" s="16">
        <v>1</v>
      </c>
      <c r="F18">
        <v>11</v>
      </c>
      <c r="G18" s="16">
        <v>0.54545454545454497</v>
      </c>
      <c r="H18">
        <v>11</v>
      </c>
      <c r="I18" s="16">
        <v>1</v>
      </c>
      <c r="J18">
        <v>6</v>
      </c>
      <c r="K18" s="16">
        <v>1</v>
      </c>
      <c r="L18">
        <v>6</v>
      </c>
      <c r="M18" s="16">
        <v>0.66666666666666696</v>
      </c>
      <c r="N18">
        <v>6</v>
      </c>
      <c r="O18" s="16">
        <v>1</v>
      </c>
      <c r="P18">
        <v>6</v>
      </c>
      <c r="Q18" s="16">
        <v>1</v>
      </c>
      <c r="R18">
        <v>5</v>
      </c>
      <c r="S18" s="16">
        <v>0.4</v>
      </c>
      <c r="T18" s="11">
        <v>5</v>
      </c>
    </row>
    <row r="19" spans="1:20" outlineLevel="1" x14ac:dyDescent="0.25">
      <c r="A19" s="6" t="s">
        <v>15</v>
      </c>
      <c r="B19" t="s">
        <v>31</v>
      </c>
      <c r="C19" s="16">
        <v>0.98598498610859497</v>
      </c>
      <c r="D19">
        <v>40</v>
      </c>
      <c r="E19" s="16">
        <v>0.98598498610859497</v>
      </c>
      <c r="F19">
        <v>40</v>
      </c>
      <c r="G19" s="16">
        <v>0.50736241630801404</v>
      </c>
      <c r="H19">
        <v>40</v>
      </c>
      <c r="I19" s="16">
        <v>0.99027014499891797</v>
      </c>
      <c r="J19">
        <v>21</v>
      </c>
      <c r="K19" s="16">
        <v>0.99027014499891797</v>
      </c>
      <c r="L19">
        <v>21</v>
      </c>
      <c r="M19" s="16">
        <v>0.22713900192605899</v>
      </c>
      <c r="N19">
        <v>21</v>
      </c>
      <c r="O19" s="16">
        <v>0.98238546020114703</v>
      </c>
      <c r="P19">
        <v>19</v>
      </c>
      <c r="Q19" s="16">
        <v>0.98238546020114703</v>
      </c>
      <c r="R19">
        <v>19</v>
      </c>
      <c r="S19" s="16">
        <v>0.74274958998296603</v>
      </c>
      <c r="T19" s="11">
        <v>19</v>
      </c>
    </row>
    <row r="20" spans="1:20" outlineLevel="1" x14ac:dyDescent="0.25">
      <c r="A20" s="6" t="s">
        <v>15</v>
      </c>
      <c r="B20" t="s">
        <v>32</v>
      </c>
      <c r="C20" s="16">
        <v>0.86666666666666703</v>
      </c>
      <c r="D20">
        <v>15</v>
      </c>
      <c r="E20" s="16">
        <v>0.86666666666666703</v>
      </c>
      <c r="F20">
        <v>15</v>
      </c>
      <c r="G20" s="16">
        <v>0.2</v>
      </c>
      <c r="H20">
        <v>15</v>
      </c>
      <c r="I20" s="16">
        <v>0.75</v>
      </c>
      <c r="J20">
        <v>8</v>
      </c>
      <c r="K20" s="16">
        <v>0.75</v>
      </c>
      <c r="L20">
        <v>8</v>
      </c>
      <c r="M20" s="16">
        <v>0.125</v>
      </c>
      <c r="N20">
        <v>8</v>
      </c>
      <c r="O20" s="16">
        <v>1</v>
      </c>
      <c r="P20">
        <v>7</v>
      </c>
      <c r="Q20" s="16">
        <v>1</v>
      </c>
      <c r="R20">
        <v>7</v>
      </c>
      <c r="S20" s="16">
        <v>0.28571428571428598</v>
      </c>
      <c r="T20" s="11">
        <v>7</v>
      </c>
    </row>
    <row r="21" spans="1:20" outlineLevel="1" x14ac:dyDescent="0.25">
      <c r="A21" s="6" t="s">
        <v>15</v>
      </c>
      <c r="B21" t="s">
        <v>33</v>
      </c>
      <c r="C21" s="16">
        <v>0.43909890048468903</v>
      </c>
      <c r="D21">
        <v>89</v>
      </c>
      <c r="E21" s="16">
        <v>0.43909890048468903</v>
      </c>
      <c r="F21">
        <v>89</v>
      </c>
      <c r="G21" s="16">
        <v>0.22726399936107899</v>
      </c>
      <c r="H21">
        <v>89</v>
      </c>
      <c r="I21" s="16">
        <v>0.449553659873759</v>
      </c>
      <c r="J21">
        <v>41</v>
      </c>
      <c r="K21" s="16">
        <v>0.449553659873759</v>
      </c>
      <c r="L21">
        <v>41</v>
      </c>
      <c r="M21" s="16">
        <v>0.25888336551244601</v>
      </c>
      <c r="N21">
        <v>41</v>
      </c>
      <c r="O21" s="16">
        <v>0.43980541624853298</v>
      </c>
      <c r="P21">
        <v>47</v>
      </c>
      <c r="Q21" s="16">
        <v>0.43980541624853298</v>
      </c>
      <c r="R21">
        <v>47</v>
      </c>
      <c r="S21" s="16">
        <v>0.21017589496879599</v>
      </c>
      <c r="T21" s="11">
        <v>47</v>
      </c>
    </row>
    <row r="22" spans="1:20" outlineLevel="1" x14ac:dyDescent="0.25">
      <c r="A22" s="6" t="s">
        <v>15</v>
      </c>
      <c r="B22" t="s">
        <v>34</v>
      </c>
      <c r="C22" s="16">
        <v>0.29901578166151299</v>
      </c>
      <c r="D22">
        <v>51</v>
      </c>
      <c r="E22" s="16">
        <v>0.29901578166151299</v>
      </c>
      <c r="F22">
        <v>51</v>
      </c>
      <c r="G22" s="16">
        <v>0.135719919042179</v>
      </c>
      <c r="H22">
        <v>51</v>
      </c>
      <c r="I22" s="16">
        <v>0.37033500753870102</v>
      </c>
      <c r="J22">
        <v>23</v>
      </c>
      <c r="K22" s="16">
        <v>0.37033500753870102</v>
      </c>
      <c r="L22">
        <v>23</v>
      </c>
      <c r="M22" s="16">
        <v>0.16809091801894899</v>
      </c>
      <c r="N22">
        <v>23</v>
      </c>
      <c r="O22" s="16">
        <v>0.21587084039086701</v>
      </c>
      <c r="P22">
        <v>28</v>
      </c>
      <c r="Q22" s="16">
        <v>0.21587084039086701</v>
      </c>
      <c r="R22">
        <v>28</v>
      </c>
      <c r="S22" s="16">
        <v>9.7981360109551302E-2</v>
      </c>
      <c r="T22" s="11">
        <v>28</v>
      </c>
    </row>
    <row r="23" spans="1:20" outlineLevel="1" x14ac:dyDescent="0.25">
      <c r="A23" s="6" t="s">
        <v>15</v>
      </c>
      <c r="B23" t="s">
        <v>35</v>
      </c>
      <c r="C23" s="16">
        <v>0.9</v>
      </c>
      <c r="D23">
        <v>10</v>
      </c>
      <c r="E23" s="16">
        <v>0.9</v>
      </c>
      <c r="F23">
        <v>10</v>
      </c>
      <c r="G23" s="16">
        <v>0.6</v>
      </c>
      <c r="H23">
        <v>10</v>
      </c>
      <c r="I23" s="16">
        <v>1</v>
      </c>
      <c r="J23">
        <v>5</v>
      </c>
      <c r="K23" s="16">
        <v>1</v>
      </c>
      <c r="L23">
        <v>5</v>
      </c>
      <c r="M23" s="16">
        <v>0.4</v>
      </c>
      <c r="N23">
        <v>5</v>
      </c>
      <c r="O23" s="16">
        <v>0.8</v>
      </c>
      <c r="P23">
        <v>5</v>
      </c>
      <c r="Q23" s="16">
        <v>0.8</v>
      </c>
      <c r="R23">
        <v>5</v>
      </c>
      <c r="S23" s="16">
        <v>0.8</v>
      </c>
      <c r="T23" s="11">
        <v>5</v>
      </c>
    </row>
    <row r="24" spans="1:20" outlineLevel="1" x14ac:dyDescent="0.25">
      <c r="A24" s="6" t="s">
        <v>15</v>
      </c>
      <c r="B24" t="s">
        <v>36</v>
      </c>
      <c r="C24" s="16">
        <v>0.60074609186221495</v>
      </c>
      <c r="D24">
        <v>33</v>
      </c>
      <c r="E24" s="16">
        <v>0.60074609186221495</v>
      </c>
      <c r="F24">
        <v>33</v>
      </c>
      <c r="G24" s="16">
        <v>0.523153276648885</v>
      </c>
      <c r="H24">
        <v>33</v>
      </c>
      <c r="I24" s="16">
        <v>0.48669339730142602</v>
      </c>
      <c r="J24">
        <v>16</v>
      </c>
      <c r="K24" s="16">
        <v>0.48669339730142602</v>
      </c>
      <c r="L24">
        <v>16</v>
      </c>
      <c r="M24" s="16">
        <v>0.48669339730142602</v>
      </c>
      <c r="N24">
        <v>16</v>
      </c>
      <c r="O24" s="16">
        <v>0.69867504386089896</v>
      </c>
      <c r="P24">
        <v>17</v>
      </c>
      <c r="Q24" s="16">
        <v>0.69867504386089896</v>
      </c>
      <c r="R24">
        <v>17</v>
      </c>
      <c r="S24" s="16">
        <v>0.55445878668742399</v>
      </c>
      <c r="T24" s="11">
        <v>17</v>
      </c>
    </row>
    <row r="25" spans="1:20" outlineLevel="1" x14ac:dyDescent="0.25">
      <c r="A25" s="6" t="s">
        <v>15</v>
      </c>
      <c r="B25" t="s">
        <v>37</v>
      </c>
      <c r="C25" s="16">
        <v>0.79259328227972403</v>
      </c>
      <c r="D25">
        <v>30</v>
      </c>
      <c r="E25" s="16">
        <v>0.79259328227972403</v>
      </c>
      <c r="F25">
        <v>30</v>
      </c>
      <c r="G25" s="16">
        <v>0.58850739454260403</v>
      </c>
      <c r="H25">
        <v>30</v>
      </c>
      <c r="I25" s="16">
        <v>0.65986006871007896</v>
      </c>
      <c r="J25">
        <v>11</v>
      </c>
      <c r="K25" s="16">
        <v>0.65986006871007896</v>
      </c>
      <c r="L25">
        <v>11</v>
      </c>
      <c r="M25" s="16">
        <v>0.65986006871007896</v>
      </c>
      <c r="N25">
        <v>11</v>
      </c>
      <c r="O25" s="16">
        <v>0.84840141979301997</v>
      </c>
      <c r="P25">
        <v>19</v>
      </c>
      <c r="Q25" s="16">
        <v>0.84840141979301997</v>
      </c>
      <c r="R25">
        <v>19</v>
      </c>
      <c r="S25" s="16">
        <v>0.55850691655530305</v>
      </c>
      <c r="T25" s="11">
        <v>19</v>
      </c>
    </row>
    <row r="26" spans="1:20" outlineLevel="1" x14ac:dyDescent="0.25">
      <c r="A26" s="6" t="s">
        <v>15</v>
      </c>
      <c r="B26" t="s">
        <v>38</v>
      </c>
      <c r="C26" s="16">
        <v>0.72627596351671397</v>
      </c>
      <c r="D26">
        <v>24</v>
      </c>
      <c r="E26" s="16">
        <v>0.66349282900069195</v>
      </c>
      <c r="F26">
        <v>24</v>
      </c>
      <c r="G26" s="16">
        <v>0.34086383280639898</v>
      </c>
      <c r="H26">
        <v>24</v>
      </c>
      <c r="I26" s="16">
        <v>0.71790215030562199</v>
      </c>
      <c r="J26">
        <v>9</v>
      </c>
      <c r="K26" s="16">
        <v>0.71790215030562199</v>
      </c>
      <c r="L26">
        <v>9</v>
      </c>
      <c r="M26" s="16">
        <v>4.6915628392079703E-2</v>
      </c>
      <c r="N26">
        <v>9</v>
      </c>
      <c r="O26" s="16">
        <v>0.72964989313018902</v>
      </c>
      <c r="P26">
        <v>15</v>
      </c>
      <c r="Q26" s="16">
        <v>0.641570531981145</v>
      </c>
      <c r="R26">
        <v>15</v>
      </c>
      <c r="S26" s="16">
        <v>0.45929978626037898</v>
      </c>
      <c r="T26" s="11">
        <v>15</v>
      </c>
    </row>
    <row r="27" spans="1:20" outlineLevel="1" x14ac:dyDescent="0.25">
      <c r="A27" s="7" t="s">
        <v>15</v>
      </c>
      <c r="B27" s="9" t="s">
        <v>39</v>
      </c>
      <c r="C27" s="15">
        <v>0.97224195816511105</v>
      </c>
      <c r="D27" s="9">
        <v>39</v>
      </c>
      <c r="E27" s="15">
        <v>0.97224195816511105</v>
      </c>
      <c r="F27" s="9">
        <v>39</v>
      </c>
      <c r="G27" s="15">
        <v>0.34491306864766602</v>
      </c>
      <c r="H27" s="9">
        <v>39</v>
      </c>
      <c r="I27" s="15">
        <v>0.94115938078138395</v>
      </c>
      <c r="J27" s="9">
        <v>13</v>
      </c>
      <c r="K27" s="15">
        <v>0.94115938078138395</v>
      </c>
      <c r="L27" s="9">
        <v>13</v>
      </c>
      <c r="M27" s="15">
        <v>0.494671581241382</v>
      </c>
      <c r="N27" s="9">
        <v>13</v>
      </c>
      <c r="O27" s="15">
        <v>0.98175052886158798</v>
      </c>
      <c r="P27" s="9">
        <v>26</v>
      </c>
      <c r="Q27" s="15">
        <v>0.98175052886158798</v>
      </c>
      <c r="R27" s="9">
        <v>26</v>
      </c>
      <c r="S27" s="15">
        <v>0.29909996290624902</v>
      </c>
      <c r="T27" s="12">
        <v>26</v>
      </c>
    </row>
    <row r="28" spans="1:20" x14ac:dyDescent="0.25">
      <c r="C28" s="16"/>
      <c r="E28" s="16"/>
      <c r="G28" s="16"/>
      <c r="I28" s="16"/>
      <c r="K28" s="16"/>
      <c r="M28" s="16"/>
      <c r="O28" s="16"/>
      <c r="Q28" s="16"/>
      <c r="S28" s="16"/>
    </row>
    <row r="29" spans="1:20" x14ac:dyDescent="0.25">
      <c r="A29" s="19" t="s">
        <v>40</v>
      </c>
      <c r="B29" s="19"/>
      <c r="C29" s="20"/>
      <c r="D29" s="19"/>
      <c r="E29" s="20"/>
      <c r="F29" s="19"/>
      <c r="G29" s="20"/>
      <c r="H29" s="19"/>
      <c r="I29" s="20"/>
      <c r="J29" s="19"/>
      <c r="K29" s="20"/>
      <c r="L29" s="19"/>
      <c r="M29" s="20"/>
      <c r="N29" s="19"/>
      <c r="O29" s="20"/>
      <c r="P29" s="19"/>
      <c r="Q29" s="20"/>
      <c r="R29" s="19"/>
      <c r="S29" s="20"/>
      <c r="T29" s="19"/>
    </row>
    <row r="30" spans="1:20" outlineLevel="1" x14ac:dyDescent="0.25">
      <c r="A30" s="5" t="s">
        <v>15</v>
      </c>
      <c r="B30" s="8" t="s">
        <v>41</v>
      </c>
      <c r="C30" s="14">
        <v>1</v>
      </c>
      <c r="D30" s="8">
        <v>6</v>
      </c>
      <c r="E30" s="14">
        <v>1</v>
      </c>
      <c r="F30" s="8">
        <v>6</v>
      </c>
      <c r="G30" s="14">
        <v>0.82965875728966099</v>
      </c>
      <c r="H30" s="8">
        <v>6</v>
      </c>
      <c r="I30" s="14">
        <v>1</v>
      </c>
      <c r="J30" s="8">
        <v>3</v>
      </c>
      <c r="K30" s="14">
        <v>1</v>
      </c>
      <c r="L30" s="8">
        <v>3</v>
      </c>
      <c r="M30" s="14">
        <v>1</v>
      </c>
      <c r="N30" s="8">
        <v>3</v>
      </c>
      <c r="O30" s="14">
        <v>1</v>
      </c>
      <c r="P30" s="8">
        <v>3</v>
      </c>
      <c r="Q30" s="14">
        <v>1</v>
      </c>
      <c r="R30" s="8">
        <v>3</v>
      </c>
      <c r="S30" s="14">
        <v>0.65802173749345005</v>
      </c>
      <c r="T30" s="10">
        <v>3</v>
      </c>
    </row>
    <row r="31" spans="1:20" outlineLevel="1" x14ac:dyDescent="0.25">
      <c r="A31" s="6" t="s">
        <v>15</v>
      </c>
      <c r="B31" t="s">
        <v>42</v>
      </c>
      <c r="C31" s="16">
        <v>0.88235294117647101</v>
      </c>
      <c r="D31">
        <v>17</v>
      </c>
      <c r="E31" s="16">
        <v>0.88235294117647101</v>
      </c>
      <c r="F31">
        <v>17</v>
      </c>
      <c r="G31" s="16">
        <v>0.52941176470588203</v>
      </c>
      <c r="H31">
        <v>17</v>
      </c>
      <c r="I31" s="16">
        <v>0.75</v>
      </c>
      <c r="J31">
        <v>8</v>
      </c>
      <c r="K31" s="16">
        <v>0.75</v>
      </c>
      <c r="L31">
        <v>8</v>
      </c>
      <c r="M31" s="16">
        <v>0.375</v>
      </c>
      <c r="N31">
        <v>8</v>
      </c>
      <c r="O31" s="16">
        <v>1</v>
      </c>
      <c r="P31">
        <v>9</v>
      </c>
      <c r="Q31" s="16">
        <v>1</v>
      </c>
      <c r="R31">
        <v>9</v>
      </c>
      <c r="S31" s="16">
        <v>0.66666666666666696</v>
      </c>
      <c r="T31" s="11">
        <v>9</v>
      </c>
    </row>
    <row r="32" spans="1:20" outlineLevel="1" x14ac:dyDescent="0.25">
      <c r="A32" s="6" t="s">
        <v>15</v>
      </c>
      <c r="B32" t="s">
        <v>43</v>
      </c>
      <c r="C32" s="16">
        <v>0.86666666666666703</v>
      </c>
      <c r="D32">
        <v>15</v>
      </c>
      <c r="E32" s="16">
        <v>0.86666666666666703</v>
      </c>
      <c r="F32">
        <v>15</v>
      </c>
      <c r="G32" s="16">
        <v>0.53333333333333299</v>
      </c>
      <c r="H32">
        <v>15</v>
      </c>
      <c r="I32" s="16">
        <v>0.88888888888888895</v>
      </c>
      <c r="J32">
        <v>9</v>
      </c>
      <c r="K32" s="16">
        <v>0.88888888888888895</v>
      </c>
      <c r="L32">
        <v>9</v>
      </c>
      <c r="M32" s="16">
        <v>0.33333333333333298</v>
      </c>
      <c r="N32">
        <v>9</v>
      </c>
      <c r="O32" s="16">
        <v>0.83333333333333304</v>
      </c>
      <c r="P32">
        <v>6</v>
      </c>
      <c r="Q32" s="16">
        <v>0.83333333333333304</v>
      </c>
      <c r="R32">
        <v>6</v>
      </c>
      <c r="S32" s="16">
        <v>0.83333333333333304</v>
      </c>
      <c r="T32" s="11">
        <v>6</v>
      </c>
    </row>
    <row r="33" spans="1:20" outlineLevel="1" x14ac:dyDescent="0.25">
      <c r="A33" s="6" t="s">
        <v>15</v>
      </c>
      <c r="B33" t="s">
        <v>44</v>
      </c>
      <c r="C33" s="16">
        <v>0.5</v>
      </c>
      <c r="D33">
        <v>6</v>
      </c>
      <c r="E33" s="16">
        <v>0.5</v>
      </c>
      <c r="F33">
        <v>6</v>
      </c>
      <c r="G33" s="16">
        <v>0.5</v>
      </c>
      <c r="H33">
        <v>6</v>
      </c>
      <c r="I33" s="16">
        <v>0.75</v>
      </c>
      <c r="J33">
        <v>4</v>
      </c>
      <c r="K33" s="16">
        <v>0.75</v>
      </c>
      <c r="L33">
        <v>4</v>
      </c>
      <c r="M33" s="16">
        <v>0.75</v>
      </c>
      <c r="N33">
        <v>4</v>
      </c>
      <c r="O33" s="16"/>
      <c r="Q33" s="16"/>
      <c r="S33" s="16"/>
      <c r="T33" s="11"/>
    </row>
    <row r="34" spans="1:20" outlineLevel="1" x14ac:dyDescent="0.25">
      <c r="A34" s="6" t="s">
        <v>15</v>
      </c>
      <c r="B34" t="s">
        <v>45</v>
      </c>
      <c r="C34" s="16">
        <v>1</v>
      </c>
      <c r="D34">
        <v>9</v>
      </c>
      <c r="E34" s="16">
        <v>1</v>
      </c>
      <c r="F34">
        <v>9</v>
      </c>
      <c r="G34" s="16">
        <v>0.55285678265759697</v>
      </c>
      <c r="H34">
        <v>9</v>
      </c>
      <c r="I34" s="16">
        <v>1</v>
      </c>
      <c r="J34">
        <v>2</v>
      </c>
      <c r="K34" s="16">
        <v>1</v>
      </c>
      <c r="L34">
        <v>2</v>
      </c>
      <c r="M34" s="16"/>
      <c r="O34" s="16">
        <v>1</v>
      </c>
      <c r="P34">
        <v>7</v>
      </c>
      <c r="Q34" s="16">
        <v>1</v>
      </c>
      <c r="R34">
        <v>7</v>
      </c>
      <c r="S34" s="16">
        <v>0.70910300668925896</v>
      </c>
      <c r="T34" s="11">
        <v>7</v>
      </c>
    </row>
    <row r="35" spans="1:20" outlineLevel="1" x14ac:dyDescent="0.25">
      <c r="A35" s="6" t="s">
        <v>15</v>
      </c>
      <c r="B35" t="s">
        <v>46</v>
      </c>
      <c r="C35" s="16">
        <v>0.34782608695652201</v>
      </c>
      <c r="D35">
        <v>23</v>
      </c>
      <c r="E35" s="16">
        <v>0.34782608695652201</v>
      </c>
      <c r="F35">
        <v>23</v>
      </c>
      <c r="G35" s="16">
        <v>0.30434782608695699</v>
      </c>
      <c r="H35">
        <v>23</v>
      </c>
      <c r="I35" s="16">
        <v>0.44444444444444398</v>
      </c>
      <c r="J35">
        <v>9</v>
      </c>
      <c r="K35" s="16">
        <v>0.44444444444444398</v>
      </c>
      <c r="L35">
        <v>9</v>
      </c>
      <c r="M35" s="16">
        <v>0.44444444444444398</v>
      </c>
      <c r="N35">
        <v>9</v>
      </c>
      <c r="O35" s="16">
        <v>0.28571428571428598</v>
      </c>
      <c r="P35">
        <v>14</v>
      </c>
      <c r="Q35" s="16">
        <v>0.28571428571428598</v>
      </c>
      <c r="R35">
        <v>14</v>
      </c>
      <c r="S35" s="16">
        <v>0.214285714285714</v>
      </c>
      <c r="T35" s="11">
        <v>14</v>
      </c>
    </row>
    <row r="36" spans="1:20" outlineLevel="1" x14ac:dyDescent="0.25">
      <c r="A36" s="6" t="s">
        <v>15</v>
      </c>
      <c r="B36" t="s">
        <v>47</v>
      </c>
      <c r="C36" s="16">
        <v>0.434782608695652</v>
      </c>
      <c r="D36">
        <v>23</v>
      </c>
      <c r="E36" s="16">
        <v>0.434782608695652</v>
      </c>
      <c r="F36">
        <v>23</v>
      </c>
      <c r="G36" s="16">
        <v>0.30434782608695699</v>
      </c>
      <c r="H36">
        <v>23</v>
      </c>
      <c r="I36" s="16">
        <v>0.33333333333333298</v>
      </c>
      <c r="J36">
        <v>12</v>
      </c>
      <c r="K36" s="16">
        <v>0.33333333333333298</v>
      </c>
      <c r="L36">
        <v>12</v>
      </c>
      <c r="M36" s="16">
        <v>0.16666666666666699</v>
      </c>
      <c r="N36">
        <v>12</v>
      </c>
      <c r="O36" s="16">
        <v>0.54545454545454497</v>
      </c>
      <c r="P36">
        <v>11</v>
      </c>
      <c r="Q36" s="16">
        <v>0.54545454545454497</v>
      </c>
      <c r="R36">
        <v>11</v>
      </c>
      <c r="S36" s="16">
        <v>0.45454545454545497</v>
      </c>
      <c r="T36" s="11">
        <v>11</v>
      </c>
    </row>
    <row r="37" spans="1:20" outlineLevel="1" x14ac:dyDescent="0.25">
      <c r="A37" s="6" t="s">
        <v>15</v>
      </c>
      <c r="B37" t="s">
        <v>48</v>
      </c>
      <c r="C37" s="16">
        <v>0.54545454545454497</v>
      </c>
      <c r="D37">
        <v>11</v>
      </c>
      <c r="E37" s="16">
        <v>0.54545454545454497</v>
      </c>
      <c r="F37">
        <v>11</v>
      </c>
      <c r="G37" s="16">
        <v>0.36363636363636398</v>
      </c>
      <c r="H37">
        <v>11</v>
      </c>
      <c r="I37" s="16">
        <v>0.5</v>
      </c>
      <c r="J37">
        <v>4</v>
      </c>
      <c r="K37" s="16">
        <v>0.5</v>
      </c>
      <c r="L37">
        <v>4</v>
      </c>
      <c r="M37" s="16">
        <v>0.25</v>
      </c>
      <c r="N37">
        <v>4</v>
      </c>
      <c r="O37" s="16">
        <v>0.57142857142857095</v>
      </c>
      <c r="P37">
        <v>7</v>
      </c>
      <c r="Q37" s="16">
        <v>0.57142857142857095</v>
      </c>
      <c r="R37">
        <v>7</v>
      </c>
      <c r="S37" s="16">
        <v>0.42857142857142899</v>
      </c>
      <c r="T37" s="11">
        <v>7</v>
      </c>
    </row>
    <row r="38" spans="1:20" outlineLevel="1" x14ac:dyDescent="0.25">
      <c r="A38" s="6" t="s">
        <v>15</v>
      </c>
      <c r="B38" t="s">
        <v>49</v>
      </c>
      <c r="C38" s="16">
        <v>0.85714285714285698</v>
      </c>
      <c r="D38">
        <v>14</v>
      </c>
      <c r="E38" s="16">
        <v>0.85714285714285698</v>
      </c>
      <c r="F38">
        <v>14</v>
      </c>
      <c r="G38" s="16">
        <v>0.5</v>
      </c>
      <c r="H38">
        <v>14</v>
      </c>
      <c r="I38" s="16">
        <v>1</v>
      </c>
      <c r="J38">
        <v>8</v>
      </c>
      <c r="K38" s="16">
        <v>1</v>
      </c>
      <c r="L38">
        <v>8</v>
      </c>
      <c r="M38" s="16">
        <v>0.625</v>
      </c>
      <c r="N38">
        <v>8</v>
      </c>
      <c r="O38" s="16">
        <v>0.66666666666666696</v>
      </c>
      <c r="P38">
        <v>6</v>
      </c>
      <c r="Q38" s="16">
        <v>0.66666666666666696</v>
      </c>
      <c r="R38">
        <v>6</v>
      </c>
      <c r="S38" s="16">
        <v>0.33333333333333298</v>
      </c>
      <c r="T38" s="11">
        <v>6</v>
      </c>
    </row>
    <row r="39" spans="1:20" outlineLevel="1" x14ac:dyDescent="0.25">
      <c r="A39" s="6" t="s">
        <v>15</v>
      </c>
      <c r="B39" t="s">
        <v>50</v>
      </c>
      <c r="C39" s="16">
        <v>0.77777777777777801</v>
      </c>
      <c r="D39">
        <v>9</v>
      </c>
      <c r="E39" s="16">
        <v>0.77777777777777801</v>
      </c>
      <c r="F39">
        <v>9</v>
      </c>
      <c r="G39" s="16">
        <v>0.44444444444444398</v>
      </c>
      <c r="H39">
        <v>9</v>
      </c>
      <c r="I39" s="16">
        <v>1</v>
      </c>
      <c r="J39">
        <v>3</v>
      </c>
      <c r="K39" s="16">
        <v>1</v>
      </c>
      <c r="L39">
        <v>3</v>
      </c>
      <c r="M39" s="16">
        <v>0.66666666666666696</v>
      </c>
      <c r="N39">
        <v>3</v>
      </c>
      <c r="O39" s="16">
        <v>0.66666666666666696</v>
      </c>
      <c r="P39">
        <v>6</v>
      </c>
      <c r="Q39" s="16">
        <v>0.66666666666666696</v>
      </c>
      <c r="R39">
        <v>6</v>
      </c>
      <c r="S39" s="16">
        <v>0.33333333333333298</v>
      </c>
      <c r="T39" s="11">
        <v>6</v>
      </c>
    </row>
    <row r="40" spans="1:20" outlineLevel="1" x14ac:dyDescent="0.25">
      <c r="A40" s="6" t="s">
        <v>15</v>
      </c>
      <c r="B40" t="s">
        <v>51</v>
      </c>
      <c r="C40" s="16">
        <v>0.38888888888888901</v>
      </c>
      <c r="D40">
        <v>18</v>
      </c>
      <c r="E40" s="16">
        <v>0.38888888888888901</v>
      </c>
      <c r="F40">
        <v>18</v>
      </c>
      <c r="G40" s="16">
        <v>0.16666666666666699</v>
      </c>
      <c r="H40">
        <v>18</v>
      </c>
      <c r="I40" s="16">
        <v>0.33333333333333298</v>
      </c>
      <c r="J40">
        <v>12</v>
      </c>
      <c r="K40" s="16">
        <v>0.33333333333333298</v>
      </c>
      <c r="L40">
        <v>12</v>
      </c>
      <c r="M40" s="16">
        <v>8.3333333333333301E-2</v>
      </c>
      <c r="N40">
        <v>12</v>
      </c>
      <c r="O40" s="16">
        <v>0.5</v>
      </c>
      <c r="P40">
        <v>6</v>
      </c>
      <c r="Q40" s="16">
        <v>0.5</v>
      </c>
      <c r="R40">
        <v>6</v>
      </c>
      <c r="S40" s="16">
        <v>0.33333333333333298</v>
      </c>
      <c r="T40" s="11">
        <v>6</v>
      </c>
    </row>
    <row r="41" spans="1:20" outlineLevel="1" x14ac:dyDescent="0.25">
      <c r="A41" s="6" t="s">
        <v>15</v>
      </c>
      <c r="B41" t="s">
        <v>52</v>
      </c>
      <c r="C41" s="16">
        <v>0.369207310402763</v>
      </c>
      <c r="D41">
        <v>22</v>
      </c>
      <c r="E41" s="16">
        <v>0.369207310402763</v>
      </c>
      <c r="F41">
        <v>22</v>
      </c>
      <c r="G41" s="16">
        <v>0.22995937948285</v>
      </c>
      <c r="H41">
        <v>22</v>
      </c>
      <c r="I41" s="16">
        <v>0.40327568275877701</v>
      </c>
      <c r="J41">
        <v>10</v>
      </c>
      <c r="K41" s="16">
        <v>0.40327568275877701</v>
      </c>
      <c r="L41">
        <v>10</v>
      </c>
      <c r="M41" s="16">
        <v>0.30245676206908301</v>
      </c>
      <c r="N41">
        <v>10</v>
      </c>
      <c r="O41" s="16">
        <v>0.34134747174642799</v>
      </c>
      <c r="P41">
        <v>12</v>
      </c>
      <c r="Q41" s="16">
        <v>0.34134747174642799</v>
      </c>
      <c r="R41">
        <v>12</v>
      </c>
      <c r="S41" s="16">
        <v>0.17067373587321399</v>
      </c>
      <c r="T41" s="11">
        <v>12</v>
      </c>
    </row>
    <row r="42" spans="1:20" outlineLevel="1" x14ac:dyDescent="0.25">
      <c r="A42" s="6" t="s">
        <v>15</v>
      </c>
      <c r="B42" t="s">
        <v>53</v>
      </c>
      <c r="C42" s="16">
        <v>0.36363636363636398</v>
      </c>
      <c r="D42">
        <v>22</v>
      </c>
      <c r="E42" s="16">
        <v>0.36363636363636398</v>
      </c>
      <c r="F42">
        <v>22</v>
      </c>
      <c r="G42" s="16">
        <v>0.27272727272727298</v>
      </c>
      <c r="H42">
        <v>22</v>
      </c>
      <c r="I42" s="16">
        <v>0.3</v>
      </c>
      <c r="J42">
        <v>10</v>
      </c>
      <c r="K42" s="16">
        <v>0.3</v>
      </c>
      <c r="L42">
        <v>10</v>
      </c>
      <c r="M42" s="16">
        <v>0.3</v>
      </c>
      <c r="N42">
        <v>10</v>
      </c>
      <c r="O42" s="16">
        <v>0.41666666666666702</v>
      </c>
      <c r="P42">
        <v>12</v>
      </c>
      <c r="Q42" s="16">
        <v>0.41666666666666702</v>
      </c>
      <c r="R42">
        <v>12</v>
      </c>
      <c r="S42" s="16">
        <v>0.25</v>
      </c>
      <c r="T42" s="11">
        <v>12</v>
      </c>
    </row>
    <row r="43" spans="1:20" outlineLevel="1" x14ac:dyDescent="0.25">
      <c r="A43" s="6" t="s">
        <v>15</v>
      </c>
      <c r="B43" t="s">
        <v>54</v>
      </c>
      <c r="C43" s="16">
        <v>0.493081336483294</v>
      </c>
      <c r="D43">
        <v>20</v>
      </c>
      <c r="E43" s="16">
        <v>0.493081336483294</v>
      </c>
      <c r="F43">
        <v>20</v>
      </c>
      <c r="G43" s="16">
        <v>0.25</v>
      </c>
      <c r="H43">
        <v>20</v>
      </c>
      <c r="I43" s="16">
        <v>0.43840030326004598</v>
      </c>
      <c r="J43">
        <v>9</v>
      </c>
      <c r="K43" s="16">
        <v>0.43840030326004598</v>
      </c>
      <c r="L43">
        <v>9</v>
      </c>
      <c r="M43" s="16">
        <v>0.22308567096285101</v>
      </c>
      <c r="N43">
        <v>9</v>
      </c>
      <c r="O43" s="16">
        <v>0.53695255474452597</v>
      </c>
      <c r="P43">
        <v>11</v>
      </c>
      <c r="Q43" s="16">
        <v>0.53695255474452597</v>
      </c>
      <c r="R43">
        <v>11</v>
      </c>
      <c r="S43" s="16">
        <v>0.27159367396593698</v>
      </c>
      <c r="T43" s="11">
        <v>11</v>
      </c>
    </row>
    <row r="44" spans="1:20" outlineLevel="1" x14ac:dyDescent="0.25">
      <c r="A44" s="6" t="s">
        <v>15</v>
      </c>
      <c r="B44" t="s">
        <v>55</v>
      </c>
      <c r="C44" s="16">
        <v>0.72765074199883695</v>
      </c>
      <c r="D44">
        <v>17</v>
      </c>
      <c r="E44" s="16">
        <v>0.72765074199883695</v>
      </c>
      <c r="F44">
        <v>17</v>
      </c>
      <c r="G44" s="16">
        <v>0.37843000136419602</v>
      </c>
      <c r="H44">
        <v>17</v>
      </c>
      <c r="I44" s="16">
        <v>0.714708340681114</v>
      </c>
      <c r="J44">
        <v>8</v>
      </c>
      <c r="K44" s="16">
        <v>0.714708340681114</v>
      </c>
      <c r="L44">
        <v>8</v>
      </c>
      <c r="M44" s="16">
        <v>0.397490374953404</v>
      </c>
      <c r="N44">
        <v>8</v>
      </c>
      <c r="O44" s="16">
        <v>0.73977673324176096</v>
      </c>
      <c r="P44">
        <v>9</v>
      </c>
      <c r="Q44" s="16">
        <v>0.73977673324176096</v>
      </c>
      <c r="R44">
        <v>9</v>
      </c>
      <c r="S44" s="16">
        <v>0.36057196114772699</v>
      </c>
      <c r="T44" s="11">
        <v>9</v>
      </c>
    </row>
    <row r="45" spans="1:20" outlineLevel="1" x14ac:dyDescent="0.25">
      <c r="A45" s="6" t="s">
        <v>15</v>
      </c>
      <c r="B45" t="s">
        <v>56</v>
      </c>
      <c r="C45" s="16">
        <v>0.87071428636613302</v>
      </c>
      <c r="D45">
        <v>16</v>
      </c>
      <c r="E45" s="16">
        <v>0.87071428636613302</v>
      </c>
      <c r="F45">
        <v>16</v>
      </c>
      <c r="G45" s="16">
        <v>0.50134800915481503</v>
      </c>
      <c r="H45">
        <v>16</v>
      </c>
      <c r="I45" s="16">
        <v>0.74421667537735203</v>
      </c>
      <c r="J45">
        <v>8</v>
      </c>
      <c r="K45" s="16">
        <v>0.74421667537735203</v>
      </c>
      <c r="L45">
        <v>8</v>
      </c>
      <c r="M45" s="16">
        <v>0.37316838962465299</v>
      </c>
      <c r="N45">
        <v>8</v>
      </c>
      <c r="O45" s="16">
        <v>1</v>
      </c>
      <c r="P45">
        <v>8</v>
      </c>
      <c r="Q45" s="16">
        <v>1</v>
      </c>
      <c r="R45">
        <v>8</v>
      </c>
      <c r="S45" s="16">
        <v>0.632352804065481</v>
      </c>
      <c r="T45" s="11">
        <v>8</v>
      </c>
    </row>
    <row r="46" spans="1:20" outlineLevel="1" x14ac:dyDescent="0.25">
      <c r="A46" s="6" t="s">
        <v>15</v>
      </c>
      <c r="B46" t="s">
        <v>57</v>
      </c>
      <c r="C46" s="16">
        <v>0.497748838544189</v>
      </c>
      <c r="D46">
        <v>10</v>
      </c>
      <c r="E46" s="16">
        <v>0.497748838544189</v>
      </c>
      <c r="F46">
        <v>10</v>
      </c>
      <c r="G46" s="16">
        <v>0.19840714631652601</v>
      </c>
      <c r="H46">
        <v>10</v>
      </c>
      <c r="I46" s="16">
        <v>0.59719474914583803</v>
      </c>
      <c r="J46">
        <v>5</v>
      </c>
      <c r="K46" s="16">
        <v>0.59719474914583803</v>
      </c>
      <c r="L46">
        <v>5</v>
      </c>
      <c r="M46" s="16">
        <v>0.39780614997302699</v>
      </c>
      <c r="N46">
        <v>5</v>
      </c>
      <c r="O46" s="16">
        <v>0.39879759519038099</v>
      </c>
      <c r="P46">
        <v>5</v>
      </c>
      <c r="Q46" s="16">
        <v>0.39879759519038099</v>
      </c>
      <c r="R46">
        <v>5</v>
      </c>
      <c r="S46" s="16"/>
      <c r="T46" s="11"/>
    </row>
    <row r="47" spans="1:20" outlineLevel="1" x14ac:dyDescent="0.25">
      <c r="A47" s="6" t="s">
        <v>15</v>
      </c>
      <c r="B47" t="s">
        <v>59</v>
      </c>
      <c r="C47" s="16">
        <v>0.5</v>
      </c>
      <c r="D47">
        <v>8</v>
      </c>
      <c r="E47" s="16">
        <v>0.5</v>
      </c>
      <c r="F47">
        <v>8</v>
      </c>
      <c r="G47" s="16">
        <v>0.375</v>
      </c>
      <c r="H47">
        <v>8</v>
      </c>
      <c r="I47" s="16">
        <v>0.5</v>
      </c>
      <c r="J47">
        <v>6</v>
      </c>
      <c r="K47" s="16">
        <v>0.5</v>
      </c>
      <c r="L47">
        <v>6</v>
      </c>
      <c r="M47" s="16">
        <v>0.5</v>
      </c>
      <c r="N47">
        <v>6</v>
      </c>
      <c r="O47" s="16">
        <v>0.5</v>
      </c>
      <c r="P47">
        <v>2</v>
      </c>
      <c r="Q47" s="16">
        <v>0.5</v>
      </c>
      <c r="R47">
        <v>2</v>
      </c>
      <c r="S47" s="16"/>
      <c r="T47" s="11"/>
    </row>
    <row r="48" spans="1:20" outlineLevel="1" x14ac:dyDescent="0.25">
      <c r="A48" s="6" t="s">
        <v>15</v>
      </c>
      <c r="B48" t="s">
        <v>60</v>
      </c>
      <c r="C48" s="16">
        <v>0.38461538461538503</v>
      </c>
      <c r="D48">
        <v>13</v>
      </c>
      <c r="E48" s="16">
        <v>0.38461538461538503</v>
      </c>
      <c r="F48">
        <v>13</v>
      </c>
      <c r="G48" s="16">
        <v>0.30769230769230799</v>
      </c>
      <c r="H48">
        <v>13</v>
      </c>
      <c r="I48" s="16">
        <v>0.5</v>
      </c>
      <c r="J48">
        <v>6</v>
      </c>
      <c r="K48" s="16">
        <v>0.5</v>
      </c>
      <c r="L48">
        <v>6</v>
      </c>
      <c r="M48" s="16">
        <v>0.5</v>
      </c>
      <c r="N48">
        <v>6</v>
      </c>
      <c r="O48" s="16">
        <v>0.28571428571428598</v>
      </c>
      <c r="P48">
        <v>7</v>
      </c>
      <c r="Q48" s="16">
        <v>0.28571428571428598</v>
      </c>
      <c r="R48">
        <v>7</v>
      </c>
      <c r="S48" s="16">
        <v>0.14285714285714299</v>
      </c>
      <c r="T48" s="11">
        <v>7</v>
      </c>
    </row>
    <row r="49" spans="1:20" outlineLevel="1" x14ac:dyDescent="0.25">
      <c r="A49" s="6" t="s">
        <v>15</v>
      </c>
      <c r="B49" t="s">
        <v>61</v>
      </c>
      <c r="C49" s="16">
        <v>1</v>
      </c>
      <c r="D49">
        <v>12</v>
      </c>
      <c r="E49" s="16">
        <v>1</v>
      </c>
      <c r="F49">
        <v>11</v>
      </c>
      <c r="G49" s="16">
        <v>0.54545454545454497</v>
      </c>
      <c r="H49">
        <v>11</v>
      </c>
      <c r="I49" s="16">
        <v>1</v>
      </c>
      <c r="J49">
        <v>6</v>
      </c>
      <c r="K49" s="16">
        <v>1</v>
      </c>
      <c r="L49">
        <v>6</v>
      </c>
      <c r="M49" s="16">
        <v>0.66666666666666696</v>
      </c>
      <c r="N49">
        <v>6</v>
      </c>
      <c r="O49" s="16">
        <v>1</v>
      </c>
      <c r="P49">
        <v>6</v>
      </c>
      <c r="Q49" s="16">
        <v>1</v>
      </c>
      <c r="R49">
        <v>5</v>
      </c>
      <c r="S49" s="16">
        <v>0.4</v>
      </c>
      <c r="T49" s="11">
        <v>5</v>
      </c>
    </row>
    <row r="50" spans="1:20" outlineLevel="1" x14ac:dyDescent="0.25">
      <c r="A50" s="6" t="s">
        <v>15</v>
      </c>
      <c r="B50" t="s">
        <v>62</v>
      </c>
      <c r="C50" s="16">
        <v>0.80110089286227004</v>
      </c>
      <c r="D50">
        <v>16</v>
      </c>
      <c r="E50" s="16">
        <v>0.80110089286227004</v>
      </c>
      <c r="F50">
        <v>16</v>
      </c>
      <c r="G50" s="16">
        <v>0.36245290012488501</v>
      </c>
      <c r="H50">
        <v>16</v>
      </c>
      <c r="I50" s="16">
        <v>0.85461832028728602</v>
      </c>
      <c r="J50">
        <v>7</v>
      </c>
      <c r="K50" s="16">
        <v>0.85461832028728602</v>
      </c>
      <c r="L50">
        <v>7</v>
      </c>
      <c r="M50" s="16">
        <v>0.41417975694669801</v>
      </c>
      <c r="N50">
        <v>7</v>
      </c>
      <c r="O50" s="16">
        <v>0.75698144070319595</v>
      </c>
      <c r="P50">
        <v>9</v>
      </c>
      <c r="Q50" s="16">
        <v>0.75698144070319595</v>
      </c>
      <c r="R50">
        <v>9</v>
      </c>
      <c r="S50" s="16">
        <v>0.31980958383157299</v>
      </c>
      <c r="T50" s="11">
        <v>9</v>
      </c>
    </row>
    <row r="51" spans="1:20" outlineLevel="1" x14ac:dyDescent="0.25">
      <c r="A51" s="6" t="s">
        <v>15</v>
      </c>
      <c r="B51" t="s">
        <v>63</v>
      </c>
      <c r="C51" s="16">
        <v>1</v>
      </c>
      <c r="D51">
        <v>9</v>
      </c>
      <c r="E51" s="16">
        <v>1</v>
      </c>
      <c r="F51">
        <v>9</v>
      </c>
      <c r="G51" s="16">
        <v>0.51751865158517796</v>
      </c>
      <c r="H51">
        <v>9</v>
      </c>
      <c r="I51" s="16">
        <v>1</v>
      </c>
      <c r="J51">
        <v>4</v>
      </c>
      <c r="K51" s="16">
        <v>1</v>
      </c>
      <c r="L51">
        <v>4</v>
      </c>
      <c r="M51" s="16">
        <v>0.210368693752224</v>
      </c>
      <c r="N51">
        <v>4</v>
      </c>
      <c r="O51" s="16">
        <v>1</v>
      </c>
      <c r="P51">
        <v>5</v>
      </c>
      <c r="Q51" s="16">
        <v>1</v>
      </c>
      <c r="R51">
        <v>5</v>
      </c>
      <c r="S51" s="16">
        <v>0.77381598282143105</v>
      </c>
      <c r="T51" s="11">
        <v>5</v>
      </c>
    </row>
    <row r="52" spans="1:20" outlineLevel="1" x14ac:dyDescent="0.25">
      <c r="A52" s="6" t="s">
        <v>15</v>
      </c>
      <c r="B52" t="s">
        <v>64</v>
      </c>
      <c r="C52" s="16">
        <v>0.73313834647783505</v>
      </c>
      <c r="D52">
        <v>15</v>
      </c>
      <c r="E52" s="16">
        <v>0.73313834647783505</v>
      </c>
      <c r="F52">
        <v>15</v>
      </c>
      <c r="G52" s="16">
        <v>0.39851747507745</v>
      </c>
      <c r="H52">
        <v>15</v>
      </c>
      <c r="I52" s="16">
        <v>0.90010966194981501</v>
      </c>
      <c r="J52">
        <v>10</v>
      </c>
      <c r="K52" s="16">
        <v>0.90010966194981501</v>
      </c>
      <c r="L52">
        <v>10</v>
      </c>
      <c r="M52" s="16">
        <v>0.59855734455680099</v>
      </c>
      <c r="N52">
        <v>10</v>
      </c>
      <c r="O52" s="16">
        <v>0.40049972186044203</v>
      </c>
      <c r="P52">
        <v>5</v>
      </c>
      <c r="Q52" s="16">
        <v>0.40049972186044203</v>
      </c>
      <c r="R52">
        <v>5</v>
      </c>
      <c r="S52" s="16"/>
      <c r="T52" s="11"/>
    </row>
    <row r="53" spans="1:20" outlineLevel="1" x14ac:dyDescent="0.25">
      <c r="A53" s="6" t="s">
        <v>15</v>
      </c>
      <c r="B53" t="s">
        <v>65</v>
      </c>
      <c r="C53" s="16">
        <v>0.86666666666666703</v>
      </c>
      <c r="D53">
        <v>15</v>
      </c>
      <c r="E53" s="16">
        <v>0.86666666666666703</v>
      </c>
      <c r="F53">
        <v>15</v>
      </c>
      <c r="G53" s="16">
        <v>0.2</v>
      </c>
      <c r="H53">
        <v>15</v>
      </c>
      <c r="I53" s="16">
        <v>0.75</v>
      </c>
      <c r="J53">
        <v>8</v>
      </c>
      <c r="K53" s="16">
        <v>0.75</v>
      </c>
      <c r="L53">
        <v>8</v>
      </c>
      <c r="M53" s="16">
        <v>0.125</v>
      </c>
      <c r="N53">
        <v>8</v>
      </c>
      <c r="O53" s="16">
        <v>1</v>
      </c>
      <c r="P53">
        <v>7</v>
      </c>
      <c r="Q53" s="16">
        <v>1</v>
      </c>
      <c r="R53">
        <v>7</v>
      </c>
      <c r="S53" s="16">
        <v>0.28571428571428598</v>
      </c>
      <c r="T53" s="11">
        <v>7</v>
      </c>
    </row>
    <row r="54" spans="1:20" outlineLevel="1" x14ac:dyDescent="0.25">
      <c r="A54" s="6" t="s">
        <v>15</v>
      </c>
      <c r="B54" t="s">
        <v>66</v>
      </c>
      <c r="C54" s="16">
        <v>0.53846153846153799</v>
      </c>
      <c r="D54">
        <v>26</v>
      </c>
      <c r="E54" s="16">
        <v>0.53846153846153799</v>
      </c>
      <c r="F54">
        <v>26</v>
      </c>
      <c r="G54" s="16">
        <v>0.15384615384615399</v>
      </c>
      <c r="H54">
        <v>26</v>
      </c>
      <c r="I54" s="16">
        <v>0.42857142857142899</v>
      </c>
      <c r="J54">
        <v>14</v>
      </c>
      <c r="K54" s="16">
        <v>0.42857142857142899</v>
      </c>
      <c r="L54">
        <v>14</v>
      </c>
      <c r="M54" s="16">
        <v>7.1428571428571397E-2</v>
      </c>
      <c r="N54">
        <v>14</v>
      </c>
      <c r="O54" s="16">
        <v>0.66666666666666696</v>
      </c>
      <c r="P54">
        <v>12</v>
      </c>
      <c r="Q54" s="16">
        <v>0.66666666666666696</v>
      </c>
      <c r="R54">
        <v>12</v>
      </c>
      <c r="S54" s="16">
        <v>0.25</v>
      </c>
      <c r="T54" s="11">
        <v>12</v>
      </c>
    </row>
    <row r="55" spans="1:20" outlineLevel="1" x14ac:dyDescent="0.25">
      <c r="A55" s="6" t="s">
        <v>15</v>
      </c>
      <c r="B55" t="s">
        <v>67</v>
      </c>
      <c r="C55" s="16">
        <v>0.217391304347826</v>
      </c>
      <c r="D55">
        <v>23</v>
      </c>
      <c r="E55" s="16">
        <v>0.217391304347826</v>
      </c>
      <c r="F55">
        <v>23</v>
      </c>
      <c r="G55" s="16">
        <v>0.13043478260869601</v>
      </c>
      <c r="H55">
        <v>23</v>
      </c>
      <c r="I55" s="16">
        <v>0.11111111111111099</v>
      </c>
      <c r="J55">
        <v>9</v>
      </c>
      <c r="K55" s="16">
        <v>0.11111111111111099</v>
      </c>
      <c r="L55">
        <v>9</v>
      </c>
      <c r="M55" s="16">
        <v>0.11111111111111099</v>
      </c>
      <c r="N55">
        <v>9</v>
      </c>
      <c r="O55" s="16">
        <v>0.30769230769230799</v>
      </c>
      <c r="P55">
        <v>13</v>
      </c>
      <c r="Q55" s="16">
        <v>0.30769230769230799</v>
      </c>
      <c r="R55">
        <v>13</v>
      </c>
      <c r="S55" s="16">
        <v>0.15384615384615399</v>
      </c>
      <c r="T55" s="11">
        <v>13</v>
      </c>
    </row>
    <row r="56" spans="1:20" outlineLevel="1" x14ac:dyDescent="0.25">
      <c r="A56" s="6" t="s">
        <v>15</v>
      </c>
      <c r="B56" t="s">
        <v>68</v>
      </c>
      <c r="C56" s="16">
        <v>0.5</v>
      </c>
      <c r="D56">
        <v>14</v>
      </c>
      <c r="E56" s="16">
        <v>0.5</v>
      </c>
      <c r="F56">
        <v>14</v>
      </c>
      <c r="G56" s="16">
        <v>0.28571428571428598</v>
      </c>
      <c r="H56">
        <v>14</v>
      </c>
      <c r="I56" s="16">
        <v>0.6</v>
      </c>
      <c r="J56">
        <v>5</v>
      </c>
      <c r="K56" s="16">
        <v>0.6</v>
      </c>
      <c r="L56">
        <v>5</v>
      </c>
      <c r="M56" s="16">
        <v>0.4</v>
      </c>
      <c r="N56">
        <v>5</v>
      </c>
      <c r="O56" s="16">
        <v>0.44444444444444398</v>
      </c>
      <c r="P56">
        <v>9</v>
      </c>
      <c r="Q56" s="16">
        <v>0.44444444444444398</v>
      </c>
      <c r="R56">
        <v>9</v>
      </c>
      <c r="S56" s="16">
        <v>0.22222222222222199</v>
      </c>
      <c r="T56" s="11">
        <v>9</v>
      </c>
    </row>
    <row r="57" spans="1:20" outlineLevel="1" x14ac:dyDescent="0.25">
      <c r="A57" s="6" t="s">
        <v>15</v>
      </c>
      <c r="B57" t="s">
        <v>69</v>
      </c>
      <c r="C57" s="16">
        <v>0.53846153846153799</v>
      </c>
      <c r="D57">
        <v>26</v>
      </c>
      <c r="E57" s="16">
        <v>0.53846153846153799</v>
      </c>
      <c r="F57">
        <v>26</v>
      </c>
      <c r="G57" s="16">
        <v>0.230769230769231</v>
      </c>
      <c r="H57">
        <v>26</v>
      </c>
      <c r="I57" s="16">
        <v>0.69230769230769196</v>
      </c>
      <c r="J57">
        <v>13</v>
      </c>
      <c r="K57" s="16">
        <v>0.69230769230769196</v>
      </c>
      <c r="L57">
        <v>13</v>
      </c>
      <c r="M57" s="16">
        <v>0.230769230769231</v>
      </c>
      <c r="N57">
        <v>13</v>
      </c>
      <c r="O57" s="16">
        <v>0.38461538461538503</v>
      </c>
      <c r="P57">
        <v>13</v>
      </c>
      <c r="Q57" s="16">
        <v>0.38461538461538503</v>
      </c>
      <c r="R57">
        <v>13</v>
      </c>
      <c r="S57" s="16">
        <v>0.230769230769231</v>
      </c>
      <c r="T57" s="11">
        <v>13</v>
      </c>
    </row>
    <row r="58" spans="1:20" outlineLevel="1" x14ac:dyDescent="0.25">
      <c r="A58" s="6" t="s">
        <v>15</v>
      </c>
      <c r="B58" t="s">
        <v>70</v>
      </c>
      <c r="C58" s="16">
        <v>0.157894736842105</v>
      </c>
      <c r="D58">
        <v>19</v>
      </c>
      <c r="E58" s="16">
        <v>0.157894736842105</v>
      </c>
      <c r="F58">
        <v>19</v>
      </c>
      <c r="G58" s="16"/>
      <c r="I58" s="16">
        <v>0.22222222222222199</v>
      </c>
      <c r="J58">
        <v>9</v>
      </c>
      <c r="K58" s="16">
        <v>0.22222222222222199</v>
      </c>
      <c r="L58">
        <v>9</v>
      </c>
      <c r="M58" s="16"/>
      <c r="O58" s="16">
        <v>0.1</v>
      </c>
      <c r="P58">
        <v>10</v>
      </c>
      <c r="Q58" s="16">
        <v>0.1</v>
      </c>
      <c r="R58">
        <v>10</v>
      </c>
      <c r="S58" s="16"/>
      <c r="T58" s="11"/>
    </row>
    <row r="59" spans="1:20" outlineLevel="1" x14ac:dyDescent="0.25">
      <c r="A59" s="6" t="s">
        <v>15</v>
      </c>
      <c r="B59" t="s">
        <v>71</v>
      </c>
      <c r="C59" s="16">
        <v>0.33333333333333298</v>
      </c>
      <c r="D59">
        <v>18</v>
      </c>
      <c r="E59" s="16">
        <v>0.33333333333333298</v>
      </c>
      <c r="F59">
        <v>18</v>
      </c>
      <c r="G59" s="16">
        <v>0.16666666666666699</v>
      </c>
      <c r="H59">
        <v>18</v>
      </c>
      <c r="I59" s="16">
        <v>0.4</v>
      </c>
      <c r="J59">
        <v>10</v>
      </c>
      <c r="K59" s="16">
        <v>0.4</v>
      </c>
      <c r="L59">
        <v>10</v>
      </c>
      <c r="M59" s="16">
        <v>0.2</v>
      </c>
      <c r="N59">
        <v>10</v>
      </c>
      <c r="O59" s="16">
        <v>0.25</v>
      </c>
      <c r="P59">
        <v>8</v>
      </c>
      <c r="Q59" s="16">
        <v>0.25</v>
      </c>
      <c r="R59">
        <v>8</v>
      </c>
      <c r="S59" s="16">
        <v>0.125</v>
      </c>
      <c r="T59" s="11">
        <v>8</v>
      </c>
    </row>
    <row r="60" spans="1:20" outlineLevel="1" x14ac:dyDescent="0.25">
      <c r="A60" s="6" t="s">
        <v>15</v>
      </c>
      <c r="B60" t="s">
        <v>73</v>
      </c>
      <c r="C60" s="16">
        <v>0.9</v>
      </c>
      <c r="D60">
        <v>10</v>
      </c>
      <c r="E60" s="16">
        <v>0.9</v>
      </c>
      <c r="F60">
        <v>10</v>
      </c>
      <c r="G60" s="16">
        <v>0.6</v>
      </c>
      <c r="H60">
        <v>10</v>
      </c>
      <c r="I60" s="16">
        <v>1</v>
      </c>
      <c r="J60">
        <v>5</v>
      </c>
      <c r="K60" s="16">
        <v>1</v>
      </c>
      <c r="L60">
        <v>5</v>
      </c>
      <c r="M60" s="16">
        <v>0.4</v>
      </c>
      <c r="N60">
        <v>5</v>
      </c>
      <c r="O60" s="16">
        <v>0.8</v>
      </c>
      <c r="P60">
        <v>5</v>
      </c>
      <c r="Q60" s="16">
        <v>0.8</v>
      </c>
      <c r="R60">
        <v>5</v>
      </c>
      <c r="S60" s="16">
        <v>0.8</v>
      </c>
      <c r="T60" s="11">
        <v>5</v>
      </c>
    </row>
    <row r="61" spans="1:20" outlineLevel="1" x14ac:dyDescent="0.25">
      <c r="A61" s="6" t="s">
        <v>15</v>
      </c>
      <c r="B61" t="s">
        <v>74</v>
      </c>
      <c r="C61" s="16">
        <v>0.18181818181818199</v>
      </c>
      <c r="D61">
        <v>11</v>
      </c>
      <c r="E61" s="16">
        <v>0.18181818181818199</v>
      </c>
      <c r="F61">
        <v>11</v>
      </c>
      <c r="G61" s="16">
        <v>9.0909090909090898E-2</v>
      </c>
      <c r="H61">
        <v>11</v>
      </c>
      <c r="I61" s="16">
        <v>0.2</v>
      </c>
      <c r="J61">
        <v>5</v>
      </c>
      <c r="K61" s="16">
        <v>0.2</v>
      </c>
      <c r="L61">
        <v>5</v>
      </c>
      <c r="M61" s="16">
        <v>0.2</v>
      </c>
      <c r="N61">
        <v>5</v>
      </c>
      <c r="O61" s="16">
        <v>0.16666666666666699</v>
      </c>
      <c r="P61">
        <v>6</v>
      </c>
      <c r="Q61" s="16">
        <v>0.16666666666666699</v>
      </c>
      <c r="R61">
        <v>6</v>
      </c>
      <c r="S61" s="16"/>
      <c r="T61" s="11"/>
    </row>
    <row r="62" spans="1:20" outlineLevel="1" x14ac:dyDescent="0.25">
      <c r="A62" s="6" t="s">
        <v>15</v>
      </c>
      <c r="B62" t="s">
        <v>75</v>
      </c>
      <c r="C62" s="16">
        <v>0.61538461538461497</v>
      </c>
      <c r="D62">
        <v>13</v>
      </c>
      <c r="E62" s="16">
        <v>0.61538461538461497</v>
      </c>
      <c r="F62">
        <v>13</v>
      </c>
      <c r="G62" s="16">
        <v>0.53846153846153899</v>
      </c>
      <c r="H62">
        <v>13</v>
      </c>
      <c r="I62" s="16">
        <v>0.5</v>
      </c>
      <c r="J62">
        <v>6</v>
      </c>
      <c r="K62" s="16">
        <v>0.5</v>
      </c>
      <c r="L62">
        <v>6</v>
      </c>
      <c r="M62" s="16">
        <v>0.5</v>
      </c>
      <c r="N62">
        <v>6</v>
      </c>
      <c r="O62" s="16">
        <v>0.71428571428571397</v>
      </c>
      <c r="P62">
        <v>7</v>
      </c>
      <c r="Q62" s="16">
        <v>0.71428571428571397</v>
      </c>
      <c r="R62">
        <v>7</v>
      </c>
      <c r="S62" s="16">
        <v>0.57142857142857095</v>
      </c>
      <c r="T62" s="11">
        <v>7</v>
      </c>
    </row>
    <row r="63" spans="1:20" outlineLevel="1" x14ac:dyDescent="0.25">
      <c r="A63" s="6" t="s">
        <v>15</v>
      </c>
      <c r="B63" t="s">
        <v>76</v>
      </c>
      <c r="C63" s="16">
        <v>0.44444444444444398</v>
      </c>
      <c r="D63">
        <v>9</v>
      </c>
      <c r="E63" s="16">
        <v>0.44444444444444398</v>
      </c>
      <c r="F63">
        <v>9</v>
      </c>
      <c r="G63" s="16">
        <v>0.33333333333333298</v>
      </c>
      <c r="H63">
        <v>9</v>
      </c>
      <c r="I63" s="16"/>
      <c r="K63" s="16"/>
      <c r="M63" s="16"/>
      <c r="O63" s="16">
        <v>1</v>
      </c>
      <c r="P63">
        <v>4</v>
      </c>
      <c r="Q63" s="16">
        <v>1</v>
      </c>
      <c r="R63">
        <v>4</v>
      </c>
      <c r="S63" s="16">
        <v>0.75</v>
      </c>
      <c r="T63" s="11">
        <v>4</v>
      </c>
    </row>
    <row r="64" spans="1:20" outlineLevel="1" x14ac:dyDescent="0.25">
      <c r="A64" s="6" t="s">
        <v>15</v>
      </c>
      <c r="B64" t="s">
        <v>77</v>
      </c>
      <c r="C64" s="16">
        <v>0.5</v>
      </c>
      <c r="D64">
        <v>8</v>
      </c>
      <c r="E64" s="16">
        <v>0.5</v>
      </c>
      <c r="F64">
        <v>8</v>
      </c>
      <c r="G64" s="16">
        <v>0.125</v>
      </c>
      <c r="H64">
        <v>8</v>
      </c>
      <c r="I64" s="16"/>
      <c r="K64" s="16"/>
      <c r="M64" s="16"/>
      <c r="O64" s="16">
        <v>0.57142857142857095</v>
      </c>
      <c r="P64">
        <v>7</v>
      </c>
      <c r="Q64" s="16">
        <v>0.57142857142857095</v>
      </c>
      <c r="R64">
        <v>7</v>
      </c>
      <c r="S64" s="16">
        <v>0.14285714285714299</v>
      </c>
      <c r="T64" s="11">
        <v>7</v>
      </c>
    </row>
    <row r="65" spans="1:20" outlineLevel="1" x14ac:dyDescent="0.25">
      <c r="A65" s="6" t="s">
        <v>15</v>
      </c>
      <c r="B65" t="s">
        <v>78</v>
      </c>
      <c r="C65" s="16">
        <v>0.8</v>
      </c>
      <c r="D65">
        <v>10</v>
      </c>
      <c r="E65" s="16">
        <v>0.8</v>
      </c>
      <c r="F65">
        <v>10</v>
      </c>
      <c r="G65" s="16">
        <v>0.6</v>
      </c>
      <c r="H65">
        <v>10</v>
      </c>
      <c r="I65" s="16">
        <v>0.66666666666666696</v>
      </c>
      <c r="J65">
        <v>3</v>
      </c>
      <c r="K65" s="16">
        <v>0.66666666666666696</v>
      </c>
      <c r="L65">
        <v>3</v>
      </c>
      <c r="M65" s="16">
        <v>0.66666666666666696</v>
      </c>
      <c r="N65">
        <v>3</v>
      </c>
      <c r="O65" s="16">
        <v>0.85714285714285698</v>
      </c>
      <c r="P65">
        <v>7</v>
      </c>
      <c r="Q65" s="16">
        <v>0.85714285714285698</v>
      </c>
      <c r="R65">
        <v>7</v>
      </c>
      <c r="S65" s="16">
        <v>0.57142857142857095</v>
      </c>
      <c r="T65" s="11">
        <v>7</v>
      </c>
    </row>
    <row r="66" spans="1:20" outlineLevel="1" x14ac:dyDescent="0.25">
      <c r="A66" s="6" t="s">
        <v>15</v>
      </c>
      <c r="B66" t="s">
        <v>79</v>
      </c>
      <c r="C66" s="16">
        <v>0.75</v>
      </c>
      <c r="D66">
        <v>12</v>
      </c>
      <c r="E66" s="16">
        <v>0.75</v>
      </c>
      <c r="F66">
        <v>12</v>
      </c>
      <c r="G66" s="16">
        <v>0.75</v>
      </c>
      <c r="H66">
        <v>12</v>
      </c>
      <c r="I66" s="16">
        <v>0.71428571428571397</v>
      </c>
      <c r="J66">
        <v>7</v>
      </c>
      <c r="K66" s="16">
        <v>0.71428571428571397</v>
      </c>
      <c r="L66">
        <v>7</v>
      </c>
      <c r="M66" s="16">
        <v>0.71428571428571397</v>
      </c>
      <c r="N66">
        <v>7</v>
      </c>
      <c r="O66" s="16">
        <v>0.8</v>
      </c>
      <c r="P66">
        <v>5</v>
      </c>
      <c r="Q66" s="16">
        <v>0.8</v>
      </c>
      <c r="R66">
        <v>5</v>
      </c>
      <c r="S66" s="16">
        <v>0.8</v>
      </c>
      <c r="T66" s="11">
        <v>5</v>
      </c>
    </row>
    <row r="67" spans="1:20" outlineLevel="1" x14ac:dyDescent="0.25">
      <c r="A67" s="6" t="s">
        <v>15</v>
      </c>
      <c r="B67" t="s">
        <v>80</v>
      </c>
      <c r="C67" s="16">
        <v>0.5</v>
      </c>
      <c r="D67">
        <v>4</v>
      </c>
      <c r="E67" s="16">
        <v>0.5</v>
      </c>
      <c r="F67">
        <v>4</v>
      </c>
      <c r="G67" s="16">
        <v>0.5</v>
      </c>
      <c r="H67">
        <v>4</v>
      </c>
      <c r="I67" s="16">
        <v>0.33333333333333298</v>
      </c>
      <c r="J67">
        <v>3</v>
      </c>
      <c r="K67" s="16">
        <v>0.33333333333333298</v>
      </c>
      <c r="L67">
        <v>3</v>
      </c>
      <c r="M67" s="16">
        <v>0.33333333333333298</v>
      </c>
      <c r="N67">
        <v>3</v>
      </c>
      <c r="O67" s="16">
        <v>1</v>
      </c>
      <c r="P67">
        <v>1</v>
      </c>
      <c r="Q67" s="16">
        <v>1</v>
      </c>
      <c r="R67">
        <v>1</v>
      </c>
      <c r="S67" s="16">
        <v>1</v>
      </c>
      <c r="T67" s="11">
        <v>1</v>
      </c>
    </row>
    <row r="68" spans="1:20" outlineLevel="1" x14ac:dyDescent="0.25">
      <c r="A68" s="6" t="s">
        <v>15</v>
      </c>
      <c r="B68" t="s">
        <v>81</v>
      </c>
      <c r="C68" s="16">
        <v>0.73333333333333295</v>
      </c>
      <c r="D68">
        <v>15</v>
      </c>
      <c r="E68" s="16">
        <v>0.66666666666666696</v>
      </c>
      <c r="F68">
        <v>15</v>
      </c>
      <c r="G68" s="16">
        <v>0.33333333333333298</v>
      </c>
      <c r="H68">
        <v>15</v>
      </c>
      <c r="I68" s="16">
        <v>0.75</v>
      </c>
      <c r="J68">
        <v>4</v>
      </c>
      <c r="K68" s="16">
        <v>0.75</v>
      </c>
      <c r="L68">
        <v>4</v>
      </c>
      <c r="M68" s="16"/>
      <c r="O68" s="16">
        <v>0.72727272727272696</v>
      </c>
      <c r="P68">
        <v>11</v>
      </c>
      <c r="Q68" s="16">
        <v>0.63636363636363602</v>
      </c>
      <c r="R68">
        <v>11</v>
      </c>
      <c r="S68" s="16">
        <v>0.45454545454545497</v>
      </c>
      <c r="T68" s="11">
        <v>11</v>
      </c>
    </row>
    <row r="69" spans="1:20" outlineLevel="1" x14ac:dyDescent="0.25">
      <c r="A69" s="6" t="s">
        <v>15</v>
      </c>
      <c r="B69" t="s">
        <v>82</v>
      </c>
      <c r="C69" s="16">
        <v>0.8</v>
      </c>
      <c r="D69">
        <v>5</v>
      </c>
      <c r="E69" s="16">
        <v>0.8</v>
      </c>
      <c r="F69">
        <v>5</v>
      </c>
      <c r="G69" s="16">
        <v>0.4</v>
      </c>
      <c r="H69">
        <v>5</v>
      </c>
      <c r="I69" s="16">
        <v>1</v>
      </c>
      <c r="J69">
        <v>2</v>
      </c>
      <c r="K69" s="16">
        <v>1</v>
      </c>
      <c r="L69">
        <v>2</v>
      </c>
      <c r="M69" s="16">
        <v>0.5</v>
      </c>
      <c r="N69">
        <v>2</v>
      </c>
      <c r="O69" s="16">
        <v>0.66666666666666696</v>
      </c>
      <c r="P69">
        <v>3</v>
      </c>
      <c r="Q69" s="16">
        <v>0.66666666666666696</v>
      </c>
      <c r="R69">
        <v>3</v>
      </c>
      <c r="S69" s="16">
        <v>0.33333333333333298</v>
      </c>
      <c r="T69" s="11">
        <v>3</v>
      </c>
    </row>
    <row r="70" spans="1:20" outlineLevel="1" x14ac:dyDescent="0.25">
      <c r="A70" s="7" t="s">
        <v>15</v>
      </c>
      <c r="B70" s="9" t="s">
        <v>83</v>
      </c>
      <c r="C70" s="15">
        <v>0.97224195816511105</v>
      </c>
      <c r="D70" s="9">
        <v>39</v>
      </c>
      <c r="E70" s="15">
        <v>0.97224195816511105</v>
      </c>
      <c r="F70" s="9">
        <v>39</v>
      </c>
      <c r="G70" s="15">
        <v>0.34491306864766602</v>
      </c>
      <c r="H70" s="9">
        <v>39</v>
      </c>
      <c r="I70" s="15">
        <v>0.94115938078138395</v>
      </c>
      <c r="J70" s="9">
        <v>13</v>
      </c>
      <c r="K70" s="15">
        <v>0.94115938078138395</v>
      </c>
      <c r="L70" s="9">
        <v>13</v>
      </c>
      <c r="M70" s="15">
        <v>0.494671581241382</v>
      </c>
      <c r="N70" s="9">
        <v>13</v>
      </c>
      <c r="O70" s="15">
        <v>0.98175052886158798</v>
      </c>
      <c r="P70" s="9">
        <v>26</v>
      </c>
      <c r="Q70" s="15">
        <v>0.98175052886158798</v>
      </c>
      <c r="R70" s="9">
        <v>26</v>
      </c>
      <c r="S70" s="15">
        <v>0.29909996290624902</v>
      </c>
      <c r="T70" s="12">
        <v>26</v>
      </c>
    </row>
    <row r="71" spans="1:20" x14ac:dyDescent="0.25">
      <c r="C71" s="16"/>
      <c r="E71" s="16"/>
      <c r="G71" s="16"/>
      <c r="I71" s="16"/>
      <c r="K71" s="16"/>
      <c r="M71" s="16"/>
      <c r="O71" s="16"/>
      <c r="Q71" s="16"/>
      <c r="S71" s="16"/>
    </row>
    <row r="72" spans="1:20" x14ac:dyDescent="0.25">
      <c r="A72" s="19" t="s">
        <v>84</v>
      </c>
      <c r="B72" s="19"/>
      <c r="C72" s="20"/>
      <c r="D72" s="19"/>
      <c r="E72" s="20"/>
      <c r="F72" s="19"/>
      <c r="G72" s="20"/>
      <c r="H72" s="19"/>
      <c r="I72" s="20"/>
      <c r="J72" s="19"/>
      <c r="K72" s="20"/>
      <c r="L72" s="19"/>
      <c r="M72" s="20"/>
      <c r="N72" s="19"/>
      <c r="O72" s="20"/>
      <c r="P72" s="19"/>
      <c r="Q72" s="20"/>
      <c r="R72" s="19"/>
      <c r="S72" s="20"/>
      <c r="T72" s="19"/>
    </row>
    <row r="73" spans="1:20" outlineLevel="1" x14ac:dyDescent="0.25">
      <c r="A73" s="5" t="s">
        <v>15</v>
      </c>
      <c r="B73" s="8" t="s">
        <v>85</v>
      </c>
      <c r="C73" s="14">
        <v>0.388948685864271</v>
      </c>
      <c r="D73" s="8">
        <v>180</v>
      </c>
      <c r="E73" s="14">
        <v>0.388948685864271</v>
      </c>
      <c r="F73" s="8">
        <v>180</v>
      </c>
      <c r="G73" s="14">
        <v>0.16146489180998999</v>
      </c>
      <c r="H73" s="8">
        <v>180</v>
      </c>
      <c r="I73" s="14">
        <v>0.401690184263443</v>
      </c>
      <c r="J73" s="8">
        <v>83</v>
      </c>
      <c r="K73" s="14">
        <v>0.401690184263443</v>
      </c>
      <c r="L73" s="8">
        <v>83</v>
      </c>
      <c r="M73" s="14">
        <v>0.15701523888820901</v>
      </c>
      <c r="N73" s="8">
        <v>83</v>
      </c>
      <c r="O73" s="14">
        <v>0.37717605870910598</v>
      </c>
      <c r="P73" s="8">
        <v>97</v>
      </c>
      <c r="Q73" s="14">
        <v>0.37717605870910598</v>
      </c>
      <c r="R73" s="8">
        <v>97</v>
      </c>
      <c r="S73" s="14">
        <v>0.165576190432561</v>
      </c>
      <c r="T73" s="10">
        <v>97</v>
      </c>
    </row>
    <row r="74" spans="1:20" outlineLevel="1" x14ac:dyDescent="0.25">
      <c r="A74" s="6" t="s">
        <v>15</v>
      </c>
      <c r="B74" t="s">
        <v>86</v>
      </c>
      <c r="C74" s="16">
        <v>0.217391304347826</v>
      </c>
      <c r="D74">
        <v>23</v>
      </c>
      <c r="E74" s="16">
        <v>0.217391304347826</v>
      </c>
      <c r="F74">
        <v>23</v>
      </c>
      <c r="G74" s="16">
        <v>0.13043478260869601</v>
      </c>
      <c r="H74">
        <v>23</v>
      </c>
      <c r="I74" s="16">
        <v>0.11111111111111099</v>
      </c>
      <c r="J74">
        <v>9</v>
      </c>
      <c r="K74" s="16">
        <v>0.11111111111111099</v>
      </c>
      <c r="L74">
        <v>9</v>
      </c>
      <c r="M74" s="16">
        <v>0.11111111111111099</v>
      </c>
      <c r="N74">
        <v>9</v>
      </c>
      <c r="O74" s="16">
        <v>0.30769230769230799</v>
      </c>
      <c r="P74">
        <v>13</v>
      </c>
      <c r="Q74" s="16">
        <v>0.30769230769230799</v>
      </c>
      <c r="R74">
        <v>13</v>
      </c>
      <c r="S74" s="16">
        <v>0.15384615384615399</v>
      </c>
      <c r="T74" s="11">
        <v>13</v>
      </c>
    </row>
    <row r="75" spans="1:20" outlineLevel="1" x14ac:dyDescent="0.25">
      <c r="A75" s="6" t="s">
        <v>15</v>
      </c>
      <c r="B75" t="s">
        <v>87</v>
      </c>
      <c r="C75" s="16">
        <v>0.77160248409225496</v>
      </c>
      <c r="D75">
        <v>263</v>
      </c>
      <c r="E75" s="16">
        <v>0.76615063500143599</v>
      </c>
      <c r="F75">
        <v>262</v>
      </c>
      <c r="G75" s="16">
        <v>0.43391515800188402</v>
      </c>
      <c r="H75">
        <v>262</v>
      </c>
      <c r="I75" s="16">
        <v>0.73918209791743295</v>
      </c>
      <c r="J75">
        <v>117</v>
      </c>
      <c r="K75" s="16">
        <v>0.73918209791743295</v>
      </c>
      <c r="L75">
        <v>117</v>
      </c>
      <c r="M75" s="16">
        <v>0.43877742389659402</v>
      </c>
      <c r="N75">
        <v>117</v>
      </c>
      <c r="O75" s="16">
        <v>0.79828685255425802</v>
      </c>
      <c r="P75">
        <v>146</v>
      </c>
      <c r="Q75" s="16">
        <v>0.78882920303226101</v>
      </c>
      <c r="R75">
        <v>145</v>
      </c>
      <c r="S75" s="16">
        <v>0.42982634786236201</v>
      </c>
      <c r="T75" s="11">
        <v>145</v>
      </c>
    </row>
    <row r="76" spans="1:20" outlineLevel="1" x14ac:dyDescent="0.25">
      <c r="A76" s="7" t="s">
        <v>15</v>
      </c>
      <c r="B76" s="9" t="s">
        <v>88</v>
      </c>
      <c r="C76" s="15">
        <v>0.38672453573631699</v>
      </c>
      <c r="D76" s="9">
        <v>159</v>
      </c>
      <c r="E76" s="15">
        <v>0.38672453573631699</v>
      </c>
      <c r="F76" s="9">
        <v>159</v>
      </c>
      <c r="G76" s="15">
        <v>0.21205280121641601</v>
      </c>
      <c r="H76" s="9">
        <v>159</v>
      </c>
      <c r="I76" s="15">
        <v>0.45721302478605902</v>
      </c>
      <c r="J76" s="9">
        <v>81</v>
      </c>
      <c r="K76" s="15">
        <v>0.45721302478605902</v>
      </c>
      <c r="L76" s="9">
        <v>81</v>
      </c>
      <c r="M76" s="15">
        <v>0.247776082965944</v>
      </c>
      <c r="N76" s="9">
        <v>81</v>
      </c>
      <c r="O76" s="15">
        <v>0.32662556216282101</v>
      </c>
      <c r="P76" s="9">
        <v>78</v>
      </c>
      <c r="Q76" s="15">
        <v>0.32662556216282101</v>
      </c>
      <c r="R76" s="9">
        <v>78</v>
      </c>
      <c r="S76" s="15">
        <v>0.181594883976788</v>
      </c>
      <c r="T76" s="12">
        <v>78</v>
      </c>
    </row>
    <row r="77" spans="1:20" x14ac:dyDescent="0.25">
      <c r="C77" s="16"/>
      <c r="E77" s="16"/>
      <c r="G77" s="16"/>
      <c r="I77" s="16"/>
      <c r="K77" s="16"/>
      <c r="M77" s="16"/>
      <c r="O77" s="16"/>
      <c r="Q77" s="16"/>
      <c r="S77" s="16"/>
    </row>
    <row r="78" spans="1:20" x14ac:dyDescent="0.25">
      <c r="A78" s="19" t="s">
        <v>89</v>
      </c>
      <c r="B78" s="19"/>
      <c r="C78" s="20"/>
      <c r="D78" s="19"/>
      <c r="E78" s="20"/>
      <c r="F78" s="19"/>
      <c r="G78" s="20"/>
      <c r="H78" s="19"/>
      <c r="I78" s="20"/>
      <c r="J78" s="19"/>
      <c r="K78" s="20"/>
      <c r="L78" s="19"/>
      <c r="M78" s="20"/>
      <c r="N78" s="19"/>
      <c r="O78" s="20"/>
      <c r="P78" s="19"/>
      <c r="Q78" s="20"/>
      <c r="R78" s="19"/>
      <c r="S78" s="20"/>
      <c r="T78" s="19"/>
    </row>
    <row r="79" spans="1:20" outlineLevel="1" x14ac:dyDescent="0.25">
      <c r="A79" s="5" t="s">
        <v>15</v>
      </c>
      <c r="B79" s="8" t="s">
        <v>90</v>
      </c>
      <c r="C79" s="14">
        <v>0.34242909185822901</v>
      </c>
      <c r="D79" s="8">
        <v>141</v>
      </c>
      <c r="E79" s="14">
        <v>0.34242909185822901</v>
      </c>
      <c r="F79" s="8">
        <v>141</v>
      </c>
      <c r="G79" s="14">
        <v>0.116715298752418</v>
      </c>
      <c r="H79" s="8">
        <v>141</v>
      </c>
      <c r="I79" s="14">
        <v>0.379829950678782</v>
      </c>
      <c r="J79" s="8">
        <v>64</v>
      </c>
      <c r="K79" s="14">
        <v>0.379829950678782</v>
      </c>
      <c r="L79" s="8">
        <v>64</v>
      </c>
      <c r="M79" s="14">
        <v>0.117394663748991</v>
      </c>
      <c r="N79" s="8">
        <v>64</v>
      </c>
      <c r="O79" s="14">
        <v>0.31035810499081601</v>
      </c>
      <c r="P79" s="8">
        <v>77</v>
      </c>
      <c r="Q79" s="14">
        <v>0.31035810499081601</v>
      </c>
      <c r="R79" s="8">
        <v>77</v>
      </c>
      <c r="S79" s="14">
        <v>0.116132747801174</v>
      </c>
      <c r="T79" s="10">
        <v>77</v>
      </c>
    </row>
    <row r="80" spans="1:20" outlineLevel="1" x14ac:dyDescent="0.25">
      <c r="A80" s="6" t="s">
        <v>15</v>
      </c>
      <c r="B80" t="s">
        <v>91</v>
      </c>
      <c r="C80" s="16">
        <v>0.62389607239163902</v>
      </c>
      <c r="D80">
        <v>39</v>
      </c>
      <c r="E80" s="16">
        <v>0.62389607239163902</v>
      </c>
      <c r="F80">
        <v>39</v>
      </c>
      <c r="G80" s="16">
        <v>0.38747288181252898</v>
      </c>
      <c r="H80">
        <v>39</v>
      </c>
      <c r="I80" s="16">
        <v>0.490457367335564</v>
      </c>
      <c r="J80">
        <v>19</v>
      </c>
      <c r="K80" s="16">
        <v>0.490457367335564</v>
      </c>
      <c r="L80">
        <v>19</v>
      </c>
      <c r="M80" s="16">
        <v>0.31790129864530098</v>
      </c>
      <c r="N80">
        <v>19</v>
      </c>
      <c r="O80" s="16">
        <v>0.80381886540898995</v>
      </c>
      <c r="P80">
        <v>20</v>
      </c>
      <c r="Q80" s="16">
        <v>0.80381886540898995</v>
      </c>
      <c r="R80">
        <v>20</v>
      </c>
      <c r="S80" s="16">
        <v>0.48128009878774097</v>
      </c>
      <c r="T80" s="11">
        <v>20</v>
      </c>
    </row>
    <row r="81" spans="1:20" outlineLevel="1" x14ac:dyDescent="0.25">
      <c r="A81" s="6" t="s">
        <v>15</v>
      </c>
      <c r="B81" t="s">
        <v>92</v>
      </c>
      <c r="C81" s="16">
        <v>0.266666666666667</v>
      </c>
      <c r="D81">
        <v>15</v>
      </c>
      <c r="E81" s="16">
        <v>0.266666666666667</v>
      </c>
      <c r="F81">
        <v>15</v>
      </c>
      <c r="G81" s="16">
        <v>0.2</v>
      </c>
      <c r="H81">
        <v>15</v>
      </c>
      <c r="I81" s="16">
        <v>0.16666666666666699</v>
      </c>
      <c r="J81">
        <v>6</v>
      </c>
      <c r="K81" s="16">
        <v>0.16666666666666699</v>
      </c>
      <c r="L81">
        <v>6</v>
      </c>
      <c r="M81" s="16">
        <v>0.16666666666666699</v>
      </c>
      <c r="N81">
        <v>6</v>
      </c>
      <c r="O81" s="16">
        <v>0.375</v>
      </c>
      <c r="P81">
        <v>8</v>
      </c>
      <c r="Q81" s="16">
        <v>0.375</v>
      </c>
      <c r="R81">
        <v>8</v>
      </c>
      <c r="S81" s="16">
        <v>0.25</v>
      </c>
      <c r="T81" s="11">
        <v>8</v>
      </c>
    </row>
    <row r="82" spans="1:20" outlineLevel="1" x14ac:dyDescent="0.25">
      <c r="A82" s="6" t="s">
        <v>15</v>
      </c>
      <c r="B82" t="s">
        <v>93</v>
      </c>
      <c r="C82" s="16">
        <v>0.125</v>
      </c>
      <c r="D82">
        <v>8</v>
      </c>
      <c r="E82" s="16">
        <v>0.125</v>
      </c>
      <c r="F82">
        <v>8</v>
      </c>
      <c r="G82" s="16"/>
      <c r="I82" s="16"/>
      <c r="K82" s="16"/>
      <c r="M82" s="16"/>
      <c r="O82" s="16">
        <v>0.2</v>
      </c>
      <c r="P82">
        <v>5</v>
      </c>
      <c r="Q82" s="16">
        <v>0.2</v>
      </c>
      <c r="R82">
        <v>5</v>
      </c>
      <c r="S82" s="16"/>
      <c r="T82" s="11"/>
    </row>
    <row r="83" spans="1:20" outlineLevel="1" x14ac:dyDescent="0.25">
      <c r="A83" s="6" t="s">
        <v>15</v>
      </c>
      <c r="B83" t="s">
        <v>94</v>
      </c>
      <c r="C83" s="16">
        <v>0.75485337773775296</v>
      </c>
      <c r="D83">
        <v>178</v>
      </c>
      <c r="E83" s="16">
        <v>0.75068494838732402</v>
      </c>
      <c r="F83">
        <v>177</v>
      </c>
      <c r="G83" s="16">
        <v>0.467080636184519</v>
      </c>
      <c r="H83">
        <v>177</v>
      </c>
      <c r="I83" s="16">
        <v>0.73953860262188498</v>
      </c>
      <c r="J83">
        <v>84</v>
      </c>
      <c r="K83" s="16">
        <v>0.73953860262188498</v>
      </c>
      <c r="L83">
        <v>84</v>
      </c>
      <c r="M83" s="16">
        <v>0.45441044238455203</v>
      </c>
      <c r="N83">
        <v>84</v>
      </c>
      <c r="O83" s="16">
        <v>0.76871754150519001</v>
      </c>
      <c r="P83">
        <v>94</v>
      </c>
      <c r="Q83" s="16">
        <v>0.76110753064162395</v>
      </c>
      <c r="R83">
        <v>93</v>
      </c>
      <c r="S83" s="16">
        <v>0.47892811874400698</v>
      </c>
      <c r="T83" s="11">
        <v>93</v>
      </c>
    </row>
    <row r="84" spans="1:20" outlineLevel="1" x14ac:dyDescent="0.25">
      <c r="A84" s="6" t="s">
        <v>15</v>
      </c>
      <c r="B84" t="s">
        <v>95</v>
      </c>
      <c r="C84" s="16">
        <v>0.81004203370680905</v>
      </c>
      <c r="D84">
        <v>85</v>
      </c>
      <c r="E84" s="16">
        <v>0.80105126537086202</v>
      </c>
      <c r="F84">
        <v>85</v>
      </c>
      <c r="G84" s="16">
        <v>0.35907230595409401</v>
      </c>
      <c r="H84">
        <v>85</v>
      </c>
      <c r="I84" s="16">
        <v>0.73820325936669995</v>
      </c>
      <c r="J84">
        <v>33</v>
      </c>
      <c r="K84" s="16">
        <v>0.73820325936669995</v>
      </c>
      <c r="L84">
        <v>33</v>
      </c>
      <c r="M84" s="16">
        <v>0.39585456490131798</v>
      </c>
      <c r="N84">
        <v>33</v>
      </c>
      <c r="O84" s="16">
        <v>0.85737040736022097</v>
      </c>
      <c r="P84">
        <v>52</v>
      </c>
      <c r="Q84" s="16">
        <v>0.842456397054409</v>
      </c>
      <c r="R84">
        <v>52</v>
      </c>
      <c r="S84" s="16">
        <v>0.33483964732006699</v>
      </c>
      <c r="T84" s="11">
        <v>52</v>
      </c>
    </row>
    <row r="85" spans="1:20" outlineLevel="1" x14ac:dyDescent="0.25">
      <c r="A85" s="6" t="s">
        <v>15</v>
      </c>
      <c r="B85" t="s">
        <v>96</v>
      </c>
      <c r="C85" s="16">
        <v>0.30404783012963699</v>
      </c>
      <c r="D85">
        <v>128</v>
      </c>
      <c r="E85" s="16">
        <v>0.30404783012963699</v>
      </c>
      <c r="F85">
        <v>128</v>
      </c>
      <c r="G85" s="16">
        <v>0.14792992478661701</v>
      </c>
      <c r="H85">
        <v>128</v>
      </c>
      <c r="I85" s="16">
        <v>0.36791979290527199</v>
      </c>
      <c r="J85">
        <v>64</v>
      </c>
      <c r="K85" s="16">
        <v>0.36791979290527199</v>
      </c>
      <c r="L85">
        <v>64</v>
      </c>
      <c r="M85" s="16">
        <v>0.226681941467471</v>
      </c>
      <c r="N85">
        <v>64</v>
      </c>
      <c r="O85" s="16">
        <v>0.25089636125290299</v>
      </c>
      <c r="P85">
        <v>64</v>
      </c>
      <c r="Q85" s="16">
        <v>0.25089636125290299</v>
      </c>
      <c r="R85">
        <v>64</v>
      </c>
      <c r="S85" s="16">
        <v>8.2395922359040599E-2</v>
      </c>
      <c r="T85" s="11">
        <v>64</v>
      </c>
    </row>
    <row r="86" spans="1:20" outlineLevel="1" x14ac:dyDescent="0.25">
      <c r="A86" s="7" t="s">
        <v>15</v>
      </c>
      <c r="B86" s="9" t="s">
        <v>97</v>
      </c>
      <c r="C86" s="15">
        <v>0.67589350884096999</v>
      </c>
      <c r="D86" s="9">
        <v>31</v>
      </c>
      <c r="E86" s="15">
        <v>0.67589350884096999</v>
      </c>
      <c r="F86" s="9">
        <v>31</v>
      </c>
      <c r="G86" s="15">
        <v>0.43632814205950099</v>
      </c>
      <c r="H86" s="9">
        <v>31</v>
      </c>
      <c r="I86" s="15">
        <v>0.75194004285107197</v>
      </c>
      <c r="J86" s="9">
        <v>17</v>
      </c>
      <c r="K86" s="15">
        <v>0.75194004285107197</v>
      </c>
      <c r="L86" s="9">
        <v>17</v>
      </c>
      <c r="M86" s="15">
        <v>0.31740077110341303</v>
      </c>
      <c r="N86" s="9">
        <v>17</v>
      </c>
      <c r="O86" s="15">
        <v>0.60533215644818905</v>
      </c>
      <c r="P86" s="9">
        <v>14</v>
      </c>
      <c r="Q86" s="15">
        <v>0.60533215644818905</v>
      </c>
      <c r="R86" s="9">
        <v>14</v>
      </c>
      <c r="S86" s="15">
        <v>0.54667736757534902</v>
      </c>
      <c r="T86" s="12">
        <v>14</v>
      </c>
    </row>
    <row r="87" spans="1:20" x14ac:dyDescent="0.25">
      <c r="C87" s="16"/>
      <c r="E87" s="16"/>
      <c r="G87" s="16"/>
      <c r="I87" s="16"/>
      <c r="K87" s="16"/>
      <c r="M87" s="16"/>
      <c r="O87" s="16"/>
      <c r="Q87" s="16"/>
      <c r="S87" s="16"/>
    </row>
    <row r="88" spans="1:20" x14ac:dyDescent="0.25">
      <c r="A88" s="19" t="s">
        <v>98</v>
      </c>
      <c r="B88" s="19"/>
      <c r="C88" s="20"/>
      <c r="D88" s="19"/>
      <c r="E88" s="20"/>
      <c r="F88" s="19"/>
      <c r="G88" s="20"/>
      <c r="H88" s="19"/>
      <c r="I88" s="20"/>
      <c r="J88" s="19"/>
      <c r="K88" s="20"/>
      <c r="L88" s="19"/>
      <c r="M88" s="20"/>
      <c r="N88" s="19"/>
      <c r="O88" s="20"/>
      <c r="P88" s="19"/>
      <c r="Q88" s="20"/>
      <c r="R88" s="19"/>
      <c r="S88" s="20"/>
      <c r="T88" s="19"/>
    </row>
    <row r="89" spans="1:20" outlineLevel="1" x14ac:dyDescent="0.25">
      <c r="A89" s="5" t="s">
        <v>15</v>
      </c>
      <c r="B89" s="8" t="s">
        <v>99</v>
      </c>
      <c r="C89" s="14">
        <v>0.38464173864836299</v>
      </c>
      <c r="D89" s="8">
        <v>77</v>
      </c>
      <c r="E89" s="14">
        <v>0.38464173864836299</v>
      </c>
      <c r="F89" s="8">
        <v>77</v>
      </c>
      <c r="G89" s="14">
        <v>0.10651398117807299</v>
      </c>
      <c r="H89" s="8">
        <v>77</v>
      </c>
      <c r="I89" s="14">
        <v>0.37227809926945699</v>
      </c>
      <c r="J89" s="8">
        <v>36</v>
      </c>
      <c r="K89" s="14">
        <v>0.37227809926945699</v>
      </c>
      <c r="L89" s="8">
        <v>36</v>
      </c>
      <c r="M89" s="14">
        <v>8.9207950951255402E-2</v>
      </c>
      <c r="N89" s="8">
        <v>36</v>
      </c>
      <c r="O89" s="14">
        <v>0.39940001666988401</v>
      </c>
      <c r="P89" s="8">
        <v>41</v>
      </c>
      <c r="Q89" s="14">
        <v>0.39940001666988401</v>
      </c>
      <c r="R89" s="8">
        <v>41</v>
      </c>
      <c r="S89" s="14">
        <v>0.12717191188187399</v>
      </c>
      <c r="T89" s="10">
        <v>41</v>
      </c>
    </row>
    <row r="90" spans="1:20" outlineLevel="1" x14ac:dyDescent="0.25">
      <c r="A90" s="6" t="s">
        <v>15</v>
      </c>
      <c r="B90" t="s">
        <v>100</v>
      </c>
      <c r="C90" s="16">
        <v>0.39332320294805501</v>
      </c>
      <c r="D90">
        <v>103</v>
      </c>
      <c r="E90" s="16">
        <v>0.39332320294805501</v>
      </c>
      <c r="F90">
        <v>103</v>
      </c>
      <c r="G90" s="16">
        <v>0.21727790396880201</v>
      </c>
      <c r="H90">
        <v>103</v>
      </c>
      <c r="I90" s="16">
        <v>0.44082919595292602</v>
      </c>
      <c r="J90">
        <v>47</v>
      </c>
      <c r="K90" s="16">
        <v>0.44082919595292602</v>
      </c>
      <c r="L90">
        <v>47</v>
      </c>
      <c r="M90" s="16">
        <v>0.24724720427724101</v>
      </c>
      <c r="N90">
        <v>47</v>
      </c>
      <c r="O90" s="16">
        <v>0.3595767319798</v>
      </c>
      <c r="P90">
        <v>56</v>
      </c>
      <c r="Q90" s="16">
        <v>0.3595767319798</v>
      </c>
      <c r="R90">
        <v>56</v>
      </c>
      <c r="S90" s="16">
        <v>0.195988840024934</v>
      </c>
      <c r="T90" s="11">
        <v>56</v>
      </c>
    </row>
    <row r="91" spans="1:20" outlineLevel="1" x14ac:dyDescent="0.25">
      <c r="A91" s="6" t="s">
        <v>15</v>
      </c>
      <c r="B91" t="s">
        <v>101</v>
      </c>
      <c r="C91" s="16"/>
      <c r="E91" s="16"/>
      <c r="G91" s="16"/>
      <c r="I91" s="16">
        <v>0.72886179446726795</v>
      </c>
      <c r="J91">
        <v>207</v>
      </c>
      <c r="K91" s="16">
        <v>0.72886179446726795</v>
      </c>
      <c r="L91">
        <v>207</v>
      </c>
      <c r="M91" s="16">
        <v>0.43308374387335102</v>
      </c>
      <c r="N91">
        <v>207</v>
      </c>
      <c r="O91" s="16">
        <v>0.78736326847626803</v>
      </c>
      <c r="P91">
        <v>237</v>
      </c>
      <c r="Q91" s="16">
        <v>0.77789170673027797</v>
      </c>
      <c r="R91">
        <v>236</v>
      </c>
      <c r="S91" s="16">
        <v>0.42366973780642397</v>
      </c>
      <c r="T91" s="11">
        <v>236</v>
      </c>
    </row>
    <row r="92" spans="1:20" outlineLevel="1" x14ac:dyDescent="0.25">
      <c r="A92" s="7" t="s">
        <v>15</v>
      </c>
      <c r="B92" s="9" t="s">
        <v>15</v>
      </c>
      <c r="C92" s="15">
        <v>0.76047853919024799</v>
      </c>
      <c r="D92" s="9">
        <v>445</v>
      </c>
      <c r="E92" s="15">
        <v>0.75502088419762403</v>
      </c>
      <c r="F92" s="9">
        <v>444</v>
      </c>
      <c r="G92" s="15">
        <v>0.42767606508364397</v>
      </c>
      <c r="H92" s="9">
        <v>444</v>
      </c>
      <c r="I92" s="15"/>
      <c r="J92" s="9"/>
      <c r="K92" s="15"/>
      <c r="L92" s="9"/>
      <c r="M92" s="15"/>
      <c r="N92" s="9"/>
      <c r="O92" s="15"/>
      <c r="P92" s="9"/>
      <c r="Q92" s="15"/>
      <c r="R92" s="9"/>
      <c r="S92" s="15"/>
      <c r="T92" s="12"/>
    </row>
    <row r="93" spans="1:20" x14ac:dyDescent="0.25">
      <c r="C93" s="16"/>
      <c r="E93" s="16"/>
      <c r="G93" s="16"/>
      <c r="I93" s="16"/>
      <c r="K93" s="16"/>
      <c r="M93" s="16"/>
      <c r="O93" s="16"/>
      <c r="Q93" s="16"/>
      <c r="S93" s="16"/>
    </row>
    <row r="94" spans="1:20" x14ac:dyDescent="0.25">
      <c r="A94" s="19" t="s">
        <v>102</v>
      </c>
      <c r="B94" s="19"/>
      <c r="C94" s="20"/>
      <c r="D94" s="19"/>
      <c r="E94" s="20"/>
      <c r="F94" s="19"/>
      <c r="G94" s="20"/>
      <c r="H94" s="19"/>
      <c r="I94" s="20"/>
      <c r="J94" s="19"/>
      <c r="K94" s="20"/>
      <c r="L94" s="19"/>
      <c r="M94" s="20"/>
      <c r="N94" s="19"/>
      <c r="O94" s="20"/>
      <c r="P94" s="19"/>
      <c r="Q94" s="20"/>
      <c r="R94" s="19"/>
      <c r="S94" s="20"/>
      <c r="T94" s="19"/>
    </row>
    <row r="95" spans="1:20" outlineLevel="1" x14ac:dyDescent="0.25">
      <c r="A95" s="5" t="s">
        <v>15</v>
      </c>
      <c r="B95" s="8" t="s">
        <v>101</v>
      </c>
      <c r="C95" s="14"/>
      <c r="D95" s="8"/>
      <c r="E95" s="14"/>
      <c r="F95" s="8"/>
      <c r="G95" s="14"/>
      <c r="H95" s="8"/>
      <c r="I95" s="14">
        <v>0.73079098028060496</v>
      </c>
      <c r="J95" s="8">
        <v>126</v>
      </c>
      <c r="K95" s="14">
        <v>0.73079098028060496</v>
      </c>
      <c r="L95" s="8">
        <v>126</v>
      </c>
      <c r="M95" s="14">
        <v>0.434399755394201</v>
      </c>
      <c r="N95" s="8">
        <v>126</v>
      </c>
      <c r="O95" s="14">
        <v>0.79051402899044698</v>
      </c>
      <c r="P95" s="8">
        <v>159</v>
      </c>
      <c r="Q95" s="14">
        <v>0.78104355034358397</v>
      </c>
      <c r="R95" s="8">
        <v>158</v>
      </c>
      <c r="S95" s="14">
        <v>0.42536049633367001</v>
      </c>
      <c r="T95" s="10">
        <v>158</v>
      </c>
    </row>
    <row r="96" spans="1:20" outlineLevel="1" x14ac:dyDescent="0.25">
      <c r="A96" s="6" t="s">
        <v>15</v>
      </c>
      <c r="B96" t="s">
        <v>103</v>
      </c>
      <c r="C96" s="16">
        <v>0.37626245152633903</v>
      </c>
      <c r="D96">
        <v>253</v>
      </c>
      <c r="E96" s="16">
        <v>0.37626245152633903</v>
      </c>
      <c r="F96">
        <v>253</v>
      </c>
      <c r="G96" s="16">
        <v>0.15213803397753201</v>
      </c>
      <c r="H96">
        <v>253</v>
      </c>
      <c r="I96" s="16">
        <v>0.36662498129288701</v>
      </c>
      <c r="J96">
        <v>116</v>
      </c>
      <c r="K96" s="16">
        <v>0.36662498129288701</v>
      </c>
      <c r="L96">
        <v>116</v>
      </c>
      <c r="M96" s="16">
        <v>0.13157805947090201</v>
      </c>
      <c r="N96">
        <v>116</v>
      </c>
      <c r="O96" s="16">
        <v>0.385092582909004</v>
      </c>
      <c r="P96">
        <v>137</v>
      </c>
      <c r="Q96" s="16">
        <v>0.385092582909004</v>
      </c>
      <c r="R96">
        <v>137</v>
      </c>
      <c r="S96" s="16">
        <v>0.170975682418471</v>
      </c>
      <c r="T96" s="11">
        <v>137</v>
      </c>
    </row>
    <row r="97" spans="1:20" outlineLevel="1" x14ac:dyDescent="0.25">
      <c r="A97" s="6" t="s">
        <v>15</v>
      </c>
      <c r="B97" t="s">
        <v>104</v>
      </c>
      <c r="C97" s="16">
        <v>0.20411645382524099</v>
      </c>
      <c r="D97">
        <v>37</v>
      </c>
      <c r="E97" s="16">
        <v>0.20411645382524099</v>
      </c>
      <c r="F97">
        <v>37</v>
      </c>
      <c r="G97" s="16">
        <v>8.6560428087782595E-2</v>
      </c>
      <c r="H97">
        <v>37</v>
      </c>
      <c r="I97" s="16">
        <v>0.333220623261339</v>
      </c>
      <c r="J97">
        <v>22</v>
      </c>
      <c r="K97" s="16">
        <v>0.333220623261339</v>
      </c>
      <c r="L97">
        <v>22</v>
      </c>
      <c r="M97" s="16">
        <v>0.14758330123387201</v>
      </c>
      <c r="N97">
        <v>22</v>
      </c>
      <c r="O97" s="16">
        <v>0.109479644244051</v>
      </c>
      <c r="P97">
        <v>15</v>
      </c>
      <c r="Q97" s="16">
        <v>0.109479644244051</v>
      </c>
      <c r="R97">
        <v>15</v>
      </c>
      <c r="S97" s="16">
        <v>4.1829029781688003E-2</v>
      </c>
      <c r="T97" s="11">
        <v>15</v>
      </c>
    </row>
    <row r="98" spans="1:20" outlineLevel="1" x14ac:dyDescent="0.25">
      <c r="A98" s="6" t="s">
        <v>15</v>
      </c>
      <c r="B98" t="s">
        <v>106</v>
      </c>
      <c r="C98" s="16">
        <v>1</v>
      </c>
      <c r="D98">
        <v>1</v>
      </c>
      <c r="E98" s="16">
        <v>1</v>
      </c>
      <c r="F98">
        <v>1</v>
      </c>
      <c r="G98" s="16">
        <v>1</v>
      </c>
      <c r="H98">
        <v>1</v>
      </c>
      <c r="I98" s="16">
        <v>1</v>
      </c>
      <c r="J98">
        <v>1</v>
      </c>
      <c r="K98" s="16">
        <v>1</v>
      </c>
      <c r="L98">
        <v>1</v>
      </c>
      <c r="M98" s="16">
        <v>1</v>
      </c>
      <c r="N98">
        <v>1</v>
      </c>
      <c r="O98" s="16"/>
      <c r="Q98" s="16"/>
      <c r="S98" s="16"/>
      <c r="T98" s="11"/>
    </row>
    <row r="99" spans="1:20" outlineLevel="1" x14ac:dyDescent="0.25">
      <c r="A99" s="6" t="s">
        <v>15</v>
      </c>
      <c r="B99" t="s">
        <v>108</v>
      </c>
      <c r="C99" s="16">
        <v>1</v>
      </c>
      <c r="D99">
        <v>3</v>
      </c>
      <c r="E99" s="16">
        <v>1</v>
      </c>
      <c r="F99">
        <v>3</v>
      </c>
      <c r="G99" s="16"/>
      <c r="I99" s="16">
        <v>1</v>
      </c>
      <c r="J99">
        <v>1</v>
      </c>
      <c r="K99" s="16">
        <v>1</v>
      </c>
      <c r="L99">
        <v>1</v>
      </c>
      <c r="M99" s="16"/>
      <c r="O99" s="16">
        <v>1</v>
      </c>
      <c r="P99">
        <v>2</v>
      </c>
      <c r="Q99" s="16">
        <v>1</v>
      </c>
      <c r="R99">
        <v>2</v>
      </c>
      <c r="S99" s="16"/>
      <c r="T99" s="11"/>
    </row>
    <row r="100" spans="1:20" outlineLevel="1" x14ac:dyDescent="0.25">
      <c r="A100" s="6" t="s">
        <v>15</v>
      </c>
      <c r="B100" t="s">
        <v>109</v>
      </c>
      <c r="C100" s="16">
        <v>0.86076221234161399</v>
      </c>
      <c r="D100">
        <v>17</v>
      </c>
      <c r="E100" s="16">
        <v>0.86076221234161399</v>
      </c>
      <c r="F100">
        <v>17</v>
      </c>
      <c r="G100" s="16">
        <v>0.61830669578559205</v>
      </c>
      <c r="H100">
        <v>17</v>
      </c>
      <c r="I100" s="16">
        <v>0.96384189859992997</v>
      </c>
      <c r="J100">
        <v>9</v>
      </c>
      <c r="K100" s="16">
        <v>0.96384189859992997</v>
      </c>
      <c r="L100">
        <v>9</v>
      </c>
      <c r="M100" s="16">
        <v>0.78575560976815095</v>
      </c>
      <c r="N100">
        <v>9</v>
      </c>
      <c r="O100" s="16">
        <v>0.68531927377007296</v>
      </c>
      <c r="P100">
        <v>8</v>
      </c>
      <c r="Q100" s="16">
        <v>0.68531927377007296</v>
      </c>
      <c r="R100">
        <v>8</v>
      </c>
      <c r="S100" s="16">
        <v>0.333306511985138</v>
      </c>
      <c r="T100" s="11">
        <v>8</v>
      </c>
    </row>
    <row r="101" spans="1:20" outlineLevel="1" x14ac:dyDescent="0.25">
      <c r="A101" s="6" t="s">
        <v>15</v>
      </c>
      <c r="B101" t="s">
        <v>110</v>
      </c>
      <c r="C101" s="16">
        <v>1</v>
      </c>
      <c r="D101">
        <v>3</v>
      </c>
      <c r="E101" s="16">
        <v>1</v>
      </c>
      <c r="F101">
        <v>3</v>
      </c>
      <c r="G101" s="16">
        <v>0.80495589914022003</v>
      </c>
      <c r="H101">
        <v>3</v>
      </c>
      <c r="I101" s="16">
        <v>1</v>
      </c>
      <c r="J101">
        <v>1</v>
      </c>
      <c r="K101" s="16">
        <v>1</v>
      </c>
      <c r="L101">
        <v>1</v>
      </c>
      <c r="M101" s="16"/>
      <c r="O101" s="16">
        <v>1</v>
      </c>
      <c r="P101">
        <v>2</v>
      </c>
      <c r="Q101" s="16">
        <v>1</v>
      </c>
      <c r="R101">
        <v>2</v>
      </c>
      <c r="S101" s="16">
        <v>1</v>
      </c>
      <c r="T101" s="11">
        <v>2</v>
      </c>
    </row>
    <row r="102" spans="1:20" outlineLevel="1" x14ac:dyDescent="0.25">
      <c r="A102" s="6" t="s">
        <v>15</v>
      </c>
      <c r="B102" t="s">
        <v>111</v>
      </c>
      <c r="C102" s="16">
        <v>1</v>
      </c>
      <c r="D102">
        <v>3</v>
      </c>
      <c r="E102" s="16">
        <v>1</v>
      </c>
      <c r="F102">
        <v>3</v>
      </c>
      <c r="G102" s="16">
        <v>0.55452415981063397</v>
      </c>
      <c r="H102">
        <v>3</v>
      </c>
      <c r="I102" s="16">
        <v>1</v>
      </c>
      <c r="J102">
        <v>1</v>
      </c>
      <c r="K102" s="16">
        <v>1</v>
      </c>
      <c r="L102">
        <v>1</v>
      </c>
      <c r="M102" s="16"/>
      <c r="O102" s="16">
        <v>1</v>
      </c>
      <c r="P102">
        <v>2</v>
      </c>
      <c r="Q102" s="16">
        <v>1</v>
      </c>
      <c r="R102">
        <v>2</v>
      </c>
      <c r="S102" s="16">
        <v>1</v>
      </c>
      <c r="T102" s="11">
        <v>2</v>
      </c>
    </row>
    <row r="103" spans="1:20" outlineLevel="1" x14ac:dyDescent="0.25">
      <c r="A103" s="6" t="s">
        <v>15</v>
      </c>
      <c r="B103" t="s">
        <v>112</v>
      </c>
      <c r="C103" s="16">
        <v>0.63347516991630703</v>
      </c>
      <c r="D103">
        <v>2</v>
      </c>
      <c r="E103" s="16">
        <v>0.63347516991630703</v>
      </c>
      <c r="F103">
        <v>2</v>
      </c>
      <c r="G103" s="16">
        <v>0.63347516991630703</v>
      </c>
      <c r="H103">
        <v>2</v>
      </c>
      <c r="I103" s="16"/>
      <c r="K103" s="16"/>
      <c r="M103" s="16"/>
      <c r="O103" s="16">
        <v>0.63347516991630703</v>
      </c>
      <c r="P103">
        <v>2</v>
      </c>
      <c r="Q103" s="16">
        <v>0.63347516991630703</v>
      </c>
      <c r="R103">
        <v>2</v>
      </c>
      <c r="S103" s="16">
        <v>0.63347516991630703</v>
      </c>
      <c r="T103" s="11">
        <v>2</v>
      </c>
    </row>
    <row r="104" spans="1:20" outlineLevel="1" x14ac:dyDescent="0.25">
      <c r="A104" s="6" t="s">
        <v>15</v>
      </c>
      <c r="B104" t="s">
        <v>113</v>
      </c>
      <c r="C104" s="16">
        <v>1</v>
      </c>
      <c r="D104">
        <v>6</v>
      </c>
      <c r="E104" s="16">
        <v>1</v>
      </c>
      <c r="F104">
        <v>6</v>
      </c>
      <c r="G104" s="16">
        <v>0.68637545854446702</v>
      </c>
      <c r="H104">
        <v>6</v>
      </c>
      <c r="I104" s="16">
        <v>1</v>
      </c>
      <c r="J104">
        <v>4</v>
      </c>
      <c r="K104" s="16">
        <v>1</v>
      </c>
      <c r="L104">
        <v>4</v>
      </c>
      <c r="M104" s="16">
        <v>0.668265208347673</v>
      </c>
      <c r="N104">
        <v>4</v>
      </c>
      <c r="O104" s="16">
        <v>1</v>
      </c>
      <c r="P104">
        <v>2</v>
      </c>
      <c r="Q104" s="16">
        <v>1</v>
      </c>
      <c r="R104">
        <v>2</v>
      </c>
      <c r="S104" s="16">
        <v>1</v>
      </c>
      <c r="T104" s="11">
        <v>2</v>
      </c>
    </row>
    <row r="105" spans="1:20" outlineLevel="1" x14ac:dyDescent="0.25">
      <c r="A105" s="6" t="s">
        <v>15</v>
      </c>
      <c r="B105" t="s">
        <v>114</v>
      </c>
      <c r="C105" s="16">
        <v>0.380170341328047</v>
      </c>
      <c r="D105">
        <v>13</v>
      </c>
      <c r="E105" s="16">
        <v>0.380170341328047</v>
      </c>
      <c r="F105">
        <v>13</v>
      </c>
      <c r="G105" s="16">
        <v>0.20247711340334401</v>
      </c>
      <c r="H105">
        <v>13</v>
      </c>
      <c r="I105" s="16">
        <v>0.38823308235722598</v>
      </c>
      <c r="J105">
        <v>8</v>
      </c>
      <c r="K105" s="16">
        <v>0.38823308235722598</v>
      </c>
      <c r="L105">
        <v>8</v>
      </c>
      <c r="M105" s="16">
        <v>0.28249267632866998</v>
      </c>
      <c r="N105">
        <v>8</v>
      </c>
      <c r="O105" s="16">
        <v>0.359767803746323</v>
      </c>
      <c r="P105">
        <v>5</v>
      </c>
      <c r="Q105" s="16">
        <v>0.359767803746323</v>
      </c>
      <c r="R105">
        <v>5</v>
      </c>
      <c r="S105" s="16"/>
      <c r="T105" s="11"/>
    </row>
    <row r="106" spans="1:20" outlineLevel="1" x14ac:dyDescent="0.25">
      <c r="A106" s="7" t="s">
        <v>15</v>
      </c>
      <c r="B106" s="9" t="s">
        <v>15</v>
      </c>
      <c r="C106" s="15">
        <v>0.76307708157745702</v>
      </c>
      <c r="D106" s="9">
        <v>286</v>
      </c>
      <c r="E106" s="15">
        <v>0.75761118288083196</v>
      </c>
      <c r="F106" s="9">
        <v>285</v>
      </c>
      <c r="G106" s="15">
        <v>0.42919258475264899</v>
      </c>
      <c r="H106" s="9">
        <v>285</v>
      </c>
      <c r="I106" s="15"/>
      <c r="J106" s="9"/>
      <c r="K106" s="15"/>
      <c r="L106" s="9"/>
      <c r="M106" s="15"/>
      <c r="N106" s="9"/>
      <c r="O106" s="15"/>
      <c r="P106" s="9"/>
      <c r="Q106" s="15"/>
      <c r="R106" s="9"/>
      <c r="S106" s="15"/>
      <c r="T106" s="12"/>
    </row>
    <row r="107" spans="1:20" x14ac:dyDescent="0.25">
      <c r="C107" s="16"/>
      <c r="E107" s="16"/>
      <c r="G107" s="16"/>
      <c r="I107" s="16"/>
      <c r="K107" s="16"/>
      <c r="M107" s="16"/>
      <c r="O107" s="16"/>
      <c r="Q107" s="16"/>
      <c r="S107" s="16"/>
    </row>
    <row r="108" spans="1:20" x14ac:dyDescent="0.25">
      <c r="A108" s="19" t="s">
        <v>117</v>
      </c>
      <c r="B108" s="19"/>
      <c r="C108" s="20"/>
      <c r="D108" s="19"/>
      <c r="E108" s="20"/>
      <c r="F108" s="19"/>
      <c r="G108" s="20"/>
      <c r="H108" s="19"/>
      <c r="I108" s="20"/>
      <c r="J108" s="19"/>
      <c r="K108" s="20"/>
      <c r="L108" s="19"/>
      <c r="M108" s="20"/>
      <c r="N108" s="19"/>
      <c r="O108" s="20"/>
      <c r="P108" s="19"/>
      <c r="Q108" s="20"/>
      <c r="R108" s="19"/>
      <c r="S108" s="20"/>
      <c r="T108" s="19"/>
    </row>
    <row r="109" spans="1:20" outlineLevel="1" x14ac:dyDescent="0.25">
      <c r="A109" s="5" t="s">
        <v>15</v>
      </c>
      <c r="B109" s="8" t="s">
        <v>101</v>
      </c>
      <c r="C109" s="14"/>
      <c r="D109" s="8"/>
      <c r="E109" s="14"/>
      <c r="F109" s="8"/>
      <c r="G109" s="14"/>
      <c r="H109" s="8"/>
      <c r="I109" s="14">
        <v>1</v>
      </c>
      <c r="J109" s="8">
        <v>6</v>
      </c>
      <c r="K109" s="14">
        <v>1</v>
      </c>
      <c r="L109" s="8">
        <v>6</v>
      </c>
      <c r="M109" s="14">
        <v>0.68520191356750704</v>
      </c>
      <c r="N109" s="8">
        <v>6</v>
      </c>
      <c r="O109" s="14">
        <v>1</v>
      </c>
      <c r="P109" s="8">
        <v>2</v>
      </c>
      <c r="Q109" s="14">
        <v>1</v>
      </c>
      <c r="R109" s="8">
        <v>2</v>
      </c>
      <c r="S109" s="14">
        <v>1</v>
      </c>
      <c r="T109" s="10">
        <v>2</v>
      </c>
    </row>
    <row r="110" spans="1:20" outlineLevel="1" x14ac:dyDescent="0.25">
      <c r="A110" s="6" t="s">
        <v>15</v>
      </c>
      <c r="B110" t="s">
        <v>118</v>
      </c>
      <c r="C110" s="16">
        <v>0.744277476589286</v>
      </c>
      <c r="D110">
        <v>447</v>
      </c>
      <c r="E110" s="16">
        <v>0.73817091859776296</v>
      </c>
      <c r="F110">
        <v>446</v>
      </c>
      <c r="G110" s="16">
        <v>0.405466060844488</v>
      </c>
      <c r="H110">
        <v>446</v>
      </c>
      <c r="I110" s="16">
        <v>0.71106045711596</v>
      </c>
      <c r="J110">
        <v>212</v>
      </c>
      <c r="K110" s="16">
        <v>0.71106045711596</v>
      </c>
      <c r="L110">
        <v>212</v>
      </c>
      <c r="M110" s="16">
        <v>0.42337265648881101</v>
      </c>
      <c r="N110">
        <v>212</v>
      </c>
      <c r="O110" s="16">
        <v>0.77152133463698402</v>
      </c>
      <c r="P110">
        <v>234</v>
      </c>
      <c r="Q110" s="16">
        <v>0.76108001793665103</v>
      </c>
      <c r="R110">
        <v>233</v>
      </c>
      <c r="S110" s="16">
        <v>0.39150974537806799</v>
      </c>
      <c r="T110" s="11">
        <v>233</v>
      </c>
    </row>
    <row r="111" spans="1:20" outlineLevel="1" x14ac:dyDescent="0.25">
      <c r="A111" s="6" t="s">
        <v>15</v>
      </c>
      <c r="B111" t="s">
        <v>119</v>
      </c>
      <c r="C111" s="16">
        <v>0.67599294115808595</v>
      </c>
      <c r="D111">
        <v>149</v>
      </c>
      <c r="E111" s="16">
        <v>0.67599294115808595</v>
      </c>
      <c r="F111">
        <v>149</v>
      </c>
      <c r="G111" s="16">
        <v>0.42373199427995301</v>
      </c>
      <c r="H111">
        <v>149</v>
      </c>
      <c r="I111" s="16">
        <v>0.64822636668082001</v>
      </c>
      <c r="J111">
        <v>66</v>
      </c>
      <c r="K111" s="16">
        <v>0.64822636668082001</v>
      </c>
      <c r="L111">
        <v>66</v>
      </c>
      <c r="M111" s="16">
        <v>0.29713697751572399</v>
      </c>
      <c r="N111">
        <v>66</v>
      </c>
      <c r="O111" s="16">
        <v>0.70093553304233802</v>
      </c>
      <c r="P111">
        <v>83</v>
      </c>
      <c r="Q111" s="16">
        <v>0.70093553304233802</v>
      </c>
      <c r="R111">
        <v>83</v>
      </c>
      <c r="S111" s="16">
        <v>0.53745174175242405</v>
      </c>
      <c r="T111" s="11">
        <v>83</v>
      </c>
    </row>
    <row r="112" spans="1:20" outlineLevel="1" x14ac:dyDescent="0.25">
      <c r="A112" s="6" t="s">
        <v>15</v>
      </c>
      <c r="B112" t="s">
        <v>120</v>
      </c>
      <c r="C112" s="16">
        <v>0.52655699039278203</v>
      </c>
      <c r="D112">
        <v>21</v>
      </c>
      <c r="E112" s="16">
        <v>0.52655699039278203</v>
      </c>
      <c r="F112">
        <v>21</v>
      </c>
      <c r="G112" s="16">
        <v>0.372847053843678</v>
      </c>
      <c r="H112">
        <v>21</v>
      </c>
      <c r="I112" s="16">
        <v>0.51288302128086405</v>
      </c>
      <c r="J112">
        <v>6</v>
      </c>
      <c r="K112" s="16">
        <v>0.51288302128086405</v>
      </c>
      <c r="L112">
        <v>6</v>
      </c>
      <c r="M112" s="16">
        <v>0.41845890764627097</v>
      </c>
      <c r="N112">
        <v>6</v>
      </c>
      <c r="O112" s="16">
        <v>0.55354354746685996</v>
      </c>
      <c r="P112">
        <v>15</v>
      </c>
      <c r="Q112" s="16">
        <v>0.55354354746685996</v>
      </c>
      <c r="R112">
        <v>15</v>
      </c>
      <c r="S112" s="16">
        <v>0.28282879463718202</v>
      </c>
      <c r="T112" s="11">
        <v>15</v>
      </c>
    </row>
    <row r="113" spans="1:20" outlineLevel="1" x14ac:dyDescent="0.25">
      <c r="A113" s="7" t="s">
        <v>15</v>
      </c>
      <c r="B113" s="9" t="s">
        <v>15</v>
      </c>
      <c r="C113" s="15">
        <v>1</v>
      </c>
      <c r="D113" s="9">
        <v>8</v>
      </c>
      <c r="E113" s="15">
        <v>1</v>
      </c>
      <c r="F113" s="9">
        <v>8</v>
      </c>
      <c r="G113" s="15">
        <v>0.72958772686462203</v>
      </c>
      <c r="H113" s="9">
        <v>8</v>
      </c>
      <c r="I113" s="15"/>
      <c r="J113" s="9"/>
      <c r="K113" s="15"/>
      <c r="L113" s="9"/>
      <c r="M113" s="15"/>
      <c r="N113" s="9"/>
      <c r="O113" s="15"/>
      <c r="P113" s="9"/>
      <c r="Q113" s="15"/>
      <c r="R113" s="9"/>
      <c r="S113" s="15"/>
      <c r="T113" s="12"/>
    </row>
    <row r="114" spans="1:20" x14ac:dyDescent="0.25">
      <c r="C114" s="16"/>
      <c r="E114" s="16"/>
      <c r="G114" s="16"/>
      <c r="I114" s="16"/>
      <c r="K114" s="16"/>
      <c r="M114" s="16"/>
      <c r="O114" s="16"/>
      <c r="Q114" s="16"/>
      <c r="S114" s="16"/>
    </row>
    <row r="115" spans="1:20" x14ac:dyDescent="0.25">
      <c r="A115" s="19" t="s">
        <v>121</v>
      </c>
      <c r="B115" s="19"/>
      <c r="C115" s="20"/>
      <c r="D115" s="19"/>
      <c r="E115" s="20"/>
      <c r="F115" s="19"/>
      <c r="G115" s="20"/>
      <c r="H115" s="19"/>
      <c r="I115" s="20"/>
      <c r="J115" s="19"/>
      <c r="K115" s="20"/>
      <c r="L115" s="19"/>
      <c r="M115" s="20"/>
      <c r="N115" s="19"/>
      <c r="O115" s="20"/>
      <c r="P115" s="19"/>
      <c r="Q115" s="20"/>
      <c r="R115" s="19"/>
      <c r="S115" s="20"/>
      <c r="T115" s="19"/>
    </row>
    <row r="116" spans="1:20" outlineLevel="1" x14ac:dyDescent="0.25">
      <c r="A116" s="5" t="s">
        <v>15</v>
      </c>
      <c r="B116" s="8" t="s">
        <v>101</v>
      </c>
      <c r="C116" s="14"/>
      <c r="D116" s="8"/>
      <c r="E116" s="14"/>
      <c r="F116" s="8"/>
      <c r="G116" s="14"/>
      <c r="H116" s="8"/>
      <c r="I116" s="14">
        <v>0.88860359324178895</v>
      </c>
      <c r="J116" s="8">
        <v>4</v>
      </c>
      <c r="K116" s="14">
        <v>0.88860359324178895</v>
      </c>
      <c r="L116" s="8">
        <v>4</v>
      </c>
      <c r="M116" s="14">
        <v>0.14462522366154401</v>
      </c>
      <c r="N116" s="8">
        <v>4</v>
      </c>
      <c r="O116" s="14">
        <v>0.66666666666666696</v>
      </c>
      <c r="P116" s="8">
        <v>3</v>
      </c>
      <c r="Q116" s="14">
        <v>0.66666666666666696</v>
      </c>
      <c r="R116" s="8">
        <v>3</v>
      </c>
      <c r="S116" s="14">
        <v>0.33333333333333298</v>
      </c>
      <c r="T116" s="10">
        <v>3</v>
      </c>
    </row>
    <row r="117" spans="1:20" outlineLevel="1" x14ac:dyDescent="0.25">
      <c r="A117" s="6" t="s">
        <v>15</v>
      </c>
      <c r="B117" t="s">
        <v>122</v>
      </c>
      <c r="C117" s="16">
        <v>0.79095961947077498</v>
      </c>
      <c r="D117">
        <v>32</v>
      </c>
      <c r="E117" s="16">
        <v>0.79095961947077498</v>
      </c>
      <c r="F117">
        <v>32</v>
      </c>
      <c r="G117" s="16">
        <v>0.54919397006250203</v>
      </c>
      <c r="H117">
        <v>32</v>
      </c>
      <c r="I117" s="16">
        <v>0.86580978048885004</v>
      </c>
      <c r="J117">
        <v>17</v>
      </c>
      <c r="K117" s="16">
        <v>0.86580978048885004</v>
      </c>
      <c r="L117">
        <v>17</v>
      </c>
      <c r="M117" s="16">
        <v>0.61932714429899005</v>
      </c>
      <c r="N117">
        <v>17</v>
      </c>
      <c r="O117" s="16">
        <v>0.70098698571312601</v>
      </c>
      <c r="P117">
        <v>15</v>
      </c>
      <c r="Q117" s="16">
        <v>0.70098698571312601</v>
      </c>
      <c r="R117">
        <v>15</v>
      </c>
      <c r="S117" s="16">
        <v>0.46489132710202502</v>
      </c>
      <c r="T117" s="11">
        <v>15</v>
      </c>
    </row>
    <row r="118" spans="1:20" outlineLevel="1" x14ac:dyDescent="0.25">
      <c r="A118" s="6" t="s">
        <v>15</v>
      </c>
      <c r="B118" t="s">
        <v>123</v>
      </c>
      <c r="C118" s="16">
        <v>0.56008140602369205</v>
      </c>
      <c r="D118">
        <v>235</v>
      </c>
      <c r="E118" s="16">
        <v>0.56008140602369205</v>
      </c>
      <c r="F118">
        <v>235</v>
      </c>
      <c r="G118" s="16">
        <v>0.29872002793882402</v>
      </c>
      <c r="H118">
        <v>235</v>
      </c>
      <c r="I118" s="16">
        <v>0.46850639598365301</v>
      </c>
      <c r="J118">
        <v>107</v>
      </c>
      <c r="K118" s="16">
        <v>0.46850639598365301</v>
      </c>
      <c r="L118">
        <v>107</v>
      </c>
      <c r="M118" s="16">
        <v>0.15118329471488501</v>
      </c>
      <c r="N118">
        <v>107</v>
      </c>
      <c r="O118" s="16">
        <v>0.64790162202465895</v>
      </c>
      <c r="P118">
        <v>127</v>
      </c>
      <c r="Q118" s="16">
        <v>0.64790162202465895</v>
      </c>
      <c r="R118">
        <v>127</v>
      </c>
      <c r="S118" s="16">
        <v>0.43607712373752</v>
      </c>
      <c r="T118" s="11">
        <v>127</v>
      </c>
    </row>
    <row r="119" spans="1:20" outlineLevel="1" x14ac:dyDescent="0.25">
      <c r="A119" s="6" t="s">
        <v>15</v>
      </c>
      <c r="B119" t="s">
        <v>124</v>
      </c>
      <c r="C119" s="16">
        <v>0.77472613787603894</v>
      </c>
      <c r="D119">
        <v>351</v>
      </c>
      <c r="E119" s="16">
        <v>0.76845495977441303</v>
      </c>
      <c r="F119">
        <v>350</v>
      </c>
      <c r="G119" s="16">
        <v>0.431432253247308</v>
      </c>
      <c r="H119">
        <v>350</v>
      </c>
      <c r="I119" s="16">
        <v>0.756560076322913</v>
      </c>
      <c r="J119">
        <v>162</v>
      </c>
      <c r="K119" s="16">
        <v>0.756560076322913</v>
      </c>
      <c r="L119">
        <v>162</v>
      </c>
      <c r="M119" s="16">
        <v>0.46908585558929</v>
      </c>
      <c r="N119">
        <v>162</v>
      </c>
      <c r="O119" s="16">
        <v>0.78918266716108598</v>
      </c>
      <c r="P119">
        <v>189</v>
      </c>
      <c r="Q119" s="16">
        <v>0.77815539695679403</v>
      </c>
      <c r="R119">
        <v>188</v>
      </c>
      <c r="S119" s="16">
        <v>0.40072523491475498</v>
      </c>
      <c r="T119" s="11">
        <v>188</v>
      </c>
    </row>
    <row r="120" spans="1:20" outlineLevel="1" x14ac:dyDescent="0.25">
      <c r="A120" s="7" t="s">
        <v>15</v>
      </c>
      <c r="B120" s="9" t="s">
        <v>15</v>
      </c>
      <c r="C120" s="15">
        <v>0.83301258162574399</v>
      </c>
      <c r="D120" s="9">
        <v>7</v>
      </c>
      <c r="E120" s="15">
        <v>0.83301258162574399</v>
      </c>
      <c r="F120" s="9">
        <v>7</v>
      </c>
      <c r="G120" s="15">
        <v>0.191893043752111</v>
      </c>
      <c r="H120" s="9">
        <v>7</v>
      </c>
      <c r="I120" s="15"/>
      <c r="J120" s="9"/>
      <c r="K120" s="15"/>
      <c r="L120" s="9"/>
      <c r="M120" s="15"/>
      <c r="N120" s="9"/>
      <c r="O120" s="15"/>
      <c r="P120" s="9"/>
      <c r="Q120" s="15"/>
      <c r="R120" s="9"/>
      <c r="S120" s="15"/>
      <c r="T120" s="12"/>
    </row>
    <row r="121" spans="1:20" x14ac:dyDescent="0.25">
      <c r="C121" s="16"/>
      <c r="E121" s="16"/>
      <c r="G121" s="16"/>
      <c r="I121" s="16"/>
      <c r="K121" s="16"/>
      <c r="M121" s="16"/>
      <c r="O121" s="16"/>
      <c r="Q121" s="16"/>
      <c r="S121" s="16"/>
    </row>
    <row r="122" spans="1:20" x14ac:dyDescent="0.25">
      <c r="A122" s="19" t="s">
        <v>125</v>
      </c>
      <c r="B122" s="19"/>
      <c r="C122" s="20"/>
      <c r="D122" s="19"/>
      <c r="E122" s="20"/>
      <c r="F122" s="19"/>
      <c r="G122" s="20"/>
      <c r="H122" s="19"/>
      <c r="I122" s="20"/>
      <c r="J122" s="19"/>
      <c r="K122" s="20"/>
      <c r="L122" s="19"/>
      <c r="M122" s="20"/>
      <c r="N122" s="19"/>
      <c r="O122" s="20"/>
      <c r="P122" s="19"/>
      <c r="Q122" s="20"/>
      <c r="R122" s="19"/>
      <c r="S122" s="20"/>
      <c r="T122" s="19"/>
    </row>
    <row r="123" spans="1:20" outlineLevel="1" x14ac:dyDescent="0.25">
      <c r="A123" s="5" t="s">
        <v>15</v>
      </c>
      <c r="B123" s="8" t="s">
        <v>101</v>
      </c>
      <c r="C123" s="14"/>
      <c r="D123" s="8"/>
      <c r="E123" s="14"/>
      <c r="F123" s="8"/>
      <c r="G123" s="14"/>
      <c r="H123" s="8"/>
      <c r="I123" s="14">
        <v>1</v>
      </c>
      <c r="J123" s="8">
        <v>1</v>
      </c>
      <c r="K123" s="14">
        <v>1</v>
      </c>
      <c r="L123" s="8">
        <v>1</v>
      </c>
      <c r="M123" s="14">
        <v>1</v>
      </c>
      <c r="N123" s="8">
        <v>1</v>
      </c>
      <c r="O123" s="14">
        <v>8.3033612297410297E-2</v>
      </c>
      <c r="P123" s="8">
        <v>6</v>
      </c>
      <c r="Q123" s="14">
        <v>8.3033612297410297E-2</v>
      </c>
      <c r="R123" s="8">
        <v>6</v>
      </c>
      <c r="S123" s="14">
        <v>4.1809664221132303E-2</v>
      </c>
      <c r="T123" s="10">
        <v>6</v>
      </c>
    </row>
    <row r="124" spans="1:20" outlineLevel="1" x14ac:dyDescent="0.25">
      <c r="A124" s="6" t="s">
        <v>15</v>
      </c>
      <c r="B124" t="s">
        <v>126</v>
      </c>
      <c r="C124" s="16">
        <v>0.68634458551122701</v>
      </c>
      <c r="D124">
        <v>74</v>
      </c>
      <c r="E124" s="16">
        <v>0.68634458551122701</v>
      </c>
      <c r="F124">
        <v>74</v>
      </c>
      <c r="G124" s="16">
        <v>0.390048807966003</v>
      </c>
      <c r="H124">
        <v>74</v>
      </c>
      <c r="I124" s="16">
        <v>0.65932365454713604</v>
      </c>
      <c r="J124">
        <v>42</v>
      </c>
      <c r="K124" s="16">
        <v>0.65932365454713604</v>
      </c>
      <c r="L124">
        <v>42</v>
      </c>
      <c r="M124" s="16">
        <v>0.34770036056152898</v>
      </c>
      <c r="N124">
        <v>42</v>
      </c>
      <c r="O124" s="16">
        <v>0.72861667104114503</v>
      </c>
      <c r="P124">
        <v>32</v>
      </c>
      <c r="Q124" s="16">
        <v>0.72861667104114503</v>
      </c>
      <c r="R124">
        <v>32</v>
      </c>
      <c r="S124" s="16">
        <v>0.45629956716894099</v>
      </c>
      <c r="T124" s="11">
        <v>32</v>
      </c>
    </row>
    <row r="125" spans="1:20" outlineLevel="1" x14ac:dyDescent="0.25">
      <c r="A125" s="6" t="s">
        <v>15</v>
      </c>
      <c r="B125" t="s">
        <v>127</v>
      </c>
      <c r="C125" s="16">
        <v>0.72598708522697197</v>
      </c>
      <c r="D125">
        <v>74</v>
      </c>
      <c r="E125" s="16">
        <v>0.72598708522697197</v>
      </c>
      <c r="F125">
        <v>74</v>
      </c>
      <c r="G125" s="16">
        <v>0.46827873516656898</v>
      </c>
      <c r="H125">
        <v>74</v>
      </c>
      <c r="I125" s="16">
        <v>0.74604164184027999</v>
      </c>
      <c r="J125">
        <v>29</v>
      </c>
      <c r="K125" s="16">
        <v>0.74604164184027999</v>
      </c>
      <c r="L125">
        <v>29</v>
      </c>
      <c r="M125" s="16">
        <v>0.37155926613695001</v>
      </c>
      <c r="N125">
        <v>29</v>
      </c>
      <c r="O125" s="16">
        <v>0.71450681191936805</v>
      </c>
      <c r="P125">
        <v>45</v>
      </c>
      <c r="Q125" s="16">
        <v>0.71450681191936805</v>
      </c>
      <c r="R125">
        <v>45</v>
      </c>
      <c r="S125" s="16">
        <v>0.52364599957617197</v>
      </c>
      <c r="T125" s="11">
        <v>45</v>
      </c>
    </row>
    <row r="126" spans="1:20" outlineLevel="1" x14ac:dyDescent="0.25">
      <c r="A126" s="6" t="s">
        <v>15</v>
      </c>
      <c r="B126" t="s">
        <v>128</v>
      </c>
      <c r="C126" s="16">
        <v>0.852101541548416</v>
      </c>
      <c r="D126">
        <v>202</v>
      </c>
      <c r="E126" s="16">
        <v>0.84542005432568401</v>
      </c>
      <c r="F126">
        <v>201</v>
      </c>
      <c r="G126" s="16">
        <v>0.43184305370346299</v>
      </c>
      <c r="H126">
        <v>201</v>
      </c>
      <c r="I126" s="16">
        <v>0.81490077449226905</v>
      </c>
      <c r="J126">
        <v>92</v>
      </c>
      <c r="K126" s="16">
        <v>0.81490077449226905</v>
      </c>
      <c r="L126">
        <v>92</v>
      </c>
      <c r="M126" s="16">
        <v>0.45786755592287698</v>
      </c>
      <c r="N126">
        <v>92</v>
      </c>
      <c r="O126" s="16">
        <v>0.88063489824844299</v>
      </c>
      <c r="P126">
        <v>110</v>
      </c>
      <c r="Q126" s="16">
        <v>0.86956155728143902</v>
      </c>
      <c r="R126">
        <v>109</v>
      </c>
      <c r="S126" s="16">
        <v>0.411257030681907</v>
      </c>
      <c r="T126" s="11">
        <v>109</v>
      </c>
    </row>
    <row r="127" spans="1:20" outlineLevel="1" x14ac:dyDescent="0.25">
      <c r="A127" s="6" t="s">
        <v>15</v>
      </c>
      <c r="B127" t="s">
        <v>129</v>
      </c>
      <c r="C127" s="16">
        <v>0.50130447105557296</v>
      </c>
      <c r="D127">
        <v>268</v>
      </c>
      <c r="E127" s="16">
        <v>0.50130447105557296</v>
      </c>
      <c r="F127">
        <v>268</v>
      </c>
      <c r="G127" s="16">
        <v>0.36781524854887299</v>
      </c>
      <c r="H127">
        <v>268</v>
      </c>
      <c r="I127" s="16">
        <v>0.492284949104911</v>
      </c>
      <c r="J127">
        <v>126</v>
      </c>
      <c r="K127" s="16">
        <v>0.492284949104911</v>
      </c>
      <c r="L127">
        <v>126</v>
      </c>
      <c r="M127" s="16">
        <v>0.349810139584114</v>
      </c>
      <c r="N127">
        <v>126</v>
      </c>
      <c r="O127" s="16">
        <v>0.51255570010111695</v>
      </c>
      <c r="P127">
        <v>141</v>
      </c>
      <c r="Q127" s="16">
        <v>0.51255570010111695</v>
      </c>
      <c r="R127">
        <v>141</v>
      </c>
      <c r="S127" s="16">
        <v>0.38730048122501898</v>
      </c>
      <c r="T127" s="11">
        <v>141</v>
      </c>
    </row>
    <row r="128" spans="1:20" outlineLevel="1" x14ac:dyDescent="0.25">
      <c r="A128" s="7" t="s">
        <v>15</v>
      </c>
      <c r="B128" s="9" t="s">
        <v>15</v>
      </c>
      <c r="C128" s="15">
        <v>8.4807508015944805E-2</v>
      </c>
      <c r="D128" s="9">
        <v>7</v>
      </c>
      <c r="E128" s="15">
        <v>8.4807508015944805E-2</v>
      </c>
      <c r="F128" s="9">
        <v>7</v>
      </c>
      <c r="G128" s="15">
        <v>4.3663308757043703E-2</v>
      </c>
      <c r="H128" s="9">
        <v>7</v>
      </c>
      <c r="I128" s="15"/>
      <c r="J128" s="9"/>
      <c r="K128" s="15"/>
      <c r="L128" s="9"/>
      <c r="M128" s="15"/>
      <c r="N128" s="9"/>
      <c r="O128" s="15"/>
      <c r="P128" s="9"/>
      <c r="Q128" s="15"/>
      <c r="R128" s="9"/>
      <c r="S128" s="15"/>
      <c r="T128" s="12"/>
    </row>
    <row r="129" spans="1:20" x14ac:dyDescent="0.25">
      <c r="C129" s="16"/>
      <c r="E129" s="16"/>
      <c r="G129" s="16"/>
      <c r="I129" s="16"/>
      <c r="K129" s="16"/>
      <c r="M129" s="16"/>
      <c r="O129" s="16"/>
      <c r="Q129" s="16"/>
      <c r="S129" s="16"/>
    </row>
    <row r="130" spans="1:20" x14ac:dyDescent="0.25">
      <c r="A130" s="19" t="s">
        <v>130</v>
      </c>
      <c r="B130" s="19"/>
      <c r="C130" s="20"/>
      <c r="D130" s="19"/>
      <c r="E130" s="20"/>
      <c r="F130" s="19"/>
      <c r="G130" s="20"/>
      <c r="H130" s="19"/>
      <c r="I130" s="20"/>
      <c r="J130" s="19"/>
      <c r="K130" s="20"/>
      <c r="L130" s="19"/>
      <c r="M130" s="20"/>
      <c r="N130" s="19"/>
      <c r="O130" s="20"/>
      <c r="P130" s="19"/>
      <c r="Q130" s="20"/>
      <c r="R130" s="19"/>
      <c r="S130" s="20"/>
      <c r="T130" s="19"/>
    </row>
    <row r="131" spans="1:20" outlineLevel="1" x14ac:dyDescent="0.25">
      <c r="A131" s="5" t="s">
        <v>15</v>
      </c>
      <c r="B131" s="8" t="s">
        <v>101</v>
      </c>
      <c r="C131" s="14"/>
      <c r="D131" s="8"/>
      <c r="E131" s="14"/>
      <c r="F131" s="8"/>
      <c r="G131" s="14"/>
      <c r="H131" s="8"/>
      <c r="I131" s="14">
        <v>0.71580518648247704</v>
      </c>
      <c r="J131" s="8">
        <v>71</v>
      </c>
      <c r="K131" s="14">
        <v>0.71580518648247704</v>
      </c>
      <c r="L131" s="8">
        <v>71</v>
      </c>
      <c r="M131" s="14">
        <v>0.22317252212598099</v>
      </c>
      <c r="N131" s="8">
        <v>71</v>
      </c>
      <c r="O131" s="14">
        <v>0.75132024643622497</v>
      </c>
      <c r="P131" s="8">
        <v>81</v>
      </c>
      <c r="Q131" s="14">
        <v>0.75132024643622497</v>
      </c>
      <c r="R131" s="8">
        <v>81</v>
      </c>
      <c r="S131" s="14">
        <v>0.146637331258133</v>
      </c>
      <c r="T131" s="10">
        <v>81</v>
      </c>
    </row>
    <row r="132" spans="1:20" outlineLevel="1" x14ac:dyDescent="0.25">
      <c r="A132" s="6" t="s">
        <v>15</v>
      </c>
      <c r="B132" t="s">
        <v>131</v>
      </c>
      <c r="C132" s="16">
        <v>0.73670285777240396</v>
      </c>
      <c r="D132">
        <v>465</v>
      </c>
      <c r="E132" s="16">
        <v>0.72930735779647504</v>
      </c>
      <c r="F132">
        <v>464</v>
      </c>
      <c r="G132" s="16">
        <v>0.49354413136970199</v>
      </c>
      <c r="H132">
        <v>464</v>
      </c>
      <c r="I132" s="16">
        <v>0.70400861238788703</v>
      </c>
      <c r="J132">
        <v>217</v>
      </c>
      <c r="K132" s="16">
        <v>0.70400861238788703</v>
      </c>
      <c r="L132">
        <v>217</v>
      </c>
      <c r="M132" s="16">
        <v>0.46578723340886402</v>
      </c>
      <c r="N132">
        <v>217</v>
      </c>
      <c r="O132" s="16">
        <v>0.76790163658240496</v>
      </c>
      <c r="P132">
        <v>247</v>
      </c>
      <c r="Q132" s="16">
        <v>0.754415553729887</v>
      </c>
      <c r="R132">
        <v>246</v>
      </c>
      <c r="S132" s="16">
        <v>0.52057480702627501</v>
      </c>
      <c r="T132" s="11">
        <v>246</v>
      </c>
    </row>
    <row r="133" spans="1:20" outlineLevel="1" x14ac:dyDescent="0.25">
      <c r="A133" s="6" t="s">
        <v>15</v>
      </c>
      <c r="B133" t="s">
        <v>132</v>
      </c>
      <c r="C133" s="16">
        <v>0.83142638332774199</v>
      </c>
      <c r="D133">
        <v>8</v>
      </c>
      <c r="E133" s="16">
        <v>0.83142638332774199</v>
      </c>
      <c r="F133">
        <v>8</v>
      </c>
      <c r="G133" s="16">
        <v>0.81652724976679503</v>
      </c>
      <c r="H133">
        <v>8</v>
      </c>
      <c r="I133" s="16">
        <v>0.81589541919562902</v>
      </c>
      <c r="J133">
        <v>2</v>
      </c>
      <c r="K133" s="16">
        <v>0.81589541919562902</v>
      </c>
      <c r="L133">
        <v>2</v>
      </c>
      <c r="M133" s="16">
        <v>0.81589541919562902</v>
      </c>
      <c r="N133">
        <v>2</v>
      </c>
      <c r="O133" s="16">
        <v>0.84969419410270597</v>
      </c>
      <c r="P133">
        <v>6</v>
      </c>
      <c r="Q133" s="16">
        <v>0.84969419410270597</v>
      </c>
      <c r="R133">
        <v>6</v>
      </c>
      <c r="S133" s="16">
        <v>0.81727042071340905</v>
      </c>
      <c r="T133" s="11">
        <v>6</v>
      </c>
    </row>
    <row r="134" spans="1:20" outlineLevel="1" x14ac:dyDescent="0.25">
      <c r="A134" s="7" t="s">
        <v>15</v>
      </c>
      <c r="B134" s="9" t="s">
        <v>15</v>
      </c>
      <c r="C134" s="15">
        <v>0.737851553402051</v>
      </c>
      <c r="D134" s="9">
        <v>152</v>
      </c>
      <c r="E134" s="15">
        <v>0.737851553402051</v>
      </c>
      <c r="F134" s="9">
        <v>152</v>
      </c>
      <c r="G134" s="15">
        <v>0.17566245450031501</v>
      </c>
      <c r="H134" s="9">
        <v>152</v>
      </c>
      <c r="I134" s="15"/>
      <c r="J134" s="9"/>
      <c r="K134" s="15"/>
      <c r="L134" s="9"/>
      <c r="M134" s="15"/>
      <c r="N134" s="9"/>
      <c r="O134" s="15"/>
      <c r="P134" s="9"/>
      <c r="Q134" s="15"/>
      <c r="R134" s="9"/>
      <c r="S134" s="15"/>
      <c r="T134" s="12"/>
    </row>
    <row r="135" spans="1:20" x14ac:dyDescent="0.25">
      <c r="C135" s="16"/>
      <c r="E135" s="16"/>
      <c r="G135" s="16"/>
      <c r="I135" s="16"/>
      <c r="K135" s="16"/>
      <c r="M135" s="16"/>
      <c r="O135" s="16"/>
      <c r="Q135" s="16"/>
      <c r="S135" s="16"/>
    </row>
    <row r="136" spans="1:20" x14ac:dyDescent="0.25">
      <c r="A136" s="19" t="s">
        <v>133</v>
      </c>
      <c r="B136" s="19"/>
      <c r="C136" s="20"/>
      <c r="D136" s="19"/>
      <c r="E136" s="20"/>
      <c r="F136" s="19"/>
      <c r="G136" s="20"/>
      <c r="H136" s="19"/>
      <c r="I136" s="20"/>
      <c r="J136" s="19"/>
      <c r="K136" s="20"/>
      <c r="L136" s="19"/>
      <c r="M136" s="20"/>
      <c r="N136" s="19"/>
      <c r="O136" s="20"/>
      <c r="P136" s="19"/>
      <c r="Q136" s="20"/>
      <c r="R136" s="19"/>
      <c r="S136" s="20"/>
      <c r="T136" s="19"/>
    </row>
    <row r="137" spans="1:20" outlineLevel="1" x14ac:dyDescent="0.25">
      <c r="A137" s="5" t="s">
        <v>15</v>
      </c>
      <c r="B137" s="8" t="s">
        <v>101</v>
      </c>
      <c r="C137" s="14"/>
      <c r="D137" s="8"/>
      <c r="E137" s="14"/>
      <c r="F137" s="8"/>
      <c r="G137" s="14"/>
      <c r="H137" s="8"/>
      <c r="I137" s="14">
        <v>0.71580518648247704</v>
      </c>
      <c r="J137" s="8">
        <v>71</v>
      </c>
      <c r="K137" s="14">
        <v>0.71580518648247704</v>
      </c>
      <c r="L137" s="8">
        <v>71</v>
      </c>
      <c r="M137" s="14">
        <v>0.22317252212598099</v>
      </c>
      <c r="N137" s="8">
        <v>71</v>
      </c>
      <c r="O137" s="14">
        <v>0.75132024643622497</v>
      </c>
      <c r="P137" s="8">
        <v>81</v>
      </c>
      <c r="Q137" s="14">
        <v>0.75132024643622497</v>
      </c>
      <c r="R137" s="8">
        <v>81</v>
      </c>
      <c r="S137" s="14">
        <v>0.146637331258133</v>
      </c>
      <c r="T137" s="10">
        <v>81</v>
      </c>
    </row>
    <row r="138" spans="1:20" outlineLevel="1" x14ac:dyDescent="0.25">
      <c r="A138" s="6" t="s">
        <v>15</v>
      </c>
      <c r="B138" t="s">
        <v>131</v>
      </c>
      <c r="C138" s="16">
        <v>0.73578735053688704</v>
      </c>
      <c r="D138">
        <v>450</v>
      </c>
      <c r="E138" s="16">
        <v>0.72832129668746004</v>
      </c>
      <c r="F138">
        <v>449</v>
      </c>
      <c r="G138" s="16">
        <v>0.49312998442849698</v>
      </c>
      <c r="H138">
        <v>449</v>
      </c>
      <c r="I138" s="16">
        <v>0.70248233699624596</v>
      </c>
      <c r="J138">
        <v>209</v>
      </c>
      <c r="K138" s="16">
        <v>0.70248233699624596</v>
      </c>
      <c r="L138">
        <v>209</v>
      </c>
      <c r="M138" s="16">
        <v>0.46502344826120301</v>
      </c>
      <c r="N138">
        <v>209</v>
      </c>
      <c r="O138" s="16">
        <v>0.767639086715876</v>
      </c>
      <c r="P138">
        <v>240</v>
      </c>
      <c r="Q138" s="16">
        <v>0.75402186838992902</v>
      </c>
      <c r="R138">
        <v>239</v>
      </c>
      <c r="S138" s="16">
        <v>0.520576892645921</v>
      </c>
      <c r="T138" s="11">
        <v>239</v>
      </c>
    </row>
    <row r="139" spans="1:20" outlineLevel="1" x14ac:dyDescent="0.25">
      <c r="A139" s="6" t="s">
        <v>15</v>
      </c>
      <c r="B139" t="s">
        <v>132</v>
      </c>
      <c r="C139" s="16">
        <v>0.84308569038895798</v>
      </c>
      <c r="D139">
        <v>23</v>
      </c>
      <c r="E139" s="16">
        <v>0.84308569038895798</v>
      </c>
      <c r="F139">
        <v>23</v>
      </c>
      <c r="G139" s="16">
        <v>0.69664520084981496</v>
      </c>
      <c r="H139">
        <v>23</v>
      </c>
      <c r="I139" s="16">
        <v>0.86583229931530503</v>
      </c>
      <c r="J139">
        <v>10</v>
      </c>
      <c r="K139" s="16">
        <v>0.86583229931530503</v>
      </c>
      <c r="L139">
        <v>10</v>
      </c>
      <c r="M139" s="16">
        <v>0.73319431125757795</v>
      </c>
      <c r="N139">
        <v>10</v>
      </c>
      <c r="O139" s="16">
        <v>0.82268362187286403</v>
      </c>
      <c r="P139">
        <v>13</v>
      </c>
      <c r="Q139" s="16">
        <v>0.82268362187286403</v>
      </c>
      <c r="R139">
        <v>13</v>
      </c>
      <c r="S139" s="16">
        <v>0.66386328345914203</v>
      </c>
      <c r="T139" s="11">
        <v>13</v>
      </c>
    </row>
    <row r="140" spans="1:20" outlineLevel="1" x14ac:dyDescent="0.25">
      <c r="A140" s="7" t="s">
        <v>15</v>
      </c>
      <c r="B140" s="9" t="s">
        <v>15</v>
      </c>
      <c r="C140" s="15">
        <v>0.737851553402051</v>
      </c>
      <c r="D140" s="9">
        <v>152</v>
      </c>
      <c r="E140" s="15">
        <v>0.737851553402051</v>
      </c>
      <c r="F140" s="9">
        <v>152</v>
      </c>
      <c r="G140" s="15">
        <v>0.17566245450031501</v>
      </c>
      <c r="H140" s="9">
        <v>152</v>
      </c>
      <c r="I140" s="15"/>
      <c r="J140" s="9"/>
      <c r="K140" s="15"/>
      <c r="L140" s="9"/>
      <c r="M140" s="15"/>
      <c r="N140" s="9"/>
      <c r="O140" s="15"/>
      <c r="P140" s="9"/>
      <c r="Q140" s="15"/>
      <c r="R140" s="9"/>
      <c r="S140" s="15"/>
      <c r="T140" s="12"/>
    </row>
    <row r="141" spans="1:20" x14ac:dyDescent="0.25">
      <c r="C141" s="16"/>
      <c r="E141" s="16"/>
      <c r="G141" s="16"/>
      <c r="I141" s="16"/>
      <c r="K141" s="16"/>
      <c r="M141" s="16"/>
      <c r="O141" s="16"/>
      <c r="Q141" s="16"/>
      <c r="S141" s="16"/>
    </row>
    <row r="142" spans="1:20" x14ac:dyDescent="0.25">
      <c r="A142" s="19" t="s">
        <v>134</v>
      </c>
      <c r="B142" s="19"/>
      <c r="C142" s="20"/>
      <c r="D142" s="19"/>
      <c r="E142" s="20"/>
      <c r="F142" s="19"/>
      <c r="G142" s="20"/>
      <c r="H142" s="19"/>
      <c r="I142" s="20"/>
      <c r="J142" s="19"/>
      <c r="K142" s="20"/>
      <c r="L142" s="19"/>
      <c r="M142" s="20"/>
      <c r="N142" s="19"/>
      <c r="O142" s="20"/>
      <c r="P142" s="19"/>
      <c r="Q142" s="20"/>
      <c r="R142" s="19"/>
      <c r="S142" s="20"/>
      <c r="T142" s="19"/>
    </row>
    <row r="143" spans="1:20" outlineLevel="1" x14ac:dyDescent="0.25">
      <c r="A143" s="5" t="s">
        <v>15</v>
      </c>
      <c r="B143" s="8" t="s">
        <v>135</v>
      </c>
      <c r="C143" s="14">
        <v>0.36826195417396401</v>
      </c>
      <c r="D143" s="8">
        <v>167</v>
      </c>
      <c r="E143" s="14">
        <v>0.36826195417396401</v>
      </c>
      <c r="F143" s="8">
        <v>167</v>
      </c>
      <c r="G143" s="14">
        <v>0.13261914766760499</v>
      </c>
      <c r="H143" s="8">
        <v>167</v>
      </c>
      <c r="I143" s="14">
        <v>0.38326610764826502</v>
      </c>
      <c r="J143" s="8">
        <v>79</v>
      </c>
      <c r="K143" s="14">
        <v>0.38326610764826502</v>
      </c>
      <c r="L143" s="8">
        <v>79</v>
      </c>
      <c r="M143" s="14">
        <v>0.12959509373272601</v>
      </c>
      <c r="N143" s="8">
        <v>79</v>
      </c>
      <c r="O143" s="14">
        <v>0.353925387554133</v>
      </c>
      <c r="P143" s="8">
        <v>88</v>
      </c>
      <c r="Q143" s="14">
        <v>0.353925387554133</v>
      </c>
      <c r="R143" s="8">
        <v>88</v>
      </c>
      <c r="S143" s="14">
        <v>0.13550865094905401</v>
      </c>
      <c r="T143" s="10">
        <v>88</v>
      </c>
    </row>
    <row r="144" spans="1:20" outlineLevel="1" x14ac:dyDescent="0.25">
      <c r="A144" s="6" t="s">
        <v>15</v>
      </c>
      <c r="B144" t="s">
        <v>136</v>
      </c>
      <c r="C144" s="16">
        <v>0.76596540098265997</v>
      </c>
      <c r="D144">
        <v>13</v>
      </c>
      <c r="E144" s="16">
        <v>0.76596540098265997</v>
      </c>
      <c r="F144">
        <v>13</v>
      </c>
      <c r="G144" s="16">
        <v>0.68718001513240701</v>
      </c>
      <c r="H144">
        <v>13</v>
      </c>
      <c r="I144" s="16">
        <v>0.902787960387615</v>
      </c>
      <c r="J144">
        <v>4</v>
      </c>
      <c r="K144" s="16">
        <v>0.902787960387615</v>
      </c>
      <c r="L144">
        <v>4</v>
      </c>
      <c r="M144" s="16">
        <v>0.902787960387615</v>
      </c>
      <c r="N144">
        <v>4</v>
      </c>
      <c r="O144" s="16">
        <v>0.69935827485098701</v>
      </c>
      <c r="P144">
        <v>9</v>
      </c>
      <c r="Q144" s="16">
        <v>0.69935827485098701</v>
      </c>
      <c r="R144">
        <v>9</v>
      </c>
      <c r="S144" s="16">
        <v>0.58221906668164702</v>
      </c>
      <c r="T144" s="11">
        <v>9</v>
      </c>
    </row>
    <row r="145" spans="1:20" outlineLevel="1" x14ac:dyDescent="0.25">
      <c r="A145" s="6" t="s">
        <v>15</v>
      </c>
      <c r="B145" t="s">
        <v>137</v>
      </c>
      <c r="C145" s="16">
        <v>0.19047619047618999</v>
      </c>
      <c r="D145">
        <v>21</v>
      </c>
      <c r="E145" s="16">
        <v>0.19047619047618999</v>
      </c>
      <c r="F145">
        <v>21</v>
      </c>
      <c r="G145" s="16">
        <v>0.14285714285714299</v>
      </c>
      <c r="H145">
        <v>21</v>
      </c>
      <c r="I145" s="16">
        <v>0.125</v>
      </c>
      <c r="J145">
        <v>8</v>
      </c>
      <c r="K145" s="16">
        <v>0.125</v>
      </c>
      <c r="L145">
        <v>8</v>
      </c>
      <c r="M145" s="16">
        <v>0.125</v>
      </c>
      <c r="N145">
        <v>8</v>
      </c>
      <c r="O145" s="16">
        <v>0.25</v>
      </c>
      <c r="P145">
        <v>12</v>
      </c>
      <c r="Q145" s="16">
        <v>0.25</v>
      </c>
      <c r="R145">
        <v>12</v>
      </c>
      <c r="S145" s="16">
        <v>0.16666666666666699</v>
      </c>
      <c r="T145" s="11">
        <v>12</v>
      </c>
    </row>
    <row r="146" spans="1:20" outlineLevel="1" x14ac:dyDescent="0.25">
      <c r="A146" s="6" t="s">
        <v>15</v>
      </c>
      <c r="B146" t="s">
        <v>138</v>
      </c>
      <c r="C146" s="16">
        <v>0.5</v>
      </c>
      <c r="D146">
        <v>2</v>
      </c>
      <c r="E146" s="16">
        <v>0.5</v>
      </c>
      <c r="F146">
        <v>2</v>
      </c>
      <c r="G146" s="16"/>
      <c r="I146" s="16"/>
      <c r="K146" s="16"/>
      <c r="M146" s="16"/>
      <c r="O146" s="16">
        <v>1</v>
      </c>
      <c r="P146">
        <v>1</v>
      </c>
      <c r="Q146" s="16">
        <v>1</v>
      </c>
      <c r="R146">
        <v>1</v>
      </c>
      <c r="S146" s="16"/>
      <c r="T146" s="11"/>
    </row>
    <row r="147" spans="1:20" outlineLevel="1" x14ac:dyDescent="0.25">
      <c r="A147" s="6" t="s">
        <v>15</v>
      </c>
      <c r="B147" t="s">
        <v>139</v>
      </c>
      <c r="C147" s="16">
        <v>0.35542672831453798</v>
      </c>
      <c r="D147">
        <v>66</v>
      </c>
      <c r="E147" s="16">
        <v>0.35542672831453798</v>
      </c>
      <c r="F147">
        <v>66</v>
      </c>
      <c r="G147" s="16">
        <v>0.129199097624556</v>
      </c>
      <c r="H147">
        <v>66</v>
      </c>
      <c r="I147" s="16">
        <v>0.50051485914717297</v>
      </c>
      <c r="J147">
        <v>32</v>
      </c>
      <c r="K147" s="16">
        <v>0.50051485914717297</v>
      </c>
      <c r="L147">
        <v>32</v>
      </c>
      <c r="M147" s="16">
        <v>0.172662972308223</v>
      </c>
      <c r="N147">
        <v>32</v>
      </c>
      <c r="O147" s="16">
        <v>0.210638066111281</v>
      </c>
      <c r="P147">
        <v>34</v>
      </c>
      <c r="Q147" s="16">
        <v>0.210638066111281</v>
      </c>
      <c r="R147">
        <v>34</v>
      </c>
      <c r="S147" s="16">
        <v>8.5824934393536306E-2</v>
      </c>
      <c r="T147" s="11">
        <v>34</v>
      </c>
    </row>
    <row r="148" spans="1:20" outlineLevel="1" x14ac:dyDescent="0.25">
      <c r="A148" s="6" t="s">
        <v>15</v>
      </c>
      <c r="B148" t="s">
        <v>140</v>
      </c>
      <c r="C148" s="16">
        <v>0.88281124918071596</v>
      </c>
      <c r="D148">
        <v>197</v>
      </c>
      <c r="E148" s="16">
        <v>0.87754646651261603</v>
      </c>
      <c r="F148">
        <v>196</v>
      </c>
      <c r="G148" s="16">
        <v>0.51655972377443204</v>
      </c>
      <c r="H148">
        <v>196</v>
      </c>
      <c r="I148" s="16">
        <v>0.81180281965882095</v>
      </c>
      <c r="J148">
        <v>85</v>
      </c>
      <c r="K148" s="16">
        <v>0.81180281965882095</v>
      </c>
      <c r="L148">
        <v>85</v>
      </c>
      <c r="M148" s="16">
        <v>0.51974967480013501</v>
      </c>
      <c r="N148">
        <v>85</v>
      </c>
      <c r="O148" s="16">
        <v>0.938298063909764</v>
      </c>
      <c r="P148">
        <v>112</v>
      </c>
      <c r="Q148" s="16">
        <v>0.93030630038252704</v>
      </c>
      <c r="R148">
        <v>111</v>
      </c>
      <c r="S148" s="16">
        <v>0.51399976103699097</v>
      </c>
      <c r="T148" s="11">
        <v>111</v>
      </c>
    </row>
    <row r="149" spans="1:20" outlineLevel="1" x14ac:dyDescent="0.25">
      <c r="A149" s="6" t="s">
        <v>15</v>
      </c>
      <c r="B149" t="s">
        <v>141</v>
      </c>
      <c r="C149" s="16">
        <v>0.34084194660883699</v>
      </c>
      <c r="D149">
        <v>141</v>
      </c>
      <c r="E149" s="16">
        <v>0.34084194660883699</v>
      </c>
      <c r="F149">
        <v>141</v>
      </c>
      <c r="G149" s="16">
        <v>0.19036983756060699</v>
      </c>
      <c r="H149">
        <v>141</v>
      </c>
      <c r="I149" s="16">
        <v>0.41270541397893301</v>
      </c>
      <c r="J149">
        <v>69</v>
      </c>
      <c r="K149" s="16">
        <v>0.41270541397893301</v>
      </c>
      <c r="L149">
        <v>69</v>
      </c>
      <c r="M149" s="16">
        <v>0.246664216367768</v>
      </c>
      <c r="N149">
        <v>69</v>
      </c>
      <c r="O149" s="16">
        <v>0.27958156203180901</v>
      </c>
      <c r="P149">
        <v>72</v>
      </c>
      <c r="Q149" s="16">
        <v>0.27958156203180901</v>
      </c>
      <c r="R149">
        <v>72</v>
      </c>
      <c r="S149" s="16">
        <v>0.14238140308260799</v>
      </c>
      <c r="T149" s="11">
        <v>72</v>
      </c>
    </row>
    <row r="150" spans="1:20" outlineLevel="1" x14ac:dyDescent="0.25">
      <c r="A150" s="7" t="s">
        <v>15</v>
      </c>
      <c r="B150" s="9" t="s">
        <v>142</v>
      </c>
      <c r="C150" s="15">
        <v>0.94699017965291499</v>
      </c>
      <c r="D150" s="9">
        <v>18</v>
      </c>
      <c r="E150" s="15">
        <v>0.94699017965291499</v>
      </c>
      <c r="F150" s="9">
        <v>18</v>
      </c>
      <c r="G150" s="15">
        <v>0.47682032688698001</v>
      </c>
      <c r="H150" s="9">
        <v>18</v>
      </c>
      <c r="I150" s="15">
        <v>1</v>
      </c>
      <c r="J150" s="9">
        <v>12</v>
      </c>
      <c r="K150" s="15">
        <v>1</v>
      </c>
      <c r="L150" s="9">
        <v>12</v>
      </c>
      <c r="M150" s="15">
        <v>0.261335712357885</v>
      </c>
      <c r="N150" s="9">
        <v>12</v>
      </c>
      <c r="O150" s="15">
        <v>0.90169530880177196</v>
      </c>
      <c r="P150" s="9">
        <v>6</v>
      </c>
      <c r="Q150" s="15">
        <v>0.90169530880177196</v>
      </c>
      <c r="R150" s="9">
        <v>6</v>
      </c>
      <c r="S150" s="15">
        <v>0.66094371613065905</v>
      </c>
      <c r="T150" s="12">
        <v>6</v>
      </c>
    </row>
    <row r="151" spans="1:20" x14ac:dyDescent="0.25">
      <c r="C151" s="16"/>
      <c r="E151" s="16"/>
      <c r="G151" s="16"/>
      <c r="I151" s="16"/>
      <c r="K151" s="16"/>
      <c r="M151" s="16"/>
      <c r="O151" s="16"/>
      <c r="Q151" s="16"/>
      <c r="S151" s="16"/>
    </row>
    <row r="152" spans="1:20" x14ac:dyDescent="0.25">
      <c r="A152" s="19" t="s">
        <v>143</v>
      </c>
      <c r="B152" s="19"/>
      <c r="C152" s="20"/>
      <c r="D152" s="19"/>
      <c r="E152" s="20"/>
      <c r="F152" s="19"/>
      <c r="G152" s="20"/>
      <c r="H152" s="19"/>
      <c r="I152" s="20"/>
      <c r="J152" s="19"/>
      <c r="K152" s="20"/>
      <c r="L152" s="19"/>
      <c r="M152" s="20"/>
      <c r="N152" s="19"/>
      <c r="O152" s="20"/>
      <c r="P152" s="19"/>
      <c r="Q152" s="20"/>
      <c r="R152" s="19"/>
      <c r="S152" s="20"/>
      <c r="T152" s="19"/>
    </row>
    <row r="153" spans="1:20" outlineLevel="1" x14ac:dyDescent="0.25">
      <c r="A153" s="5" t="s">
        <v>15</v>
      </c>
      <c r="B153" s="8" t="s">
        <v>144</v>
      </c>
      <c r="C153" s="14">
        <v>0.282082816312892</v>
      </c>
      <c r="D153" s="8">
        <v>45</v>
      </c>
      <c r="E153" s="14">
        <v>0.282082816312892</v>
      </c>
      <c r="F153" s="8">
        <v>45</v>
      </c>
      <c r="G153" s="14">
        <v>0.14946190724226999</v>
      </c>
      <c r="H153" s="8">
        <v>45</v>
      </c>
      <c r="I153" s="14">
        <v>0.157995717383135</v>
      </c>
      <c r="J153" s="8">
        <v>21</v>
      </c>
      <c r="K153" s="14">
        <v>0.157995717383135</v>
      </c>
      <c r="L153" s="8">
        <v>21</v>
      </c>
      <c r="M153" s="14">
        <v>5.0177628831359199E-2</v>
      </c>
      <c r="N153" s="8">
        <v>21</v>
      </c>
      <c r="O153" s="14">
        <v>0.41645958250121101</v>
      </c>
      <c r="P153" s="8">
        <v>24</v>
      </c>
      <c r="Q153" s="14">
        <v>0.41645958250121101</v>
      </c>
      <c r="R153" s="8">
        <v>24</v>
      </c>
      <c r="S153" s="14">
        <v>0.25697913007420398</v>
      </c>
      <c r="T153" s="10">
        <v>24</v>
      </c>
    </row>
    <row r="154" spans="1:20" outlineLevel="1" x14ac:dyDescent="0.25">
      <c r="A154" s="6" t="s">
        <v>15</v>
      </c>
      <c r="B154" t="s">
        <v>145</v>
      </c>
      <c r="C154" s="16">
        <v>0.431602797339598</v>
      </c>
      <c r="D154">
        <v>135</v>
      </c>
      <c r="E154" s="16">
        <v>0.431602797339598</v>
      </c>
      <c r="F154">
        <v>135</v>
      </c>
      <c r="G154" s="16">
        <v>0.16625572581468601</v>
      </c>
      <c r="H154">
        <v>135</v>
      </c>
      <c r="I154" s="16">
        <v>0.51058171193157498</v>
      </c>
      <c r="J154">
        <v>62</v>
      </c>
      <c r="K154" s="16">
        <v>0.51058171193157498</v>
      </c>
      <c r="L154">
        <v>62</v>
      </c>
      <c r="M154" s="16">
        <v>0.20475415852981399</v>
      </c>
      <c r="N154">
        <v>62</v>
      </c>
      <c r="O154" s="16">
        <v>0.363121300076586</v>
      </c>
      <c r="P154">
        <v>73</v>
      </c>
      <c r="Q154" s="16">
        <v>0.363121300076586</v>
      </c>
      <c r="R154">
        <v>73</v>
      </c>
      <c r="S154" s="16">
        <v>0.13287428054879799</v>
      </c>
      <c r="T154" s="11">
        <v>73</v>
      </c>
    </row>
    <row r="155" spans="1:20" outlineLevel="1" x14ac:dyDescent="0.25">
      <c r="A155" s="6" t="s">
        <v>15</v>
      </c>
      <c r="B155" t="s">
        <v>146</v>
      </c>
      <c r="C155" s="16">
        <v>0.2</v>
      </c>
      <c r="D155">
        <v>15</v>
      </c>
      <c r="E155" s="16">
        <v>0.2</v>
      </c>
      <c r="F155">
        <v>15</v>
      </c>
      <c r="G155" s="16">
        <v>0.133333333333333</v>
      </c>
      <c r="H155">
        <v>15</v>
      </c>
      <c r="I155" s="16">
        <v>0.14285714285714299</v>
      </c>
      <c r="J155">
        <v>7</v>
      </c>
      <c r="K155" s="16">
        <v>0.14285714285714299</v>
      </c>
      <c r="L155">
        <v>7</v>
      </c>
      <c r="M155" s="16">
        <v>0.14285714285714299</v>
      </c>
      <c r="N155">
        <v>7</v>
      </c>
      <c r="O155" s="16">
        <v>0.25</v>
      </c>
      <c r="P155">
        <v>8</v>
      </c>
      <c r="Q155" s="16">
        <v>0.25</v>
      </c>
      <c r="R155">
        <v>8</v>
      </c>
      <c r="S155" s="16">
        <v>0.125</v>
      </c>
      <c r="T155" s="11">
        <v>8</v>
      </c>
    </row>
    <row r="156" spans="1:20" outlineLevel="1" x14ac:dyDescent="0.25">
      <c r="A156" s="6" t="s">
        <v>15</v>
      </c>
      <c r="B156" t="s">
        <v>147</v>
      </c>
      <c r="C156" s="16">
        <v>0.25</v>
      </c>
      <c r="D156">
        <v>8</v>
      </c>
      <c r="E156" s="16">
        <v>0.25</v>
      </c>
      <c r="F156">
        <v>8</v>
      </c>
      <c r="G156" s="16">
        <v>0.125</v>
      </c>
      <c r="H156">
        <v>8</v>
      </c>
      <c r="I156" s="16"/>
      <c r="K156" s="16"/>
      <c r="M156" s="16"/>
      <c r="O156" s="16">
        <v>0.4</v>
      </c>
      <c r="P156">
        <v>5</v>
      </c>
      <c r="Q156" s="16">
        <v>0.4</v>
      </c>
      <c r="R156">
        <v>5</v>
      </c>
      <c r="S156" s="16">
        <v>0.2</v>
      </c>
      <c r="T156" s="11">
        <v>5</v>
      </c>
    </row>
    <row r="157" spans="1:20" outlineLevel="1" x14ac:dyDescent="0.25">
      <c r="A157" s="6" t="s">
        <v>15</v>
      </c>
      <c r="B157" t="s">
        <v>148</v>
      </c>
      <c r="C157" s="16">
        <v>0.76066085528271699</v>
      </c>
      <c r="D157">
        <v>70</v>
      </c>
      <c r="E157" s="16">
        <v>0.76066085528271699</v>
      </c>
      <c r="F157">
        <v>70</v>
      </c>
      <c r="G157" s="16">
        <v>0.29193310764302499</v>
      </c>
      <c r="H157">
        <v>70</v>
      </c>
      <c r="I157" s="16">
        <v>0.78190919701646999</v>
      </c>
      <c r="J157">
        <v>31</v>
      </c>
      <c r="K157" s="16">
        <v>0.78190919701646999</v>
      </c>
      <c r="L157">
        <v>31</v>
      </c>
      <c r="M157" s="16">
        <v>0.31508346407330301</v>
      </c>
      <c r="N157">
        <v>31</v>
      </c>
      <c r="O157" s="16">
        <v>0.74528824214219502</v>
      </c>
      <c r="P157">
        <v>39</v>
      </c>
      <c r="Q157" s="16">
        <v>0.74528824214219502</v>
      </c>
      <c r="R157">
        <v>39</v>
      </c>
      <c r="S157" s="16">
        <v>0.27518443718548302</v>
      </c>
      <c r="T157" s="11">
        <v>39</v>
      </c>
    </row>
    <row r="158" spans="1:20" outlineLevel="1" x14ac:dyDescent="0.25">
      <c r="A158" s="6" t="s">
        <v>15</v>
      </c>
      <c r="B158" t="s">
        <v>149</v>
      </c>
      <c r="C158" s="16">
        <v>0.77524913196789402</v>
      </c>
      <c r="D158">
        <v>193</v>
      </c>
      <c r="E158" s="16">
        <v>0.76800913580723196</v>
      </c>
      <c r="F158">
        <v>192</v>
      </c>
      <c r="G158" s="16">
        <v>0.48198152286909501</v>
      </c>
      <c r="H158">
        <v>192</v>
      </c>
      <c r="I158" s="16">
        <v>0.72624451702212001</v>
      </c>
      <c r="J158">
        <v>86</v>
      </c>
      <c r="K158" s="16">
        <v>0.72624451702212001</v>
      </c>
      <c r="L158">
        <v>86</v>
      </c>
      <c r="M158" s="16">
        <v>0.47623142019449599</v>
      </c>
      <c r="N158">
        <v>86</v>
      </c>
      <c r="O158" s="16">
        <v>0.81733805000434001</v>
      </c>
      <c r="P158">
        <v>107</v>
      </c>
      <c r="Q158" s="16">
        <v>0.80494585449477796</v>
      </c>
      <c r="R158">
        <v>106</v>
      </c>
      <c r="S158" s="16">
        <v>0.48706692604274598</v>
      </c>
      <c r="T158" s="11">
        <v>106</v>
      </c>
    </row>
    <row r="159" spans="1:20" outlineLevel="1" x14ac:dyDescent="0.25">
      <c r="A159" s="6" t="s">
        <v>15</v>
      </c>
      <c r="B159" t="s">
        <v>150</v>
      </c>
      <c r="C159" s="16">
        <v>0.51830164898363096</v>
      </c>
      <c r="D159">
        <v>55</v>
      </c>
      <c r="E159" s="16">
        <v>0.51830164898363096</v>
      </c>
      <c r="F159">
        <v>55</v>
      </c>
      <c r="G159" s="16">
        <v>0.30274750765417702</v>
      </c>
      <c r="H159">
        <v>55</v>
      </c>
      <c r="I159" s="16">
        <v>0.44862287243899801</v>
      </c>
      <c r="J159">
        <v>31</v>
      </c>
      <c r="K159" s="16">
        <v>0.44862287243899801</v>
      </c>
      <c r="L159">
        <v>31</v>
      </c>
      <c r="M159" s="16">
        <v>0.22572831475188199</v>
      </c>
      <c r="N159">
        <v>31</v>
      </c>
      <c r="O159" s="16">
        <v>0.60217216578250998</v>
      </c>
      <c r="P159">
        <v>24</v>
      </c>
      <c r="Q159" s="16">
        <v>0.60217216578250998</v>
      </c>
      <c r="R159">
        <v>24</v>
      </c>
      <c r="S159" s="16">
        <v>0.39545349120442302</v>
      </c>
      <c r="T159" s="11">
        <v>24</v>
      </c>
    </row>
    <row r="160" spans="1:20" outlineLevel="1" x14ac:dyDescent="0.25">
      <c r="A160" s="7" t="s">
        <v>15</v>
      </c>
      <c r="B160" s="9" t="s">
        <v>151</v>
      </c>
      <c r="C160" s="15">
        <v>0.32462378363296901</v>
      </c>
      <c r="D160" s="9">
        <v>104</v>
      </c>
      <c r="E160" s="15">
        <v>0.32462378363296901</v>
      </c>
      <c r="F160" s="9">
        <v>104</v>
      </c>
      <c r="G160" s="15">
        <v>0.169247412478399</v>
      </c>
      <c r="H160" s="9">
        <v>104</v>
      </c>
      <c r="I160" s="15">
        <v>0.46249027956259797</v>
      </c>
      <c r="J160" s="9">
        <v>50</v>
      </c>
      <c r="K160" s="15">
        <v>0.46249027956259797</v>
      </c>
      <c r="L160" s="9">
        <v>50</v>
      </c>
      <c r="M160" s="15">
        <v>0.26132085905591301</v>
      </c>
      <c r="N160" s="9">
        <v>50</v>
      </c>
      <c r="O160" s="15">
        <v>0.22493927247694401</v>
      </c>
      <c r="P160" s="9">
        <v>54</v>
      </c>
      <c r="Q160" s="15">
        <v>0.22493927247694401</v>
      </c>
      <c r="R160" s="9">
        <v>54</v>
      </c>
      <c r="S160" s="15">
        <v>0.102673612581325</v>
      </c>
      <c r="T160" s="12">
        <v>54</v>
      </c>
    </row>
    <row r="161" spans="1:20" x14ac:dyDescent="0.25">
      <c r="C161" s="16"/>
      <c r="E161" s="16"/>
      <c r="G161" s="16"/>
      <c r="I161" s="16"/>
      <c r="K161" s="16"/>
      <c r="M161" s="16"/>
      <c r="O161" s="16"/>
      <c r="Q161" s="16"/>
      <c r="S161" s="16"/>
    </row>
    <row r="162" spans="1:20" x14ac:dyDescent="0.25">
      <c r="A162" s="19" t="s">
        <v>152</v>
      </c>
      <c r="B162" s="19"/>
      <c r="C162" s="20"/>
      <c r="D162" s="19"/>
      <c r="E162" s="20"/>
      <c r="F162" s="19"/>
      <c r="G162" s="20"/>
      <c r="H162" s="19"/>
      <c r="I162" s="20"/>
      <c r="J162" s="19"/>
      <c r="K162" s="20"/>
      <c r="L162" s="19"/>
      <c r="M162" s="20"/>
      <c r="N162" s="19"/>
      <c r="O162" s="20"/>
      <c r="P162" s="19"/>
      <c r="Q162" s="20"/>
      <c r="R162" s="19"/>
      <c r="S162" s="20"/>
      <c r="T162" s="19"/>
    </row>
    <row r="163" spans="1:20" outlineLevel="1" x14ac:dyDescent="0.25">
      <c r="A163" s="5" t="s">
        <v>15</v>
      </c>
      <c r="B163" s="8" t="s">
        <v>186</v>
      </c>
      <c r="C163" s="14">
        <v>0.388948685864271</v>
      </c>
      <c r="D163" s="8">
        <v>180</v>
      </c>
      <c r="E163" s="14">
        <v>0.388948685864271</v>
      </c>
      <c r="F163" s="8">
        <v>180</v>
      </c>
      <c r="G163" s="14">
        <v>0.16146489180998999</v>
      </c>
      <c r="H163" s="8">
        <v>180</v>
      </c>
      <c r="I163" s="14"/>
      <c r="J163" s="8"/>
      <c r="K163" s="14"/>
      <c r="L163" s="8"/>
      <c r="M163" s="14"/>
      <c r="N163" s="8"/>
      <c r="O163" s="14"/>
      <c r="P163" s="8"/>
      <c r="Q163" s="14"/>
      <c r="R163" s="8"/>
      <c r="S163" s="14"/>
      <c r="T163" s="10"/>
    </row>
    <row r="164" spans="1:20" outlineLevel="1" x14ac:dyDescent="0.25">
      <c r="A164" s="6" t="s">
        <v>15</v>
      </c>
      <c r="B164" t="s">
        <v>187</v>
      </c>
      <c r="C164" s="16">
        <v>0.217391304347826</v>
      </c>
      <c r="D164">
        <v>23</v>
      </c>
      <c r="E164" s="16">
        <v>0.217391304347826</v>
      </c>
      <c r="F164">
        <v>23</v>
      </c>
      <c r="G164" s="16">
        <v>0.13043478260869601</v>
      </c>
      <c r="H164">
        <v>23</v>
      </c>
      <c r="I164" s="16"/>
      <c r="K164" s="16"/>
      <c r="M164" s="16"/>
      <c r="O164" s="16"/>
      <c r="Q164" s="16"/>
      <c r="S164" s="16"/>
      <c r="T164" s="11"/>
    </row>
    <row r="165" spans="1:20" outlineLevel="1" x14ac:dyDescent="0.25">
      <c r="A165" s="6" t="s">
        <v>15</v>
      </c>
      <c r="B165" t="s">
        <v>188</v>
      </c>
      <c r="C165" s="16">
        <v>0.77160248409225496</v>
      </c>
      <c r="D165">
        <v>263</v>
      </c>
      <c r="E165" s="16">
        <v>0.76615063500143599</v>
      </c>
      <c r="F165">
        <v>262</v>
      </c>
      <c r="G165" s="16">
        <v>0.43391515800188402</v>
      </c>
      <c r="H165">
        <v>262</v>
      </c>
      <c r="I165" s="16"/>
      <c r="K165" s="16"/>
      <c r="M165" s="16"/>
      <c r="O165" s="16"/>
      <c r="Q165" s="16"/>
      <c r="S165" s="16"/>
      <c r="T165" s="11"/>
    </row>
    <row r="166" spans="1:20" outlineLevel="1" x14ac:dyDescent="0.25">
      <c r="A166" s="6" t="s">
        <v>15</v>
      </c>
      <c r="B166" t="s">
        <v>189</v>
      </c>
      <c r="C166" s="16">
        <v>0.38672453573631699</v>
      </c>
      <c r="D166">
        <v>159</v>
      </c>
      <c r="E166" s="16">
        <v>0.38672453573631699</v>
      </c>
      <c r="F166">
        <v>159</v>
      </c>
      <c r="G166" s="16">
        <v>0.21205280121641601</v>
      </c>
      <c r="H166">
        <v>159</v>
      </c>
      <c r="I166" s="16"/>
      <c r="K166" s="16"/>
      <c r="M166" s="16"/>
      <c r="O166" s="16"/>
      <c r="Q166" s="16"/>
      <c r="S166" s="16"/>
      <c r="T166" s="11"/>
    </row>
    <row r="167" spans="1:20" outlineLevel="1" x14ac:dyDescent="0.25">
      <c r="A167" s="6" t="s">
        <v>15</v>
      </c>
      <c r="B167" t="s">
        <v>190</v>
      </c>
      <c r="C167" s="16">
        <v>0.37717605870910598</v>
      </c>
      <c r="D167">
        <v>97</v>
      </c>
      <c r="E167" s="16">
        <v>0.37717605870910598</v>
      </c>
      <c r="F167">
        <v>97</v>
      </c>
      <c r="G167" s="16">
        <v>0.165576190432561</v>
      </c>
      <c r="H167">
        <v>97</v>
      </c>
      <c r="I167" s="16"/>
      <c r="K167" s="16"/>
      <c r="M167" s="16"/>
      <c r="O167" s="16"/>
      <c r="Q167" s="16"/>
      <c r="S167" s="16"/>
      <c r="T167" s="11"/>
    </row>
    <row r="168" spans="1:20" outlineLevel="1" x14ac:dyDescent="0.25">
      <c r="A168" s="6" t="s">
        <v>15</v>
      </c>
      <c r="B168" t="s">
        <v>191</v>
      </c>
      <c r="C168" s="16">
        <v>0.401690184263443</v>
      </c>
      <c r="D168">
        <v>83</v>
      </c>
      <c r="E168" s="16">
        <v>0.401690184263443</v>
      </c>
      <c r="F168">
        <v>83</v>
      </c>
      <c r="G168" s="16">
        <v>0.15701523888820901</v>
      </c>
      <c r="H168">
        <v>83</v>
      </c>
      <c r="I168" s="16"/>
      <c r="K168" s="16"/>
      <c r="M168" s="16"/>
      <c r="O168" s="16"/>
      <c r="Q168" s="16"/>
      <c r="S168" s="16"/>
      <c r="T168" s="11"/>
    </row>
    <row r="169" spans="1:20" outlineLevel="1" x14ac:dyDescent="0.25">
      <c r="A169" s="6" t="s">
        <v>15</v>
      </c>
      <c r="B169" t="s">
        <v>192</v>
      </c>
      <c r="C169" s="16">
        <v>0.30769230769230799</v>
      </c>
      <c r="D169">
        <v>13</v>
      </c>
      <c r="E169" s="16">
        <v>0.30769230769230799</v>
      </c>
      <c r="F169">
        <v>13</v>
      </c>
      <c r="G169" s="16">
        <v>0.15384615384615399</v>
      </c>
      <c r="H169">
        <v>13</v>
      </c>
      <c r="I169" s="16"/>
      <c r="K169" s="16"/>
      <c r="M169" s="16"/>
      <c r="O169" s="16"/>
      <c r="Q169" s="16"/>
      <c r="S169" s="16"/>
      <c r="T169" s="11"/>
    </row>
    <row r="170" spans="1:20" outlineLevel="1" x14ac:dyDescent="0.25">
      <c r="A170" s="6" t="s">
        <v>15</v>
      </c>
      <c r="B170" t="s">
        <v>193</v>
      </c>
      <c r="C170" s="16">
        <v>0.11111111111111099</v>
      </c>
      <c r="D170">
        <v>9</v>
      </c>
      <c r="E170" s="16">
        <v>0.11111111111111099</v>
      </c>
      <c r="F170">
        <v>9</v>
      </c>
      <c r="G170" s="16">
        <v>0.11111111111111099</v>
      </c>
      <c r="H170">
        <v>9</v>
      </c>
      <c r="I170" s="16"/>
      <c r="K170" s="16"/>
      <c r="M170" s="16"/>
      <c r="O170" s="16"/>
      <c r="Q170" s="16"/>
      <c r="S170" s="16"/>
      <c r="T170" s="11"/>
    </row>
    <row r="171" spans="1:20" outlineLevel="1" x14ac:dyDescent="0.25">
      <c r="A171" s="6" t="s">
        <v>15</v>
      </c>
      <c r="B171" t="s">
        <v>194</v>
      </c>
      <c r="C171" s="16">
        <v>0.79828685255425802</v>
      </c>
      <c r="D171">
        <v>146</v>
      </c>
      <c r="E171" s="16">
        <v>0.78882920303226101</v>
      </c>
      <c r="F171">
        <v>145</v>
      </c>
      <c r="G171" s="16">
        <v>0.42982634786236201</v>
      </c>
      <c r="H171">
        <v>145</v>
      </c>
      <c r="I171" s="16"/>
      <c r="K171" s="16"/>
      <c r="M171" s="16"/>
      <c r="O171" s="16"/>
      <c r="Q171" s="16"/>
      <c r="S171" s="16"/>
      <c r="T171" s="11"/>
    </row>
    <row r="172" spans="1:20" outlineLevel="1" x14ac:dyDescent="0.25">
      <c r="A172" s="6" t="s">
        <v>15</v>
      </c>
      <c r="B172" t="s">
        <v>195</v>
      </c>
      <c r="C172" s="16">
        <v>0.73918209791743295</v>
      </c>
      <c r="D172">
        <v>117</v>
      </c>
      <c r="E172" s="16">
        <v>0.73918209791743295</v>
      </c>
      <c r="F172">
        <v>117</v>
      </c>
      <c r="G172" s="16">
        <v>0.43877742389659402</v>
      </c>
      <c r="H172">
        <v>117</v>
      </c>
      <c r="I172" s="16"/>
      <c r="K172" s="16"/>
      <c r="M172" s="16"/>
      <c r="O172" s="16"/>
      <c r="Q172" s="16"/>
      <c r="S172" s="16"/>
      <c r="T172" s="11"/>
    </row>
    <row r="173" spans="1:20" outlineLevel="1" x14ac:dyDescent="0.25">
      <c r="A173" s="6" t="s">
        <v>15</v>
      </c>
      <c r="B173" t="s">
        <v>196</v>
      </c>
      <c r="C173" s="16">
        <v>0.32662556216282101</v>
      </c>
      <c r="D173">
        <v>78</v>
      </c>
      <c r="E173" s="16">
        <v>0.32662556216282101</v>
      </c>
      <c r="F173">
        <v>78</v>
      </c>
      <c r="G173" s="16">
        <v>0.181594883976788</v>
      </c>
      <c r="H173">
        <v>78</v>
      </c>
      <c r="I173" s="16"/>
      <c r="K173" s="16"/>
      <c r="M173" s="16"/>
      <c r="O173" s="16"/>
      <c r="Q173" s="16"/>
      <c r="S173" s="16"/>
      <c r="T173" s="11"/>
    </row>
    <row r="174" spans="1:20" outlineLevel="1" x14ac:dyDescent="0.25">
      <c r="A174" s="7" t="s">
        <v>15</v>
      </c>
      <c r="B174" s="9" t="s">
        <v>197</v>
      </c>
      <c r="C174" s="15">
        <v>0.45721302478605902</v>
      </c>
      <c r="D174" s="9">
        <v>81</v>
      </c>
      <c r="E174" s="15">
        <v>0.45721302478605902</v>
      </c>
      <c r="F174" s="9">
        <v>81</v>
      </c>
      <c r="G174" s="15">
        <v>0.247776082965944</v>
      </c>
      <c r="H174" s="9">
        <v>81</v>
      </c>
      <c r="I174" s="15"/>
      <c r="J174" s="9"/>
      <c r="K174" s="15"/>
      <c r="L174" s="9"/>
      <c r="M174" s="15"/>
      <c r="N174" s="9"/>
      <c r="O174" s="15"/>
      <c r="P174" s="9"/>
      <c r="Q174" s="15"/>
      <c r="R174" s="9"/>
      <c r="S174" s="15"/>
      <c r="T174" s="12"/>
    </row>
    <row r="175" spans="1:20" x14ac:dyDescent="0.25">
      <c r="C175" s="16"/>
      <c r="E175" s="16"/>
      <c r="G175" s="16"/>
      <c r="I175" s="16"/>
      <c r="K175" s="16"/>
      <c r="M175" s="16"/>
      <c r="O175" s="16"/>
      <c r="Q175" s="16"/>
      <c r="S175" s="16"/>
    </row>
    <row r="176" spans="1:20" x14ac:dyDescent="0.25">
      <c r="C176" s="16"/>
      <c r="E176" s="16"/>
      <c r="G176" s="16"/>
      <c r="I176" s="16"/>
      <c r="K176" s="16"/>
      <c r="M176" s="16"/>
      <c r="O176" s="16"/>
      <c r="Q176" s="16"/>
      <c r="S176" s="16"/>
    </row>
  </sheetData>
  <mergeCells count="31">
    <mergeCell ref="A142:T142"/>
    <mergeCell ref="A152:T152"/>
    <mergeCell ref="A162:T162"/>
    <mergeCell ref="A108:T108"/>
    <mergeCell ref="A115:T115"/>
    <mergeCell ref="A122:T122"/>
    <mergeCell ref="A130:T130"/>
    <mergeCell ref="A136:T136"/>
    <mergeCell ref="A29:T29"/>
    <mergeCell ref="A72:T72"/>
    <mergeCell ref="A78:T78"/>
    <mergeCell ref="A88:T88"/>
    <mergeCell ref="A94:T94"/>
    <mergeCell ref="Q4:R4"/>
    <mergeCell ref="S4:T4"/>
    <mergeCell ref="O4:P4"/>
    <mergeCell ref="A6:T6"/>
    <mergeCell ref="A9:T9"/>
    <mergeCell ref="E4:F4"/>
    <mergeCell ref="G4:H4"/>
    <mergeCell ref="C4:D4"/>
    <mergeCell ref="K4:L4"/>
    <mergeCell ref="M4:N4"/>
    <mergeCell ref="I4:J4"/>
    <mergeCell ref="A1:T1"/>
    <mergeCell ref="C2:H2"/>
    <mergeCell ref="I2:N2"/>
    <mergeCell ref="O2:T2"/>
    <mergeCell ref="E3:H3"/>
    <mergeCell ref="K3:N3"/>
    <mergeCell ref="Q3:T3"/>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82"/>
  <sheetViews>
    <sheetView showGridLines="0" workbookViewId="0">
      <selection sqref="A1:N1"/>
    </sheetView>
  </sheetViews>
  <sheetFormatPr defaultColWidth="11.42578125" defaultRowHeight="15" outlineLevelRow="1" x14ac:dyDescent="0.25"/>
  <sheetData>
    <row r="1" spans="1:14" x14ac:dyDescent="0.25">
      <c r="A1" s="18" t="s">
        <v>198</v>
      </c>
      <c r="B1" s="18"/>
      <c r="C1" s="18"/>
      <c r="D1" s="18"/>
      <c r="E1" s="18"/>
      <c r="F1" s="18"/>
      <c r="G1" s="18"/>
      <c r="H1" s="18"/>
      <c r="I1" s="18"/>
      <c r="J1" s="18"/>
      <c r="K1" s="18"/>
      <c r="L1" s="18"/>
      <c r="M1" s="18"/>
      <c r="N1" s="18"/>
    </row>
    <row r="2" spans="1:14" x14ac:dyDescent="0.25">
      <c r="C2" s="19" t="s">
        <v>2</v>
      </c>
      <c r="D2" s="19"/>
      <c r="E2" s="19"/>
      <c r="F2" s="19"/>
      <c r="G2" s="19" t="s">
        <v>3</v>
      </c>
      <c r="H2" s="19"/>
      <c r="I2" s="19"/>
      <c r="J2" s="19"/>
      <c r="K2" s="19" t="s">
        <v>4</v>
      </c>
      <c r="L2" s="19"/>
      <c r="M2" s="19"/>
      <c r="N2" s="19"/>
    </row>
    <row r="3" spans="1:14" x14ac:dyDescent="0.25">
      <c r="E3" s="19" t="s">
        <v>183</v>
      </c>
      <c r="F3" s="19"/>
      <c r="I3" s="19" t="s">
        <v>183</v>
      </c>
      <c r="J3" s="19"/>
      <c r="M3" s="19" t="s">
        <v>183</v>
      </c>
      <c r="N3" s="19"/>
    </row>
    <row r="4" spans="1:14" x14ac:dyDescent="0.25">
      <c r="C4" s="19" t="s">
        <v>10</v>
      </c>
      <c r="D4" s="19"/>
      <c r="E4" s="19" t="s">
        <v>199</v>
      </c>
      <c r="F4" s="19"/>
      <c r="G4" s="19" t="s">
        <v>10</v>
      </c>
      <c r="H4" s="19"/>
      <c r="I4" s="19" t="s">
        <v>199</v>
      </c>
      <c r="J4" s="19"/>
      <c r="K4" s="19" t="s">
        <v>10</v>
      </c>
      <c r="L4" s="19"/>
      <c r="M4" s="19" t="s">
        <v>199</v>
      </c>
      <c r="N4" s="19"/>
    </row>
    <row r="5" spans="1:14" x14ac:dyDescent="0.25">
      <c r="A5" s="1" t="s">
        <v>11</v>
      </c>
      <c r="B5" s="1" t="s">
        <v>12</v>
      </c>
      <c r="C5" s="1" t="s">
        <v>13</v>
      </c>
      <c r="D5" s="1" t="s">
        <v>14</v>
      </c>
      <c r="E5" s="1" t="s">
        <v>13</v>
      </c>
      <c r="F5" s="1" t="s">
        <v>14</v>
      </c>
      <c r="G5" s="1" t="s">
        <v>13</v>
      </c>
      <c r="H5" s="1" t="s">
        <v>14</v>
      </c>
      <c r="I5" s="1" t="s">
        <v>13</v>
      </c>
      <c r="J5" s="1" t="s">
        <v>14</v>
      </c>
      <c r="K5" s="1" t="s">
        <v>13</v>
      </c>
      <c r="L5" s="1" t="s">
        <v>14</v>
      </c>
      <c r="M5" s="1" t="s">
        <v>13</v>
      </c>
      <c r="N5" s="1" t="s">
        <v>14</v>
      </c>
    </row>
    <row r="6" spans="1:14" x14ac:dyDescent="0.25">
      <c r="A6" s="19" t="s">
        <v>16</v>
      </c>
      <c r="B6" s="19"/>
      <c r="C6" s="20"/>
      <c r="D6" s="19"/>
      <c r="E6" s="20"/>
      <c r="F6" s="19"/>
      <c r="G6" s="20"/>
      <c r="H6" s="19"/>
      <c r="I6" s="20"/>
      <c r="J6" s="19"/>
      <c r="K6" s="20"/>
      <c r="L6" s="19"/>
      <c r="M6" s="20"/>
      <c r="N6" s="19"/>
    </row>
    <row r="7" spans="1:14" outlineLevel="1" x14ac:dyDescent="0.25">
      <c r="A7" s="2" t="s">
        <v>15</v>
      </c>
      <c r="B7" s="3" t="s">
        <v>18</v>
      </c>
      <c r="C7" s="13">
        <v>0.80332488846433003</v>
      </c>
      <c r="D7" s="3">
        <v>3410</v>
      </c>
      <c r="E7" s="13">
        <v>0.78865008610657805</v>
      </c>
      <c r="F7" s="3">
        <v>3410</v>
      </c>
      <c r="G7" s="13">
        <v>0.80816615371244305</v>
      </c>
      <c r="H7" s="3">
        <v>1677</v>
      </c>
      <c r="I7" s="13">
        <v>0.79616408870886002</v>
      </c>
      <c r="J7" s="3">
        <v>1677</v>
      </c>
      <c r="K7" s="13">
        <v>0.79829832661087297</v>
      </c>
      <c r="L7" s="3">
        <v>1731</v>
      </c>
      <c r="M7" s="13">
        <v>0.780808780474058</v>
      </c>
      <c r="N7" s="4">
        <v>1731</v>
      </c>
    </row>
    <row r="8" spans="1:14" x14ac:dyDescent="0.25">
      <c r="C8" s="16"/>
      <c r="E8" s="16"/>
      <c r="G8" s="16"/>
      <c r="I8" s="16"/>
      <c r="K8" s="16"/>
      <c r="M8" s="16"/>
    </row>
    <row r="9" spans="1:14" x14ac:dyDescent="0.25">
      <c r="A9" s="19" t="s">
        <v>21</v>
      </c>
      <c r="B9" s="19"/>
      <c r="C9" s="20"/>
      <c r="D9" s="19"/>
      <c r="E9" s="20"/>
      <c r="F9" s="19"/>
      <c r="G9" s="20"/>
      <c r="H9" s="19"/>
      <c r="I9" s="20"/>
      <c r="J9" s="19"/>
      <c r="K9" s="20"/>
      <c r="L9" s="19"/>
      <c r="M9" s="20"/>
      <c r="N9" s="19"/>
    </row>
    <row r="10" spans="1:14" outlineLevel="1" x14ac:dyDescent="0.25">
      <c r="A10" s="5" t="s">
        <v>15</v>
      </c>
      <c r="B10" s="8" t="s">
        <v>22</v>
      </c>
      <c r="C10" s="14">
        <v>1</v>
      </c>
      <c r="D10" s="8">
        <v>53</v>
      </c>
      <c r="E10" s="14">
        <v>1</v>
      </c>
      <c r="F10" s="8">
        <v>53</v>
      </c>
      <c r="G10" s="14">
        <v>1</v>
      </c>
      <c r="H10" s="8">
        <v>30</v>
      </c>
      <c r="I10" s="14">
        <v>1</v>
      </c>
      <c r="J10" s="8">
        <v>30</v>
      </c>
      <c r="K10" s="14">
        <v>1</v>
      </c>
      <c r="L10" s="8">
        <v>23</v>
      </c>
      <c r="M10" s="14">
        <v>1</v>
      </c>
      <c r="N10" s="10">
        <v>23</v>
      </c>
    </row>
    <row r="11" spans="1:14" outlineLevel="1" x14ac:dyDescent="0.25">
      <c r="A11" s="6" t="s">
        <v>15</v>
      </c>
      <c r="B11" t="s">
        <v>23</v>
      </c>
      <c r="C11" s="16">
        <v>0.91293602172537003</v>
      </c>
      <c r="D11">
        <v>216</v>
      </c>
      <c r="E11" s="16">
        <v>0.91234040880824596</v>
      </c>
      <c r="F11">
        <v>216</v>
      </c>
      <c r="G11" s="16">
        <v>0.93809461663831595</v>
      </c>
      <c r="H11">
        <v>109</v>
      </c>
      <c r="I11" s="16">
        <v>0.93809461663831595</v>
      </c>
      <c r="J11">
        <v>109</v>
      </c>
      <c r="K11" s="16">
        <v>0.88473060881023302</v>
      </c>
      <c r="L11">
        <v>107</v>
      </c>
      <c r="M11" s="16">
        <v>0.88346725159645001</v>
      </c>
      <c r="N11" s="11">
        <v>107</v>
      </c>
    </row>
    <row r="12" spans="1:14" outlineLevel="1" x14ac:dyDescent="0.25">
      <c r="A12" s="6" t="s">
        <v>15</v>
      </c>
      <c r="B12" t="s">
        <v>24</v>
      </c>
      <c r="C12" s="16">
        <v>0.96164396450392298</v>
      </c>
      <c r="D12">
        <v>51</v>
      </c>
      <c r="E12" s="16">
        <v>0.96164396450392298</v>
      </c>
      <c r="F12">
        <v>51</v>
      </c>
      <c r="G12" s="16">
        <v>0.96535898263075004</v>
      </c>
      <c r="H12">
        <v>28</v>
      </c>
      <c r="I12" s="16">
        <v>0.96535898263075004</v>
      </c>
      <c r="J12">
        <v>28</v>
      </c>
      <c r="K12" s="16">
        <v>0.95709387468748996</v>
      </c>
      <c r="L12">
        <v>23</v>
      </c>
      <c r="M12" s="16">
        <v>0.95709387468748996</v>
      </c>
      <c r="N12" s="11">
        <v>23</v>
      </c>
    </row>
    <row r="13" spans="1:14" outlineLevel="1" x14ac:dyDescent="0.25">
      <c r="A13" s="6" t="s">
        <v>15</v>
      </c>
      <c r="B13" t="s">
        <v>25</v>
      </c>
      <c r="C13" s="16">
        <v>0.37579079052065001</v>
      </c>
      <c r="D13">
        <v>309</v>
      </c>
      <c r="E13" s="16">
        <v>0.37579079052065001</v>
      </c>
      <c r="F13">
        <v>309</v>
      </c>
      <c r="G13" s="16">
        <v>0.38454025186720497</v>
      </c>
      <c r="H13">
        <v>161</v>
      </c>
      <c r="I13" s="16">
        <v>0.38454025186720497</v>
      </c>
      <c r="J13">
        <v>161</v>
      </c>
      <c r="K13" s="16">
        <v>0.36489852024229202</v>
      </c>
      <c r="L13">
        <v>148</v>
      </c>
      <c r="M13" s="16">
        <v>0.36489852024229202</v>
      </c>
      <c r="N13" s="11">
        <v>148</v>
      </c>
    </row>
    <row r="14" spans="1:14" outlineLevel="1" x14ac:dyDescent="0.25">
      <c r="A14" s="6" t="s">
        <v>15</v>
      </c>
      <c r="B14" t="s">
        <v>26</v>
      </c>
      <c r="C14" s="16">
        <v>0.85192605863687898</v>
      </c>
      <c r="D14">
        <v>215</v>
      </c>
      <c r="E14" s="16">
        <v>0.82441506530998299</v>
      </c>
      <c r="F14">
        <v>215</v>
      </c>
      <c r="G14" s="16">
        <v>0.80230279489464595</v>
      </c>
      <c r="H14">
        <v>115</v>
      </c>
      <c r="I14" s="16">
        <v>0.77603726422472197</v>
      </c>
      <c r="J14">
        <v>115</v>
      </c>
      <c r="K14" s="16">
        <v>0.90482578935500801</v>
      </c>
      <c r="L14">
        <v>100</v>
      </c>
      <c r="M14" s="16">
        <v>0.87598709941557995</v>
      </c>
      <c r="N14" s="11">
        <v>100</v>
      </c>
    </row>
    <row r="15" spans="1:14" outlineLevel="1" x14ac:dyDescent="0.25">
      <c r="A15" s="6" t="s">
        <v>15</v>
      </c>
      <c r="B15" t="s">
        <v>27</v>
      </c>
      <c r="C15" s="16">
        <v>0.42723001589352799</v>
      </c>
      <c r="D15">
        <v>327</v>
      </c>
      <c r="E15" s="16">
        <v>0.41685677455046199</v>
      </c>
      <c r="F15">
        <v>327</v>
      </c>
      <c r="G15" s="16">
        <v>0.46364705343596802</v>
      </c>
      <c r="H15">
        <v>155</v>
      </c>
      <c r="I15" s="16">
        <v>0.45254434667168397</v>
      </c>
      <c r="J15">
        <v>155</v>
      </c>
      <c r="K15" s="16">
        <v>0.39244484794002898</v>
      </c>
      <c r="L15">
        <v>171</v>
      </c>
      <c r="M15" s="16">
        <v>0.38266184424560001</v>
      </c>
      <c r="N15" s="11">
        <v>171</v>
      </c>
    </row>
    <row r="16" spans="1:14" outlineLevel="1" x14ac:dyDescent="0.25">
      <c r="A16" s="6" t="s">
        <v>15</v>
      </c>
      <c r="B16" t="s">
        <v>28</v>
      </c>
      <c r="C16" s="16">
        <v>0.68109877416721398</v>
      </c>
      <c r="D16">
        <v>271</v>
      </c>
      <c r="E16" s="16">
        <v>0.65045668931329603</v>
      </c>
      <c r="F16">
        <v>271</v>
      </c>
      <c r="G16" s="16">
        <v>0.74272882644459703</v>
      </c>
      <c r="H16">
        <v>127</v>
      </c>
      <c r="I16" s="16">
        <v>0.68769634341913199</v>
      </c>
      <c r="J16">
        <v>127</v>
      </c>
      <c r="K16" s="16">
        <v>0.62532889171682604</v>
      </c>
      <c r="L16">
        <v>143</v>
      </c>
      <c r="M16" s="16">
        <v>0.61725976136321103</v>
      </c>
      <c r="N16" s="11">
        <v>143</v>
      </c>
    </row>
    <row r="17" spans="1:14" outlineLevel="1" x14ac:dyDescent="0.25">
      <c r="A17" s="6" t="s">
        <v>15</v>
      </c>
      <c r="B17" t="s">
        <v>29</v>
      </c>
      <c r="C17" s="16">
        <v>0.80304134295430896</v>
      </c>
      <c r="D17">
        <v>165</v>
      </c>
      <c r="E17" s="16">
        <v>0.78556324153897905</v>
      </c>
      <c r="F17">
        <v>165</v>
      </c>
      <c r="G17" s="16">
        <v>0.72128234533451197</v>
      </c>
      <c r="H17">
        <v>89</v>
      </c>
      <c r="I17" s="16">
        <v>0.68877285227354901</v>
      </c>
      <c r="J17">
        <v>89</v>
      </c>
      <c r="K17" s="16">
        <v>0.898108525401768</v>
      </c>
      <c r="L17">
        <v>76</v>
      </c>
      <c r="M17" s="16">
        <v>0.898108525401768</v>
      </c>
      <c r="N17" s="11">
        <v>76</v>
      </c>
    </row>
    <row r="18" spans="1:14" outlineLevel="1" x14ac:dyDescent="0.25">
      <c r="A18" s="6" t="s">
        <v>15</v>
      </c>
      <c r="B18" t="s">
        <v>30</v>
      </c>
      <c r="C18" s="16">
        <v>0.91525423728813604</v>
      </c>
      <c r="D18">
        <v>59</v>
      </c>
      <c r="E18" s="16">
        <v>0.89830508474576298</v>
      </c>
      <c r="F18">
        <v>59</v>
      </c>
      <c r="G18" s="16">
        <v>0.9</v>
      </c>
      <c r="H18">
        <v>30</v>
      </c>
      <c r="I18" s="16">
        <v>0.9</v>
      </c>
      <c r="J18">
        <v>30</v>
      </c>
      <c r="K18" s="16">
        <v>0.931034482758621</v>
      </c>
      <c r="L18">
        <v>29</v>
      </c>
      <c r="M18" s="16">
        <v>0.89655172413793105</v>
      </c>
      <c r="N18" s="11">
        <v>29</v>
      </c>
    </row>
    <row r="19" spans="1:14" outlineLevel="1" x14ac:dyDescent="0.25">
      <c r="A19" s="6" t="s">
        <v>15</v>
      </c>
      <c r="B19" t="s">
        <v>31</v>
      </c>
      <c r="C19" s="16">
        <v>0.91938464563968503</v>
      </c>
      <c r="D19">
        <v>250</v>
      </c>
      <c r="E19" s="16">
        <v>0.89770792923029696</v>
      </c>
      <c r="F19">
        <v>250</v>
      </c>
      <c r="G19" s="16">
        <v>0.92498360163831705</v>
      </c>
      <c r="H19">
        <v>122</v>
      </c>
      <c r="I19" s="16">
        <v>0.92438318530917796</v>
      </c>
      <c r="J19">
        <v>122</v>
      </c>
      <c r="K19" s="16">
        <v>0.91235986652383205</v>
      </c>
      <c r="L19">
        <v>128</v>
      </c>
      <c r="M19" s="16">
        <v>0.86423958587151295</v>
      </c>
      <c r="N19" s="11">
        <v>128</v>
      </c>
    </row>
    <row r="20" spans="1:14" outlineLevel="1" x14ac:dyDescent="0.25">
      <c r="A20" s="6" t="s">
        <v>15</v>
      </c>
      <c r="B20" t="s">
        <v>32</v>
      </c>
      <c r="C20" s="16">
        <v>0.98245614035087703</v>
      </c>
      <c r="D20">
        <v>57</v>
      </c>
      <c r="E20" s="16">
        <v>0.98245614035087703</v>
      </c>
      <c r="F20">
        <v>57</v>
      </c>
      <c r="G20" s="16">
        <v>1</v>
      </c>
      <c r="H20">
        <v>23</v>
      </c>
      <c r="I20" s="16">
        <v>1</v>
      </c>
      <c r="J20">
        <v>23</v>
      </c>
      <c r="K20" s="16">
        <v>0.97058823529411797</v>
      </c>
      <c r="L20">
        <v>34</v>
      </c>
      <c r="M20" s="16">
        <v>0.97058823529411797</v>
      </c>
      <c r="N20" s="11">
        <v>34</v>
      </c>
    </row>
    <row r="21" spans="1:14" outlineLevel="1" x14ac:dyDescent="0.25">
      <c r="A21" s="6" t="s">
        <v>15</v>
      </c>
      <c r="B21" t="s">
        <v>33</v>
      </c>
      <c r="C21" s="16">
        <v>0.60570443964586895</v>
      </c>
      <c r="D21">
        <v>495</v>
      </c>
      <c r="E21" s="16">
        <v>0.59753907325897604</v>
      </c>
      <c r="F21">
        <v>495</v>
      </c>
      <c r="G21" s="16">
        <v>0.57080588242367603</v>
      </c>
      <c r="H21">
        <v>238</v>
      </c>
      <c r="I21" s="16">
        <v>0.55429251892350495</v>
      </c>
      <c r="J21">
        <v>238</v>
      </c>
      <c r="K21" s="16">
        <v>0.639223005282888</v>
      </c>
      <c r="L21">
        <v>257</v>
      </c>
      <c r="M21" s="16">
        <v>0.63907553165292397</v>
      </c>
      <c r="N21" s="11">
        <v>257</v>
      </c>
    </row>
    <row r="22" spans="1:14" outlineLevel="1" x14ac:dyDescent="0.25">
      <c r="A22" s="6" t="s">
        <v>15</v>
      </c>
      <c r="B22" t="s">
        <v>34</v>
      </c>
      <c r="C22" s="16">
        <v>0.27992460337068398</v>
      </c>
      <c r="D22">
        <v>189</v>
      </c>
      <c r="E22" s="16">
        <v>0.24835872633147699</v>
      </c>
      <c r="F22">
        <v>189</v>
      </c>
      <c r="G22" s="16">
        <v>0.37099692057005701</v>
      </c>
      <c r="H22">
        <v>87</v>
      </c>
      <c r="I22" s="16">
        <v>0.339267348488419</v>
      </c>
      <c r="J22">
        <v>87</v>
      </c>
      <c r="K22" s="16">
        <v>0.18978715977772001</v>
      </c>
      <c r="L22">
        <v>102</v>
      </c>
      <c r="M22" s="16">
        <v>0.15838329742208801</v>
      </c>
      <c r="N22" s="11">
        <v>102</v>
      </c>
    </row>
    <row r="23" spans="1:14" outlineLevel="1" x14ac:dyDescent="0.25">
      <c r="A23" s="6" t="s">
        <v>15</v>
      </c>
      <c r="B23" t="s">
        <v>35</v>
      </c>
      <c r="C23" s="16">
        <v>0.98333333333333295</v>
      </c>
      <c r="D23">
        <v>60</v>
      </c>
      <c r="E23" s="16">
        <v>0.96666666666666701</v>
      </c>
      <c r="F23">
        <v>60</v>
      </c>
      <c r="G23" s="16">
        <v>0.96428571428571397</v>
      </c>
      <c r="H23">
        <v>28</v>
      </c>
      <c r="I23" s="16">
        <v>0.96428571428571397</v>
      </c>
      <c r="J23">
        <v>28</v>
      </c>
      <c r="K23" s="16">
        <v>1</v>
      </c>
      <c r="L23">
        <v>32</v>
      </c>
      <c r="M23" s="16">
        <v>0.96875</v>
      </c>
      <c r="N23" s="11">
        <v>32</v>
      </c>
    </row>
    <row r="24" spans="1:14" outlineLevel="1" x14ac:dyDescent="0.25">
      <c r="A24" s="6" t="s">
        <v>15</v>
      </c>
      <c r="B24" t="s">
        <v>36</v>
      </c>
      <c r="C24" s="16">
        <v>0.67406514860033295</v>
      </c>
      <c r="D24">
        <v>162</v>
      </c>
      <c r="E24" s="16">
        <v>0.67322437731950502</v>
      </c>
      <c r="F24">
        <v>162</v>
      </c>
      <c r="G24" s="16">
        <v>0.68369485841294697</v>
      </c>
      <c r="H24">
        <v>87</v>
      </c>
      <c r="I24" s="16">
        <v>0.682581428290849</v>
      </c>
      <c r="J24">
        <v>87</v>
      </c>
      <c r="K24" s="16">
        <v>0.65997490488539401</v>
      </c>
      <c r="L24">
        <v>75</v>
      </c>
      <c r="M24" s="16">
        <v>0.65953308950243705</v>
      </c>
      <c r="N24" s="11">
        <v>75</v>
      </c>
    </row>
    <row r="25" spans="1:14" outlineLevel="1" x14ac:dyDescent="0.25">
      <c r="A25" s="6" t="s">
        <v>15</v>
      </c>
      <c r="B25" t="s">
        <v>37</v>
      </c>
      <c r="C25" s="16">
        <v>0.98503826901881997</v>
      </c>
      <c r="D25">
        <v>200</v>
      </c>
      <c r="E25" s="16">
        <v>0.96994134092487405</v>
      </c>
      <c r="F25">
        <v>200</v>
      </c>
      <c r="G25" s="16">
        <v>0.986709372061363</v>
      </c>
      <c r="H25">
        <v>92</v>
      </c>
      <c r="I25" s="16">
        <v>0.95812899151146302</v>
      </c>
      <c r="J25">
        <v>92</v>
      </c>
      <c r="K25" s="16">
        <v>0.98317055768100003</v>
      </c>
      <c r="L25">
        <v>108</v>
      </c>
      <c r="M25" s="16">
        <v>0.98314343461033504</v>
      </c>
      <c r="N25" s="11">
        <v>108</v>
      </c>
    </row>
    <row r="26" spans="1:14" outlineLevel="1" x14ac:dyDescent="0.25">
      <c r="A26" s="6" t="s">
        <v>15</v>
      </c>
      <c r="B26" t="s">
        <v>38</v>
      </c>
      <c r="C26" s="16">
        <v>0.84138425646446002</v>
      </c>
      <c r="D26">
        <v>148</v>
      </c>
      <c r="E26" s="16">
        <v>0.81153038085408202</v>
      </c>
      <c r="F26">
        <v>148</v>
      </c>
      <c r="G26" s="16">
        <v>0.82806183947512702</v>
      </c>
      <c r="H26">
        <v>64</v>
      </c>
      <c r="I26" s="16">
        <v>0.804887800406483</v>
      </c>
      <c r="J26">
        <v>64</v>
      </c>
      <c r="K26" s="16">
        <v>0.85223307611645405</v>
      </c>
      <c r="L26">
        <v>84</v>
      </c>
      <c r="M26" s="16">
        <v>0.81693962133631304</v>
      </c>
      <c r="N26" s="11">
        <v>84</v>
      </c>
    </row>
    <row r="27" spans="1:14" outlineLevel="1" x14ac:dyDescent="0.25">
      <c r="A27" s="7" t="s">
        <v>15</v>
      </c>
      <c r="B27" s="9" t="s">
        <v>39</v>
      </c>
      <c r="C27" s="15">
        <v>0.92721728687721106</v>
      </c>
      <c r="D27" s="9">
        <v>183</v>
      </c>
      <c r="E27" s="15">
        <v>0.91080619030929599</v>
      </c>
      <c r="F27" s="9">
        <v>183</v>
      </c>
      <c r="G27" s="15">
        <v>0.92597133907263496</v>
      </c>
      <c r="H27" s="9">
        <v>92</v>
      </c>
      <c r="I27" s="15">
        <v>0.92414253609713704</v>
      </c>
      <c r="J27" s="9">
        <v>92</v>
      </c>
      <c r="K27" s="15">
        <v>0.92835668561850804</v>
      </c>
      <c r="L27" s="9">
        <v>91</v>
      </c>
      <c r="M27" s="15">
        <v>0.89861032179186495</v>
      </c>
      <c r="N27" s="12">
        <v>91</v>
      </c>
    </row>
    <row r="28" spans="1:14" x14ac:dyDescent="0.25">
      <c r="C28" s="16"/>
      <c r="E28" s="16"/>
      <c r="G28" s="16"/>
      <c r="I28" s="16"/>
      <c r="K28" s="16"/>
      <c r="M28" s="16"/>
    </row>
    <row r="29" spans="1:14" x14ac:dyDescent="0.25">
      <c r="A29" s="19" t="s">
        <v>40</v>
      </c>
      <c r="B29" s="19"/>
      <c r="C29" s="20"/>
      <c r="D29" s="19"/>
      <c r="E29" s="20"/>
      <c r="F29" s="19"/>
      <c r="G29" s="20"/>
      <c r="H29" s="19"/>
      <c r="I29" s="20"/>
      <c r="J29" s="19"/>
      <c r="K29" s="20"/>
      <c r="L29" s="19"/>
      <c r="M29" s="20"/>
      <c r="N29" s="19"/>
    </row>
    <row r="30" spans="1:14" outlineLevel="1" x14ac:dyDescent="0.25">
      <c r="A30" s="5" t="s">
        <v>15</v>
      </c>
      <c r="B30" s="8" t="s">
        <v>41</v>
      </c>
      <c r="C30" s="14">
        <v>1</v>
      </c>
      <c r="D30" s="8">
        <v>53</v>
      </c>
      <c r="E30" s="14">
        <v>1</v>
      </c>
      <c r="F30" s="8">
        <v>53</v>
      </c>
      <c r="G30" s="14">
        <v>1</v>
      </c>
      <c r="H30" s="8">
        <v>30</v>
      </c>
      <c r="I30" s="14">
        <v>1</v>
      </c>
      <c r="J30" s="8">
        <v>30</v>
      </c>
      <c r="K30" s="14">
        <v>1</v>
      </c>
      <c r="L30" s="8">
        <v>23</v>
      </c>
      <c r="M30" s="14">
        <v>1</v>
      </c>
      <c r="N30" s="10">
        <v>23</v>
      </c>
    </row>
    <row r="31" spans="1:14" outlineLevel="1" x14ac:dyDescent="0.25">
      <c r="A31" s="6" t="s">
        <v>15</v>
      </c>
      <c r="B31" t="s">
        <v>42</v>
      </c>
      <c r="C31" s="16">
        <v>0.835443037974684</v>
      </c>
      <c r="D31">
        <v>79</v>
      </c>
      <c r="E31" s="16">
        <v>0.822784810126582</v>
      </c>
      <c r="F31">
        <v>79</v>
      </c>
      <c r="G31" s="16">
        <v>0.86486486486486502</v>
      </c>
      <c r="H31">
        <v>37</v>
      </c>
      <c r="I31" s="16">
        <v>0.86486486486486502</v>
      </c>
      <c r="J31">
        <v>37</v>
      </c>
      <c r="K31" s="16">
        <v>0.80952380952380998</v>
      </c>
      <c r="L31">
        <v>42</v>
      </c>
      <c r="M31" s="16">
        <v>0.78571428571428603</v>
      </c>
      <c r="N31" s="11">
        <v>42</v>
      </c>
    </row>
    <row r="32" spans="1:14" outlineLevel="1" x14ac:dyDescent="0.25">
      <c r="A32" s="6" t="s">
        <v>15</v>
      </c>
      <c r="B32" t="s">
        <v>43</v>
      </c>
      <c r="C32" s="16">
        <v>0.91666666666666696</v>
      </c>
      <c r="D32">
        <v>96</v>
      </c>
      <c r="E32" s="16">
        <v>0.91666666666666696</v>
      </c>
      <c r="F32">
        <v>96</v>
      </c>
      <c r="G32" s="16">
        <v>0.94117647058823495</v>
      </c>
      <c r="H32">
        <v>51</v>
      </c>
      <c r="I32" s="16">
        <v>0.94117647058823495</v>
      </c>
      <c r="J32">
        <v>51</v>
      </c>
      <c r="K32" s="16">
        <v>0.88888888888888895</v>
      </c>
      <c r="L32">
        <v>45</v>
      </c>
      <c r="M32" s="16">
        <v>0.88888888888888895</v>
      </c>
      <c r="N32" s="11">
        <v>45</v>
      </c>
    </row>
    <row r="33" spans="1:14" outlineLevel="1" x14ac:dyDescent="0.25">
      <c r="A33" s="6" t="s">
        <v>15</v>
      </c>
      <c r="B33" t="s">
        <v>44</v>
      </c>
      <c r="C33" s="16">
        <v>0.68292682926829296</v>
      </c>
      <c r="D33">
        <v>41</v>
      </c>
      <c r="E33" s="16">
        <v>0.63414634146341498</v>
      </c>
      <c r="F33">
        <v>41</v>
      </c>
      <c r="G33" s="16">
        <v>0.76190476190476197</v>
      </c>
      <c r="H33">
        <v>21</v>
      </c>
      <c r="I33" s="16">
        <v>0.76190476190476197</v>
      </c>
      <c r="J33">
        <v>21</v>
      </c>
      <c r="K33" s="16">
        <v>0.6</v>
      </c>
      <c r="L33">
        <v>20</v>
      </c>
      <c r="M33" s="16">
        <v>0.5</v>
      </c>
      <c r="N33" s="11">
        <v>20</v>
      </c>
    </row>
    <row r="34" spans="1:14" outlineLevel="1" x14ac:dyDescent="0.25">
      <c r="A34" s="6" t="s">
        <v>15</v>
      </c>
      <c r="B34" t="s">
        <v>45</v>
      </c>
      <c r="C34" s="16">
        <v>0.96164396450392298</v>
      </c>
      <c r="D34">
        <v>51</v>
      </c>
      <c r="E34" s="16">
        <v>0.96164396450392298</v>
      </c>
      <c r="F34">
        <v>51</v>
      </c>
      <c r="G34" s="16">
        <v>0.96535898263075004</v>
      </c>
      <c r="H34">
        <v>28</v>
      </c>
      <c r="I34" s="16">
        <v>0.96535898263075004</v>
      </c>
      <c r="J34">
        <v>28</v>
      </c>
      <c r="K34" s="16">
        <v>0.95709387468748996</v>
      </c>
      <c r="L34">
        <v>23</v>
      </c>
      <c r="M34" s="16">
        <v>0.95709387468748996</v>
      </c>
      <c r="N34" s="11">
        <v>23</v>
      </c>
    </row>
    <row r="35" spans="1:14" outlineLevel="1" x14ac:dyDescent="0.25">
      <c r="A35" s="6" t="s">
        <v>15</v>
      </c>
      <c r="B35" t="s">
        <v>46</v>
      </c>
      <c r="C35" s="16">
        <v>0.37962962962962998</v>
      </c>
      <c r="D35">
        <v>108</v>
      </c>
      <c r="E35" s="16">
        <v>0.37962962962962998</v>
      </c>
      <c r="F35">
        <v>108</v>
      </c>
      <c r="G35" s="16">
        <v>0.42553191489361702</v>
      </c>
      <c r="H35">
        <v>47</v>
      </c>
      <c r="I35" s="16">
        <v>0.42553191489361702</v>
      </c>
      <c r="J35">
        <v>47</v>
      </c>
      <c r="K35" s="16">
        <v>0.34426229508196698</v>
      </c>
      <c r="L35">
        <v>61</v>
      </c>
      <c r="M35" s="16">
        <v>0.34426229508196698</v>
      </c>
      <c r="N35" s="11">
        <v>61</v>
      </c>
    </row>
    <row r="36" spans="1:14" outlineLevel="1" x14ac:dyDescent="0.25">
      <c r="A36" s="6" t="s">
        <v>15</v>
      </c>
      <c r="B36" t="s">
        <v>47</v>
      </c>
      <c r="C36" s="16">
        <v>0.37410071942445999</v>
      </c>
      <c r="D36">
        <v>139</v>
      </c>
      <c r="E36" s="16">
        <v>0.37410071942445999</v>
      </c>
      <c r="F36">
        <v>139</v>
      </c>
      <c r="G36" s="16">
        <v>0.379746835443038</v>
      </c>
      <c r="H36">
        <v>79</v>
      </c>
      <c r="I36" s="16">
        <v>0.379746835443038</v>
      </c>
      <c r="J36">
        <v>79</v>
      </c>
      <c r="K36" s="16">
        <v>0.36666666666666697</v>
      </c>
      <c r="L36">
        <v>60</v>
      </c>
      <c r="M36" s="16">
        <v>0.36666666666666697</v>
      </c>
      <c r="N36" s="11">
        <v>60</v>
      </c>
    </row>
    <row r="37" spans="1:14" outlineLevel="1" x14ac:dyDescent="0.25">
      <c r="A37" s="6" t="s">
        <v>15</v>
      </c>
      <c r="B37" t="s">
        <v>48</v>
      </c>
      <c r="C37" s="16">
        <v>0.51612903225806495</v>
      </c>
      <c r="D37">
        <v>62</v>
      </c>
      <c r="E37" s="16">
        <v>0.51612903225806495</v>
      </c>
      <c r="F37">
        <v>62</v>
      </c>
      <c r="G37" s="16">
        <v>0.51428571428571401</v>
      </c>
      <c r="H37">
        <v>35</v>
      </c>
      <c r="I37" s="16">
        <v>0.51428571428571401</v>
      </c>
      <c r="J37">
        <v>35</v>
      </c>
      <c r="K37" s="16">
        <v>0.51851851851851904</v>
      </c>
      <c r="L37">
        <v>27</v>
      </c>
      <c r="M37" s="16">
        <v>0.51851851851851904</v>
      </c>
      <c r="N37" s="11">
        <v>27</v>
      </c>
    </row>
    <row r="38" spans="1:14" outlineLevel="1" x14ac:dyDescent="0.25">
      <c r="A38" s="6" t="s">
        <v>15</v>
      </c>
      <c r="B38" t="s">
        <v>49</v>
      </c>
      <c r="C38" s="16">
        <v>0.784810126582279</v>
      </c>
      <c r="D38">
        <v>79</v>
      </c>
      <c r="E38" s="16">
        <v>0.772151898734177</v>
      </c>
      <c r="F38">
        <v>79</v>
      </c>
      <c r="G38" s="16">
        <v>0.76190476190476197</v>
      </c>
      <c r="H38">
        <v>42</v>
      </c>
      <c r="I38" s="16">
        <v>0.76190476190476197</v>
      </c>
      <c r="J38">
        <v>42</v>
      </c>
      <c r="K38" s="16">
        <v>0.81081081081081097</v>
      </c>
      <c r="L38">
        <v>37</v>
      </c>
      <c r="M38" s="16">
        <v>0.78378378378378399</v>
      </c>
      <c r="N38" s="11">
        <v>37</v>
      </c>
    </row>
    <row r="39" spans="1:14" outlineLevel="1" x14ac:dyDescent="0.25">
      <c r="A39" s="6" t="s">
        <v>15</v>
      </c>
      <c r="B39" t="s">
        <v>50</v>
      </c>
      <c r="C39" s="16">
        <v>0.85714285714285698</v>
      </c>
      <c r="D39">
        <v>70</v>
      </c>
      <c r="E39" s="16">
        <v>0.82857142857142896</v>
      </c>
      <c r="F39">
        <v>70</v>
      </c>
      <c r="G39" s="16">
        <v>0.80555555555555503</v>
      </c>
      <c r="H39">
        <v>36</v>
      </c>
      <c r="I39" s="16">
        <v>0.77777777777777801</v>
      </c>
      <c r="J39">
        <v>36</v>
      </c>
      <c r="K39" s="16">
        <v>0.91176470588235303</v>
      </c>
      <c r="L39">
        <v>34</v>
      </c>
      <c r="M39" s="16">
        <v>0.88235294117647101</v>
      </c>
      <c r="N39" s="11">
        <v>34</v>
      </c>
    </row>
    <row r="40" spans="1:14" outlineLevel="1" x14ac:dyDescent="0.25">
      <c r="A40" s="6" t="s">
        <v>15</v>
      </c>
      <c r="B40" t="s">
        <v>51</v>
      </c>
      <c r="C40" s="16">
        <v>0.77272727272727304</v>
      </c>
      <c r="D40">
        <v>66</v>
      </c>
      <c r="E40" s="16">
        <v>0.75757575757575801</v>
      </c>
      <c r="F40">
        <v>66</v>
      </c>
      <c r="G40" s="16">
        <v>0.75675675675675702</v>
      </c>
      <c r="H40">
        <v>37</v>
      </c>
      <c r="I40" s="16">
        <v>0.72972972972973005</v>
      </c>
      <c r="J40">
        <v>37</v>
      </c>
      <c r="K40" s="16">
        <v>0.79310344827586199</v>
      </c>
      <c r="L40">
        <v>29</v>
      </c>
      <c r="M40" s="16">
        <v>0.79310344827586199</v>
      </c>
      <c r="N40" s="11">
        <v>29</v>
      </c>
    </row>
    <row r="41" spans="1:14" outlineLevel="1" x14ac:dyDescent="0.25">
      <c r="A41" s="6" t="s">
        <v>15</v>
      </c>
      <c r="B41" t="s">
        <v>52</v>
      </c>
      <c r="C41" s="16">
        <v>0.61520937316200097</v>
      </c>
      <c r="D41">
        <v>105</v>
      </c>
      <c r="E41" s="16">
        <v>0.57524466583560696</v>
      </c>
      <c r="F41">
        <v>105</v>
      </c>
      <c r="G41" s="16">
        <v>0.61950487334628002</v>
      </c>
      <c r="H41">
        <v>47</v>
      </c>
      <c r="I41" s="16">
        <v>0.57507352004731704</v>
      </c>
      <c r="J41">
        <v>47</v>
      </c>
      <c r="K41" s="16">
        <v>0.60451784207515802</v>
      </c>
      <c r="L41">
        <v>57</v>
      </c>
      <c r="M41" s="16">
        <v>0.56753220884301803</v>
      </c>
      <c r="N41" s="11">
        <v>57</v>
      </c>
    </row>
    <row r="42" spans="1:14" outlineLevel="1" x14ac:dyDescent="0.25">
      <c r="A42" s="6" t="s">
        <v>15</v>
      </c>
      <c r="B42" t="s">
        <v>53</v>
      </c>
      <c r="C42" s="16">
        <v>0.36111111111111099</v>
      </c>
      <c r="D42">
        <v>108</v>
      </c>
      <c r="E42" s="16">
        <v>0.36111111111111099</v>
      </c>
      <c r="F42">
        <v>108</v>
      </c>
      <c r="G42" s="16">
        <v>0.41176470588235298</v>
      </c>
      <c r="H42">
        <v>51</v>
      </c>
      <c r="I42" s="16">
        <v>0.41176470588235298</v>
      </c>
      <c r="J42">
        <v>51</v>
      </c>
      <c r="K42" s="16">
        <v>0.31578947368421101</v>
      </c>
      <c r="L42">
        <v>57</v>
      </c>
      <c r="M42" s="16">
        <v>0.31578947368421101</v>
      </c>
      <c r="N42" s="11">
        <v>57</v>
      </c>
    </row>
    <row r="43" spans="1:14" outlineLevel="1" x14ac:dyDescent="0.25">
      <c r="A43" s="6" t="s">
        <v>15</v>
      </c>
      <c r="B43" t="s">
        <v>54</v>
      </c>
      <c r="C43" s="16">
        <v>0.50418080104743201</v>
      </c>
      <c r="D43">
        <v>114</v>
      </c>
      <c r="E43" s="16">
        <v>0.49572992917931302</v>
      </c>
      <c r="F43">
        <v>114</v>
      </c>
      <c r="G43" s="16">
        <v>0.39728024757483799</v>
      </c>
      <c r="H43">
        <v>57</v>
      </c>
      <c r="I43" s="16">
        <v>0.39728024757483799</v>
      </c>
      <c r="J43">
        <v>57</v>
      </c>
      <c r="K43" s="16">
        <v>0.61108135452002599</v>
      </c>
      <c r="L43">
        <v>57</v>
      </c>
      <c r="M43" s="16">
        <v>0.594179610783789</v>
      </c>
      <c r="N43" s="11">
        <v>57</v>
      </c>
    </row>
    <row r="44" spans="1:14" outlineLevel="1" x14ac:dyDescent="0.25">
      <c r="A44" s="6" t="s">
        <v>15</v>
      </c>
      <c r="B44" t="s">
        <v>55</v>
      </c>
      <c r="C44" s="16">
        <v>0.75615923958784803</v>
      </c>
      <c r="D44">
        <v>98</v>
      </c>
      <c r="E44" s="16">
        <v>0.65829888943072301</v>
      </c>
      <c r="F44">
        <v>98</v>
      </c>
      <c r="G44" s="16">
        <v>0.74660393279980197</v>
      </c>
      <c r="H44">
        <v>46</v>
      </c>
      <c r="I44" s="16">
        <v>0.61084346105728504</v>
      </c>
      <c r="J44">
        <v>46</v>
      </c>
      <c r="K44" s="16">
        <v>0.77795376720068099</v>
      </c>
      <c r="L44">
        <v>51</v>
      </c>
      <c r="M44" s="16">
        <v>0.71167568014435001</v>
      </c>
      <c r="N44" s="11">
        <v>51</v>
      </c>
    </row>
    <row r="45" spans="1:14" outlineLevel="1" x14ac:dyDescent="0.25">
      <c r="A45" s="6" t="s">
        <v>15</v>
      </c>
      <c r="B45" t="s">
        <v>56</v>
      </c>
      <c r="C45" s="16">
        <v>0.67217743441557998</v>
      </c>
      <c r="D45">
        <v>89</v>
      </c>
      <c r="E45" s="16">
        <v>0.65029461196568505</v>
      </c>
      <c r="F45">
        <v>89</v>
      </c>
      <c r="G45" s="16">
        <v>0.74364602467075602</v>
      </c>
      <c r="H45">
        <v>43</v>
      </c>
      <c r="I45" s="16">
        <v>0.69838370150097695</v>
      </c>
      <c r="J45">
        <v>43</v>
      </c>
      <c r="K45" s="16">
        <v>0.60528402680879601</v>
      </c>
      <c r="L45">
        <v>46</v>
      </c>
      <c r="M45" s="16">
        <v>0.60528402680879601</v>
      </c>
      <c r="N45" s="11">
        <v>46</v>
      </c>
    </row>
    <row r="46" spans="1:14" outlineLevel="1" x14ac:dyDescent="0.25">
      <c r="A46" s="6" t="s">
        <v>15</v>
      </c>
      <c r="B46" t="s">
        <v>57</v>
      </c>
      <c r="C46" s="16">
        <v>0.57861057415033801</v>
      </c>
      <c r="D46">
        <v>84</v>
      </c>
      <c r="E46" s="16">
        <v>0.56673300645084401</v>
      </c>
      <c r="F46">
        <v>84</v>
      </c>
      <c r="G46" s="16">
        <v>0.59926943735887805</v>
      </c>
      <c r="H46">
        <v>38</v>
      </c>
      <c r="I46" s="16">
        <v>0.59926943735887805</v>
      </c>
      <c r="J46">
        <v>38</v>
      </c>
      <c r="K46" s="16">
        <v>0.56161987266905899</v>
      </c>
      <c r="L46">
        <v>46</v>
      </c>
      <c r="M46" s="16">
        <v>0.53997370322857596</v>
      </c>
      <c r="N46" s="11">
        <v>46</v>
      </c>
    </row>
    <row r="47" spans="1:14" outlineLevel="1" x14ac:dyDescent="0.25">
      <c r="A47" s="6" t="s">
        <v>15</v>
      </c>
      <c r="B47" t="s">
        <v>58</v>
      </c>
      <c r="C47" s="16">
        <v>0.433000646873133</v>
      </c>
      <c r="D47">
        <v>51</v>
      </c>
      <c r="E47" s="16">
        <v>0.411303809963046</v>
      </c>
      <c r="F47">
        <v>51</v>
      </c>
      <c r="G47" s="16">
        <v>0.44687256205854498</v>
      </c>
      <c r="H47">
        <v>31</v>
      </c>
      <c r="I47" s="16">
        <v>0.41106333078128998</v>
      </c>
      <c r="J47">
        <v>31</v>
      </c>
      <c r="K47" s="16">
        <v>0.41167353018564501</v>
      </c>
      <c r="L47">
        <v>20</v>
      </c>
      <c r="M47" s="16">
        <v>0.41167353018564501</v>
      </c>
      <c r="N47" s="11">
        <v>20</v>
      </c>
    </row>
    <row r="48" spans="1:14" outlineLevel="1" x14ac:dyDescent="0.25">
      <c r="A48" s="6" t="s">
        <v>15</v>
      </c>
      <c r="B48" t="s">
        <v>59</v>
      </c>
      <c r="C48" s="16">
        <v>0.82758620689655205</v>
      </c>
      <c r="D48">
        <v>58</v>
      </c>
      <c r="E48" s="16">
        <v>0.81034482758620696</v>
      </c>
      <c r="F48">
        <v>58</v>
      </c>
      <c r="G48" s="16">
        <v>0.74193548387096797</v>
      </c>
      <c r="H48">
        <v>31</v>
      </c>
      <c r="I48" s="16">
        <v>0.70967741935483897</v>
      </c>
      <c r="J48">
        <v>31</v>
      </c>
      <c r="K48" s="16">
        <v>0.92592592592592604</v>
      </c>
      <c r="L48">
        <v>27</v>
      </c>
      <c r="M48" s="16">
        <v>0.92592592592592604</v>
      </c>
      <c r="N48" s="11">
        <v>27</v>
      </c>
    </row>
    <row r="49" spans="1:14" outlineLevel="1" x14ac:dyDescent="0.25">
      <c r="A49" s="6" t="s">
        <v>15</v>
      </c>
      <c r="B49" t="s">
        <v>60</v>
      </c>
      <c r="C49" s="16">
        <v>0.42857142857142899</v>
      </c>
      <c r="D49">
        <v>56</v>
      </c>
      <c r="E49" s="16">
        <v>0.41071428571428598</v>
      </c>
      <c r="F49">
        <v>56</v>
      </c>
      <c r="G49" s="16">
        <v>0.37037037037037002</v>
      </c>
      <c r="H49">
        <v>27</v>
      </c>
      <c r="I49" s="16">
        <v>0.33333333333333298</v>
      </c>
      <c r="J49">
        <v>27</v>
      </c>
      <c r="K49" s="16">
        <v>0.48275862068965503</v>
      </c>
      <c r="L49">
        <v>29</v>
      </c>
      <c r="M49" s="16">
        <v>0.48275862068965503</v>
      </c>
      <c r="N49" s="11">
        <v>29</v>
      </c>
    </row>
    <row r="50" spans="1:14" outlineLevel="1" x14ac:dyDescent="0.25">
      <c r="A50" s="6" t="s">
        <v>15</v>
      </c>
      <c r="B50" t="s">
        <v>61</v>
      </c>
      <c r="C50" s="16">
        <v>0.91525423728813604</v>
      </c>
      <c r="D50">
        <v>59</v>
      </c>
      <c r="E50" s="16">
        <v>0.89830508474576298</v>
      </c>
      <c r="F50">
        <v>59</v>
      </c>
      <c r="G50" s="16">
        <v>0.9</v>
      </c>
      <c r="H50">
        <v>30</v>
      </c>
      <c r="I50" s="16">
        <v>0.9</v>
      </c>
      <c r="J50">
        <v>30</v>
      </c>
      <c r="K50" s="16">
        <v>0.931034482758621</v>
      </c>
      <c r="L50">
        <v>29</v>
      </c>
      <c r="M50" s="16">
        <v>0.89655172413793105</v>
      </c>
      <c r="N50" s="11">
        <v>29</v>
      </c>
    </row>
    <row r="51" spans="1:14" outlineLevel="1" x14ac:dyDescent="0.25">
      <c r="A51" s="6" t="s">
        <v>15</v>
      </c>
      <c r="B51" t="s">
        <v>62</v>
      </c>
      <c r="C51" s="16">
        <v>0.86627262648180803</v>
      </c>
      <c r="D51">
        <v>82</v>
      </c>
      <c r="E51" s="16">
        <v>0.84220832517497002</v>
      </c>
      <c r="F51">
        <v>82</v>
      </c>
      <c r="G51" s="16">
        <v>0.85391724535844504</v>
      </c>
      <c r="H51">
        <v>35</v>
      </c>
      <c r="I51" s="16">
        <v>0.82608557937614802</v>
      </c>
      <c r="J51">
        <v>35</v>
      </c>
      <c r="K51" s="16">
        <v>0.87568189024479104</v>
      </c>
      <c r="L51">
        <v>47</v>
      </c>
      <c r="M51" s="16">
        <v>0.85448663260150404</v>
      </c>
      <c r="N51" s="11">
        <v>47</v>
      </c>
    </row>
    <row r="52" spans="1:14" outlineLevel="1" x14ac:dyDescent="0.25">
      <c r="A52" s="6" t="s">
        <v>15</v>
      </c>
      <c r="B52" t="s">
        <v>63</v>
      </c>
      <c r="C52" s="16">
        <v>0.92099198992810705</v>
      </c>
      <c r="D52">
        <v>100</v>
      </c>
      <c r="E52" s="16">
        <v>0.89930147847955799</v>
      </c>
      <c r="F52">
        <v>100</v>
      </c>
      <c r="G52" s="16">
        <v>0.92652288591542897</v>
      </c>
      <c r="H52">
        <v>56</v>
      </c>
      <c r="I52" s="16">
        <v>0.92652288591542897</v>
      </c>
      <c r="J52">
        <v>56</v>
      </c>
      <c r="K52" s="16">
        <v>0.91394074423623395</v>
      </c>
      <c r="L52">
        <v>44</v>
      </c>
      <c r="M52" s="16">
        <v>0.86459736682226596</v>
      </c>
      <c r="N52" s="11">
        <v>44</v>
      </c>
    </row>
    <row r="53" spans="1:14" outlineLevel="1" x14ac:dyDescent="0.25">
      <c r="A53" s="6" t="s">
        <v>15</v>
      </c>
      <c r="B53" t="s">
        <v>64</v>
      </c>
      <c r="C53" s="16">
        <v>0.89708318986194402</v>
      </c>
      <c r="D53">
        <v>68</v>
      </c>
      <c r="E53" s="16">
        <v>0.89708318986194402</v>
      </c>
      <c r="F53">
        <v>68</v>
      </c>
      <c r="G53" s="16">
        <v>0.93551633080432295</v>
      </c>
      <c r="H53">
        <v>31</v>
      </c>
      <c r="I53" s="16">
        <v>0.93551633080432295</v>
      </c>
      <c r="J53">
        <v>31</v>
      </c>
      <c r="K53" s="16">
        <v>0.86494589620756201</v>
      </c>
      <c r="L53">
        <v>37</v>
      </c>
      <c r="M53" s="16">
        <v>0.86494589620756201</v>
      </c>
      <c r="N53" s="11">
        <v>37</v>
      </c>
    </row>
    <row r="54" spans="1:14" outlineLevel="1" x14ac:dyDescent="0.25">
      <c r="A54" s="6" t="s">
        <v>15</v>
      </c>
      <c r="B54" t="s">
        <v>65</v>
      </c>
      <c r="C54" s="16">
        <v>0.98245614035087703</v>
      </c>
      <c r="D54">
        <v>57</v>
      </c>
      <c r="E54" s="16">
        <v>0.98245614035087703</v>
      </c>
      <c r="F54">
        <v>57</v>
      </c>
      <c r="G54" s="16">
        <v>1</v>
      </c>
      <c r="H54">
        <v>23</v>
      </c>
      <c r="I54" s="16">
        <v>1</v>
      </c>
      <c r="J54">
        <v>23</v>
      </c>
      <c r="K54" s="16">
        <v>0.97058823529411797</v>
      </c>
      <c r="L54">
        <v>34</v>
      </c>
      <c r="M54" s="16">
        <v>0.97058823529411797</v>
      </c>
      <c r="N54" s="11">
        <v>34</v>
      </c>
    </row>
    <row r="55" spans="1:14" outlineLevel="1" x14ac:dyDescent="0.25">
      <c r="A55" s="6" t="s">
        <v>15</v>
      </c>
      <c r="B55" t="s">
        <v>66</v>
      </c>
      <c r="C55" s="16">
        <v>0.54545454545454497</v>
      </c>
      <c r="D55">
        <v>121</v>
      </c>
      <c r="E55" s="16">
        <v>0.52892561983471098</v>
      </c>
      <c r="F55">
        <v>121</v>
      </c>
      <c r="G55" s="16">
        <v>0.55769230769230804</v>
      </c>
      <c r="H55">
        <v>52</v>
      </c>
      <c r="I55" s="16">
        <v>0.51923076923076905</v>
      </c>
      <c r="J55">
        <v>52</v>
      </c>
      <c r="K55" s="16">
        <v>0.53623188405797095</v>
      </c>
      <c r="L55">
        <v>69</v>
      </c>
      <c r="M55" s="16">
        <v>0.53623188405797095</v>
      </c>
      <c r="N55" s="11">
        <v>69</v>
      </c>
    </row>
    <row r="56" spans="1:14" outlineLevel="1" x14ac:dyDescent="0.25">
      <c r="A56" s="6" t="s">
        <v>15</v>
      </c>
      <c r="B56" t="s">
        <v>67</v>
      </c>
      <c r="C56" s="16">
        <v>0.39860139860139898</v>
      </c>
      <c r="D56">
        <v>143</v>
      </c>
      <c r="E56" s="16">
        <v>0.39860139860139898</v>
      </c>
      <c r="F56">
        <v>143</v>
      </c>
      <c r="G56" s="16">
        <v>0.5</v>
      </c>
      <c r="H56">
        <v>72</v>
      </c>
      <c r="I56" s="16">
        <v>0.5</v>
      </c>
      <c r="J56">
        <v>72</v>
      </c>
      <c r="K56" s="16">
        <v>0.29577464788732399</v>
      </c>
      <c r="L56">
        <v>71</v>
      </c>
      <c r="M56" s="16">
        <v>0.29577464788732399</v>
      </c>
      <c r="N56" s="11">
        <v>71</v>
      </c>
    </row>
    <row r="57" spans="1:14" outlineLevel="1" x14ac:dyDescent="0.25">
      <c r="A57" s="6" t="s">
        <v>15</v>
      </c>
      <c r="B57" t="s">
        <v>68</v>
      </c>
      <c r="C57" s="16">
        <v>0.68571428571428605</v>
      </c>
      <c r="D57">
        <v>105</v>
      </c>
      <c r="E57" s="16">
        <v>0.67619047619047601</v>
      </c>
      <c r="F57">
        <v>105</v>
      </c>
      <c r="G57" s="16">
        <v>0.59615384615384603</v>
      </c>
      <c r="H57">
        <v>52</v>
      </c>
      <c r="I57" s="16">
        <v>0.57692307692307698</v>
      </c>
      <c r="J57">
        <v>52</v>
      </c>
      <c r="K57" s="16">
        <v>0.77358490566037696</v>
      </c>
      <c r="L57">
        <v>53</v>
      </c>
      <c r="M57" s="16">
        <v>0.77358490566037696</v>
      </c>
      <c r="N57" s="11">
        <v>53</v>
      </c>
    </row>
    <row r="58" spans="1:14" outlineLevel="1" x14ac:dyDescent="0.25">
      <c r="A58" s="6" t="s">
        <v>15</v>
      </c>
      <c r="B58" t="s">
        <v>69</v>
      </c>
      <c r="C58" s="16">
        <v>0.547619047619048</v>
      </c>
      <c r="D58">
        <v>126</v>
      </c>
      <c r="E58" s="16">
        <v>0.53968253968253999</v>
      </c>
      <c r="F58">
        <v>126</v>
      </c>
      <c r="G58" s="16">
        <v>0.61290322580645196</v>
      </c>
      <c r="H58">
        <v>62</v>
      </c>
      <c r="I58" s="16">
        <v>0.61290322580645196</v>
      </c>
      <c r="J58">
        <v>62</v>
      </c>
      <c r="K58" s="16">
        <v>0.484375</v>
      </c>
      <c r="L58">
        <v>64</v>
      </c>
      <c r="M58" s="16">
        <v>0.46875</v>
      </c>
      <c r="N58" s="11">
        <v>64</v>
      </c>
    </row>
    <row r="59" spans="1:14" outlineLevel="1" x14ac:dyDescent="0.25">
      <c r="A59" s="6" t="s">
        <v>15</v>
      </c>
      <c r="B59" t="s">
        <v>70</v>
      </c>
      <c r="C59" s="16">
        <v>0.157142857142857</v>
      </c>
      <c r="D59">
        <v>70</v>
      </c>
      <c r="E59" s="16">
        <v>0.128571428571429</v>
      </c>
      <c r="F59">
        <v>70</v>
      </c>
      <c r="G59" s="16">
        <v>0.15625</v>
      </c>
      <c r="H59">
        <v>32</v>
      </c>
      <c r="I59" s="16">
        <v>0.125</v>
      </c>
      <c r="J59">
        <v>32</v>
      </c>
      <c r="K59" s="16">
        <v>0.157894736842105</v>
      </c>
      <c r="L59">
        <v>38</v>
      </c>
      <c r="M59" s="16">
        <v>0.13157894736842099</v>
      </c>
      <c r="N59" s="11">
        <v>38</v>
      </c>
    </row>
    <row r="60" spans="1:14" outlineLevel="1" x14ac:dyDescent="0.25">
      <c r="A60" s="6" t="s">
        <v>15</v>
      </c>
      <c r="B60" t="s">
        <v>71</v>
      </c>
      <c r="C60" s="16">
        <v>0.31147540983606598</v>
      </c>
      <c r="D60">
        <v>61</v>
      </c>
      <c r="E60" s="16">
        <v>0.27868852459016402</v>
      </c>
      <c r="F60">
        <v>61</v>
      </c>
      <c r="G60" s="16">
        <v>0.41935483870967699</v>
      </c>
      <c r="H60">
        <v>31</v>
      </c>
      <c r="I60" s="16">
        <v>0.38709677419354799</v>
      </c>
      <c r="J60">
        <v>31</v>
      </c>
      <c r="K60" s="16">
        <v>0.2</v>
      </c>
      <c r="L60">
        <v>30</v>
      </c>
      <c r="M60" s="16">
        <v>0.16666666666666699</v>
      </c>
      <c r="N60" s="11">
        <v>30</v>
      </c>
    </row>
    <row r="61" spans="1:14" outlineLevel="1" x14ac:dyDescent="0.25">
      <c r="A61" s="6" t="s">
        <v>15</v>
      </c>
      <c r="B61" t="s">
        <v>72</v>
      </c>
      <c r="C61" s="16">
        <v>0.10344827586206901</v>
      </c>
      <c r="D61">
        <v>58</v>
      </c>
      <c r="E61" s="16">
        <v>0.10344827586206901</v>
      </c>
      <c r="F61">
        <v>58</v>
      </c>
      <c r="G61" s="16">
        <v>0.125</v>
      </c>
      <c r="H61">
        <v>24</v>
      </c>
      <c r="I61" s="16">
        <v>0.125</v>
      </c>
      <c r="J61">
        <v>24</v>
      </c>
      <c r="K61" s="16">
        <v>8.8235294117647106E-2</v>
      </c>
      <c r="L61">
        <v>34</v>
      </c>
      <c r="M61" s="16">
        <v>8.8235294117647106E-2</v>
      </c>
      <c r="N61" s="11">
        <v>34</v>
      </c>
    </row>
    <row r="62" spans="1:14" outlineLevel="1" x14ac:dyDescent="0.25">
      <c r="A62" s="6" t="s">
        <v>15</v>
      </c>
      <c r="B62" t="s">
        <v>73</v>
      </c>
      <c r="C62" s="16">
        <v>0.98333333333333295</v>
      </c>
      <c r="D62">
        <v>60</v>
      </c>
      <c r="E62" s="16">
        <v>0.96666666666666701</v>
      </c>
      <c r="F62">
        <v>60</v>
      </c>
      <c r="G62" s="16">
        <v>0.96428571428571397</v>
      </c>
      <c r="H62">
        <v>28</v>
      </c>
      <c r="I62" s="16">
        <v>0.96428571428571397</v>
      </c>
      <c r="J62">
        <v>28</v>
      </c>
      <c r="K62" s="16">
        <v>1</v>
      </c>
      <c r="L62">
        <v>32</v>
      </c>
      <c r="M62" s="16">
        <v>0.96875</v>
      </c>
      <c r="N62" s="11">
        <v>32</v>
      </c>
    </row>
    <row r="63" spans="1:14" outlineLevel="1" x14ac:dyDescent="0.25">
      <c r="A63" s="6" t="s">
        <v>15</v>
      </c>
      <c r="B63" t="s">
        <v>74</v>
      </c>
      <c r="C63" s="16">
        <v>0.28571428571428598</v>
      </c>
      <c r="D63">
        <v>56</v>
      </c>
      <c r="E63" s="16">
        <v>0.26785714285714302</v>
      </c>
      <c r="F63">
        <v>56</v>
      </c>
      <c r="G63" s="16">
        <v>0.32</v>
      </c>
      <c r="H63">
        <v>25</v>
      </c>
      <c r="I63" s="16">
        <v>0.28000000000000003</v>
      </c>
      <c r="J63">
        <v>25</v>
      </c>
      <c r="K63" s="16">
        <v>0.25806451612903197</v>
      </c>
      <c r="L63">
        <v>31</v>
      </c>
      <c r="M63" s="16">
        <v>0.25806451612903197</v>
      </c>
      <c r="N63" s="11">
        <v>31</v>
      </c>
    </row>
    <row r="64" spans="1:14" outlineLevel="1" x14ac:dyDescent="0.25">
      <c r="A64" s="6" t="s">
        <v>15</v>
      </c>
      <c r="B64" t="s">
        <v>75</v>
      </c>
      <c r="C64" s="16">
        <v>0.69090909090909103</v>
      </c>
      <c r="D64">
        <v>55</v>
      </c>
      <c r="E64" s="16">
        <v>0.69090909090909103</v>
      </c>
      <c r="F64">
        <v>55</v>
      </c>
      <c r="G64" s="16">
        <v>0.69696969696969702</v>
      </c>
      <c r="H64">
        <v>33</v>
      </c>
      <c r="I64" s="16">
        <v>0.69696969696969702</v>
      </c>
      <c r="J64">
        <v>33</v>
      </c>
      <c r="K64" s="16">
        <v>0.68181818181818199</v>
      </c>
      <c r="L64">
        <v>22</v>
      </c>
      <c r="M64" s="16">
        <v>0.68181818181818199</v>
      </c>
      <c r="N64" s="11">
        <v>22</v>
      </c>
    </row>
    <row r="65" spans="1:14" outlineLevel="1" x14ac:dyDescent="0.25">
      <c r="A65" s="6" t="s">
        <v>15</v>
      </c>
      <c r="B65" t="s">
        <v>76</v>
      </c>
      <c r="C65" s="16">
        <v>0.49019607843137297</v>
      </c>
      <c r="D65">
        <v>51</v>
      </c>
      <c r="E65" s="16">
        <v>0.47058823529411797</v>
      </c>
      <c r="F65">
        <v>51</v>
      </c>
      <c r="G65" s="16">
        <v>0.37931034482758602</v>
      </c>
      <c r="H65">
        <v>29</v>
      </c>
      <c r="I65" s="16">
        <v>0.37931034482758602</v>
      </c>
      <c r="J65">
        <v>29</v>
      </c>
      <c r="K65" s="16">
        <v>0.63636363636363602</v>
      </c>
      <c r="L65">
        <v>22</v>
      </c>
      <c r="M65" s="16">
        <v>0.59090909090909105</v>
      </c>
      <c r="N65" s="11">
        <v>22</v>
      </c>
    </row>
    <row r="66" spans="1:14" outlineLevel="1" x14ac:dyDescent="0.25">
      <c r="A66" s="6" t="s">
        <v>15</v>
      </c>
      <c r="B66" t="s">
        <v>77</v>
      </c>
      <c r="C66" s="16">
        <v>0.56756756756756799</v>
      </c>
      <c r="D66">
        <v>74</v>
      </c>
      <c r="E66" s="16">
        <v>0.55405405405405395</v>
      </c>
      <c r="F66">
        <v>74</v>
      </c>
      <c r="G66" s="16">
        <v>0.55882352941176505</v>
      </c>
      <c r="H66">
        <v>34</v>
      </c>
      <c r="I66" s="16">
        <v>0.52941176470588203</v>
      </c>
      <c r="J66">
        <v>34</v>
      </c>
      <c r="K66" s="16">
        <v>0.57499999999999996</v>
      </c>
      <c r="L66">
        <v>40</v>
      </c>
      <c r="M66" s="16">
        <v>0.57499999999999996</v>
      </c>
      <c r="N66" s="11">
        <v>40</v>
      </c>
    </row>
    <row r="67" spans="1:14" outlineLevel="1" x14ac:dyDescent="0.25">
      <c r="A67" s="6" t="s">
        <v>15</v>
      </c>
      <c r="B67" t="s">
        <v>78</v>
      </c>
      <c r="C67" s="16">
        <v>1</v>
      </c>
      <c r="D67">
        <v>66</v>
      </c>
      <c r="E67" s="16">
        <v>0.98484848484848497</v>
      </c>
      <c r="F67">
        <v>66</v>
      </c>
      <c r="G67" s="16">
        <v>1</v>
      </c>
      <c r="H67">
        <v>35</v>
      </c>
      <c r="I67" s="16">
        <v>0.97142857142857097</v>
      </c>
      <c r="J67">
        <v>35</v>
      </c>
      <c r="K67" s="16">
        <v>1</v>
      </c>
      <c r="L67">
        <v>31</v>
      </c>
      <c r="M67" s="16">
        <v>1</v>
      </c>
      <c r="N67" s="11">
        <v>31</v>
      </c>
    </row>
    <row r="68" spans="1:14" outlineLevel="1" x14ac:dyDescent="0.25">
      <c r="A68" s="6" t="s">
        <v>15</v>
      </c>
      <c r="B68" t="s">
        <v>79</v>
      </c>
      <c r="C68" s="16">
        <v>0.68333333333333302</v>
      </c>
      <c r="D68">
        <v>60</v>
      </c>
      <c r="E68" s="16">
        <v>0.66666666666666696</v>
      </c>
      <c r="F68">
        <v>60</v>
      </c>
      <c r="G68" s="16">
        <v>0.60869565217391297</v>
      </c>
      <c r="H68">
        <v>23</v>
      </c>
      <c r="I68" s="16">
        <v>0.60869565217391297</v>
      </c>
      <c r="J68">
        <v>23</v>
      </c>
      <c r="K68" s="16">
        <v>0.72972972972973005</v>
      </c>
      <c r="L68">
        <v>37</v>
      </c>
      <c r="M68" s="16">
        <v>0.70270270270270296</v>
      </c>
      <c r="N68" s="11">
        <v>37</v>
      </c>
    </row>
    <row r="69" spans="1:14" outlineLevel="1" x14ac:dyDescent="0.25">
      <c r="A69" s="6" t="s">
        <v>15</v>
      </c>
      <c r="B69" t="s">
        <v>80</v>
      </c>
      <c r="C69" s="16">
        <v>0.4</v>
      </c>
      <c r="D69">
        <v>30</v>
      </c>
      <c r="E69" s="16">
        <v>0.4</v>
      </c>
      <c r="F69">
        <v>30</v>
      </c>
      <c r="G69" s="16">
        <v>0.5</v>
      </c>
      <c r="H69">
        <v>10</v>
      </c>
      <c r="I69" s="16">
        <v>0.5</v>
      </c>
      <c r="J69">
        <v>10</v>
      </c>
      <c r="K69" s="16">
        <v>0.35</v>
      </c>
      <c r="L69">
        <v>20</v>
      </c>
      <c r="M69" s="16">
        <v>0.35</v>
      </c>
      <c r="N69" s="11">
        <v>20</v>
      </c>
    </row>
    <row r="70" spans="1:14" outlineLevel="1" x14ac:dyDescent="0.25">
      <c r="A70" s="6" t="s">
        <v>15</v>
      </c>
      <c r="B70" t="s">
        <v>81</v>
      </c>
      <c r="C70" s="16">
        <v>0.865979381443299</v>
      </c>
      <c r="D70">
        <v>97</v>
      </c>
      <c r="E70" s="16">
        <v>0.83505154639175305</v>
      </c>
      <c r="F70">
        <v>97</v>
      </c>
      <c r="G70" s="16">
        <v>0.84090909090909105</v>
      </c>
      <c r="H70">
        <v>44</v>
      </c>
      <c r="I70" s="16">
        <v>0.81818181818181801</v>
      </c>
      <c r="J70">
        <v>44</v>
      </c>
      <c r="K70" s="16">
        <v>0.88679245283018904</v>
      </c>
      <c r="L70">
        <v>53</v>
      </c>
      <c r="M70" s="16">
        <v>0.84905660377358505</v>
      </c>
      <c r="N70" s="11">
        <v>53</v>
      </c>
    </row>
    <row r="71" spans="1:14" outlineLevel="1" x14ac:dyDescent="0.25">
      <c r="A71" s="6" t="s">
        <v>15</v>
      </c>
      <c r="B71" t="s">
        <v>82</v>
      </c>
      <c r="C71" s="16">
        <v>0.52380952380952395</v>
      </c>
      <c r="D71">
        <v>21</v>
      </c>
      <c r="E71" s="16">
        <v>0.476190476190476</v>
      </c>
      <c r="F71">
        <v>21</v>
      </c>
      <c r="G71" s="16">
        <v>0.7</v>
      </c>
      <c r="H71">
        <v>10</v>
      </c>
      <c r="I71" s="16">
        <v>0.6</v>
      </c>
      <c r="J71">
        <v>10</v>
      </c>
      <c r="K71" s="16">
        <v>0.36363636363636398</v>
      </c>
      <c r="L71">
        <v>11</v>
      </c>
      <c r="M71" s="16">
        <v>0.36363636363636398</v>
      </c>
      <c r="N71" s="11">
        <v>11</v>
      </c>
    </row>
    <row r="72" spans="1:14" outlineLevel="1" x14ac:dyDescent="0.25">
      <c r="A72" s="7" t="s">
        <v>15</v>
      </c>
      <c r="B72" s="9" t="s">
        <v>83</v>
      </c>
      <c r="C72" s="15">
        <v>0.92721728687721106</v>
      </c>
      <c r="D72" s="9">
        <v>183</v>
      </c>
      <c r="E72" s="15">
        <v>0.91080619030929599</v>
      </c>
      <c r="F72" s="9">
        <v>183</v>
      </c>
      <c r="G72" s="15">
        <v>0.92597133907263496</v>
      </c>
      <c r="H72" s="9">
        <v>92</v>
      </c>
      <c r="I72" s="15">
        <v>0.92414253609713704</v>
      </c>
      <c r="J72" s="9">
        <v>92</v>
      </c>
      <c r="K72" s="15">
        <v>0.92835668561850804</v>
      </c>
      <c r="L72" s="9">
        <v>91</v>
      </c>
      <c r="M72" s="15">
        <v>0.89861032179186495</v>
      </c>
      <c r="N72" s="12">
        <v>91</v>
      </c>
    </row>
    <row r="73" spans="1:14" x14ac:dyDescent="0.25">
      <c r="C73" s="16"/>
      <c r="E73" s="16"/>
      <c r="G73" s="16"/>
      <c r="I73" s="16"/>
      <c r="K73" s="16"/>
      <c r="M73" s="16"/>
    </row>
    <row r="74" spans="1:14" x14ac:dyDescent="0.25">
      <c r="A74" s="19" t="s">
        <v>84</v>
      </c>
      <c r="B74" s="19"/>
      <c r="C74" s="20"/>
      <c r="D74" s="19"/>
      <c r="E74" s="20"/>
      <c r="F74" s="19"/>
      <c r="G74" s="20"/>
      <c r="H74" s="19"/>
      <c r="I74" s="20"/>
      <c r="J74" s="19"/>
      <c r="K74" s="20"/>
      <c r="L74" s="19"/>
      <c r="M74" s="20"/>
      <c r="N74" s="19"/>
    </row>
    <row r="75" spans="1:14" outlineLevel="1" x14ac:dyDescent="0.25">
      <c r="A75" s="5" t="s">
        <v>15</v>
      </c>
      <c r="B75" s="8" t="s">
        <v>85</v>
      </c>
      <c r="C75" s="14">
        <v>0.44860927594354499</v>
      </c>
      <c r="D75" s="8">
        <v>953</v>
      </c>
      <c r="E75" s="14">
        <v>0.41917453164858198</v>
      </c>
      <c r="F75" s="8">
        <v>953</v>
      </c>
      <c r="G75" s="14">
        <v>0.45807207449612503</v>
      </c>
      <c r="H75" s="8">
        <v>438</v>
      </c>
      <c r="I75" s="14">
        <v>0.41909606813683098</v>
      </c>
      <c r="J75" s="8">
        <v>438</v>
      </c>
      <c r="K75" s="14">
        <v>0.44073359475853802</v>
      </c>
      <c r="L75" s="8">
        <v>513</v>
      </c>
      <c r="M75" s="14">
        <v>0.41934606310794098</v>
      </c>
      <c r="N75" s="10">
        <v>513</v>
      </c>
    </row>
    <row r="76" spans="1:14" outlineLevel="1" x14ac:dyDescent="0.25">
      <c r="A76" s="6" t="s">
        <v>15</v>
      </c>
      <c r="B76" t="s">
        <v>86</v>
      </c>
      <c r="C76" s="16">
        <v>0.39860139860139898</v>
      </c>
      <c r="D76">
        <v>143</v>
      </c>
      <c r="E76" s="16">
        <v>0.39860139860139898</v>
      </c>
      <c r="F76">
        <v>143</v>
      </c>
      <c r="G76" s="16">
        <v>0.5</v>
      </c>
      <c r="H76">
        <v>72</v>
      </c>
      <c r="I76" s="16">
        <v>0.5</v>
      </c>
      <c r="J76">
        <v>72</v>
      </c>
      <c r="K76" s="16">
        <v>0.29577464788732399</v>
      </c>
      <c r="L76">
        <v>71</v>
      </c>
      <c r="M76" s="16">
        <v>0.29577464788732399</v>
      </c>
      <c r="N76" s="11">
        <v>71</v>
      </c>
    </row>
    <row r="77" spans="1:14" outlineLevel="1" x14ac:dyDescent="0.25">
      <c r="A77" s="6" t="s">
        <v>15</v>
      </c>
      <c r="B77" t="s">
        <v>87</v>
      </c>
      <c r="C77" s="16">
        <v>0.83077545860927504</v>
      </c>
      <c r="D77">
        <v>1507</v>
      </c>
      <c r="E77" s="16">
        <v>0.81664833021683003</v>
      </c>
      <c r="F77">
        <v>1507</v>
      </c>
      <c r="G77" s="16">
        <v>0.83133120889935597</v>
      </c>
      <c r="H77">
        <v>773</v>
      </c>
      <c r="I77" s="16">
        <v>0.82046620750274002</v>
      </c>
      <c r="J77">
        <v>773</v>
      </c>
      <c r="K77" s="16">
        <v>0.83018330393040896</v>
      </c>
      <c r="L77">
        <v>734</v>
      </c>
      <c r="M77" s="16">
        <v>0.81258036311264803</v>
      </c>
      <c r="N77" s="11">
        <v>734</v>
      </c>
    </row>
    <row r="78" spans="1:14" outlineLevel="1" x14ac:dyDescent="0.25">
      <c r="A78" s="7" t="s">
        <v>15</v>
      </c>
      <c r="B78" s="9" t="s">
        <v>88</v>
      </c>
      <c r="C78" s="15">
        <v>0.46536280137505198</v>
      </c>
      <c r="D78" s="9">
        <v>807</v>
      </c>
      <c r="E78" s="15">
        <v>0.45087236154132998</v>
      </c>
      <c r="F78" s="9">
        <v>807</v>
      </c>
      <c r="G78" s="15">
        <v>0.50229651969928801</v>
      </c>
      <c r="H78" s="9">
        <v>394</v>
      </c>
      <c r="I78" s="15">
        <v>0.48156183661803498</v>
      </c>
      <c r="J78" s="9">
        <v>394</v>
      </c>
      <c r="K78" s="15">
        <v>0.431059578339411</v>
      </c>
      <c r="L78" s="9">
        <v>413</v>
      </c>
      <c r="M78" s="15">
        <v>0.422368653922154</v>
      </c>
      <c r="N78" s="12">
        <v>413</v>
      </c>
    </row>
    <row r="79" spans="1:14" x14ac:dyDescent="0.25">
      <c r="C79" s="16"/>
      <c r="E79" s="16"/>
      <c r="G79" s="16"/>
      <c r="I79" s="16"/>
      <c r="K79" s="16"/>
      <c r="M79" s="16"/>
    </row>
    <row r="80" spans="1:14" x14ac:dyDescent="0.25">
      <c r="A80" s="19" t="s">
        <v>89</v>
      </c>
      <c r="B80" s="19"/>
      <c r="C80" s="20"/>
      <c r="D80" s="19"/>
      <c r="E80" s="20"/>
      <c r="F80" s="19"/>
      <c r="G80" s="20"/>
      <c r="H80" s="19"/>
      <c r="I80" s="20"/>
      <c r="J80" s="19"/>
      <c r="K80" s="20"/>
      <c r="L80" s="19"/>
      <c r="M80" s="20"/>
      <c r="N80" s="19"/>
    </row>
    <row r="81" spans="1:14" outlineLevel="1" x14ac:dyDescent="0.25">
      <c r="A81" s="5" t="s">
        <v>15</v>
      </c>
      <c r="B81" s="8" t="s">
        <v>90</v>
      </c>
      <c r="C81" s="14">
        <v>0.38165666121566999</v>
      </c>
      <c r="D81" s="8">
        <v>738</v>
      </c>
      <c r="E81" s="14">
        <v>0.34667654329587599</v>
      </c>
      <c r="F81" s="8">
        <v>738</v>
      </c>
      <c r="G81" s="14">
        <v>0.40074041933812898</v>
      </c>
      <c r="H81" s="8">
        <v>345</v>
      </c>
      <c r="I81" s="14">
        <v>0.35401011809879201</v>
      </c>
      <c r="J81" s="8">
        <v>345</v>
      </c>
      <c r="K81" s="14">
        <v>0.36539866503966101</v>
      </c>
      <c r="L81" s="8">
        <v>391</v>
      </c>
      <c r="M81" s="14">
        <v>0.34029910505151101</v>
      </c>
      <c r="N81" s="10">
        <v>391</v>
      </c>
    </row>
    <row r="82" spans="1:14" outlineLevel="1" x14ac:dyDescent="0.25">
      <c r="A82" s="6" t="s">
        <v>15</v>
      </c>
      <c r="B82" t="s">
        <v>91</v>
      </c>
      <c r="C82" s="16">
        <v>0.74133065112529795</v>
      </c>
      <c r="D82">
        <v>215</v>
      </c>
      <c r="E82" s="16">
        <v>0.73614065664263995</v>
      </c>
      <c r="F82">
        <v>215</v>
      </c>
      <c r="G82" s="16">
        <v>0.70752299126284901</v>
      </c>
      <c r="H82">
        <v>93</v>
      </c>
      <c r="I82" s="16">
        <v>0.70228604164935704</v>
      </c>
      <c r="J82">
        <v>93</v>
      </c>
      <c r="K82" s="16">
        <v>0.77027549710811705</v>
      </c>
      <c r="L82">
        <v>122</v>
      </c>
      <c r="M82" s="16">
        <v>0.76512570384126699</v>
      </c>
      <c r="N82" s="11">
        <v>122</v>
      </c>
    </row>
    <row r="83" spans="1:14" outlineLevel="1" x14ac:dyDescent="0.25">
      <c r="A83" s="6" t="s">
        <v>15</v>
      </c>
      <c r="B83" t="s">
        <v>92</v>
      </c>
      <c r="C83" s="16">
        <v>0.31034482758620702</v>
      </c>
      <c r="D83">
        <v>87</v>
      </c>
      <c r="E83" s="16">
        <v>0.31034482758620702</v>
      </c>
      <c r="F83">
        <v>87</v>
      </c>
      <c r="G83" s="16">
        <v>0.40909090909090901</v>
      </c>
      <c r="H83">
        <v>44</v>
      </c>
      <c r="I83" s="16">
        <v>0.40909090909090901</v>
      </c>
      <c r="J83">
        <v>44</v>
      </c>
      <c r="K83" s="16">
        <v>0.209302325581395</v>
      </c>
      <c r="L83">
        <v>43</v>
      </c>
      <c r="M83" s="16">
        <v>0.209302325581395</v>
      </c>
      <c r="N83" s="11">
        <v>43</v>
      </c>
    </row>
    <row r="84" spans="1:14" outlineLevel="1" x14ac:dyDescent="0.25">
      <c r="A84" s="6" t="s">
        <v>15</v>
      </c>
      <c r="B84" t="s">
        <v>93</v>
      </c>
      <c r="C84" s="16">
        <v>0.53571428571428603</v>
      </c>
      <c r="D84">
        <v>56</v>
      </c>
      <c r="E84" s="16">
        <v>0.53571428571428603</v>
      </c>
      <c r="F84">
        <v>56</v>
      </c>
      <c r="G84" s="16">
        <v>0.64285714285714302</v>
      </c>
      <c r="H84">
        <v>28</v>
      </c>
      <c r="I84" s="16">
        <v>0.64285714285714302</v>
      </c>
      <c r="J84">
        <v>28</v>
      </c>
      <c r="K84" s="16">
        <v>0.42857142857142899</v>
      </c>
      <c r="L84">
        <v>28</v>
      </c>
      <c r="M84" s="16">
        <v>0.42857142857142899</v>
      </c>
      <c r="N84" s="11">
        <v>28</v>
      </c>
    </row>
    <row r="85" spans="1:14" outlineLevel="1" x14ac:dyDescent="0.25">
      <c r="A85" s="6" t="s">
        <v>15</v>
      </c>
      <c r="B85" t="s">
        <v>94</v>
      </c>
      <c r="C85" s="16">
        <v>0.80893450117951504</v>
      </c>
      <c r="D85">
        <v>1070</v>
      </c>
      <c r="E85" s="16">
        <v>0.79627208167105401</v>
      </c>
      <c r="F85">
        <v>1070</v>
      </c>
      <c r="G85" s="16">
        <v>0.81393236600044305</v>
      </c>
      <c r="H85">
        <v>552</v>
      </c>
      <c r="I85" s="16">
        <v>0.804330223169894</v>
      </c>
      <c r="J85">
        <v>552</v>
      </c>
      <c r="K85" s="16">
        <v>0.80354214002985402</v>
      </c>
      <c r="L85">
        <v>518</v>
      </c>
      <c r="M85" s="16">
        <v>0.78757788710723398</v>
      </c>
      <c r="N85" s="11">
        <v>518</v>
      </c>
    </row>
    <row r="86" spans="1:14" outlineLevel="1" x14ac:dyDescent="0.25">
      <c r="A86" s="6" t="s">
        <v>15</v>
      </c>
      <c r="B86" t="s">
        <v>95</v>
      </c>
      <c r="C86" s="16">
        <v>0.89355640026947103</v>
      </c>
      <c r="D86">
        <v>437</v>
      </c>
      <c r="E86" s="16">
        <v>0.87521902590725897</v>
      </c>
      <c r="F86">
        <v>437</v>
      </c>
      <c r="G86" s="16">
        <v>0.88253894262336396</v>
      </c>
      <c r="H86">
        <v>221</v>
      </c>
      <c r="I86" s="16">
        <v>0.86795713514039496</v>
      </c>
      <c r="J86">
        <v>221</v>
      </c>
      <c r="K86" s="16">
        <v>0.90488074852076095</v>
      </c>
      <c r="L86">
        <v>216</v>
      </c>
      <c r="M86" s="16">
        <v>0.88268319619484303</v>
      </c>
      <c r="N86" s="11">
        <v>216</v>
      </c>
    </row>
    <row r="87" spans="1:14" outlineLevel="1" x14ac:dyDescent="0.25">
      <c r="A87" s="6" t="s">
        <v>15</v>
      </c>
      <c r="B87" t="s">
        <v>96</v>
      </c>
      <c r="C87" s="16">
        <v>0.38144679501405898</v>
      </c>
      <c r="D87">
        <v>629</v>
      </c>
      <c r="E87" s="16">
        <v>0.37364429307271502</v>
      </c>
      <c r="F87">
        <v>629</v>
      </c>
      <c r="G87" s="16">
        <v>0.39117273714671502</v>
      </c>
      <c r="H87">
        <v>304</v>
      </c>
      <c r="I87" s="16">
        <v>0.38548130079590498</v>
      </c>
      <c r="J87">
        <v>304</v>
      </c>
      <c r="K87" s="16">
        <v>0.37247168165193101</v>
      </c>
      <c r="L87">
        <v>325</v>
      </c>
      <c r="M87" s="16">
        <v>0.362721085353093</v>
      </c>
      <c r="N87" s="11">
        <v>325</v>
      </c>
    </row>
    <row r="88" spans="1:14" outlineLevel="1" x14ac:dyDescent="0.25">
      <c r="A88" s="7" t="s">
        <v>15</v>
      </c>
      <c r="B88" s="9" t="s">
        <v>97</v>
      </c>
      <c r="C88" s="15">
        <v>0.68256159493171198</v>
      </c>
      <c r="D88" s="9">
        <v>178</v>
      </c>
      <c r="E88" s="15">
        <v>0.65076084560402403</v>
      </c>
      <c r="F88" s="9">
        <v>178</v>
      </c>
      <c r="G88" s="15">
        <v>0.78649264668774699</v>
      </c>
      <c r="H88" s="9">
        <v>90</v>
      </c>
      <c r="I88" s="15">
        <v>0.72728525902499597</v>
      </c>
      <c r="J88" s="9">
        <v>90</v>
      </c>
      <c r="K88" s="15">
        <v>0.58440694754015499</v>
      </c>
      <c r="L88" s="9">
        <v>88</v>
      </c>
      <c r="M88" s="15">
        <v>0.57848959760575502</v>
      </c>
      <c r="N88" s="12">
        <v>88</v>
      </c>
    </row>
    <row r="89" spans="1:14" x14ac:dyDescent="0.25">
      <c r="C89" s="16"/>
      <c r="E89" s="16"/>
      <c r="G89" s="16"/>
      <c r="I89" s="16"/>
      <c r="K89" s="16"/>
      <c r="M89" s="16"/>
    </row>
    <row r="90" spans="1:14" x14ac:dyDescent="0.25">
      <c r="A90" s="19" t="s">
        <v>98</v>
      </c>
      <c r="B90" s="19"/>
      <c r="C90" s="20"/>
      <c r="D90" s="19"/>
      <c r="E90" s="20"/>
      <c r="F90" s="19"/>
      <c r="G90" s="20"/>
      <c r="H90" s="19"/>
      <c r="I90" s="20"/>
      <c r="J90" s="19"/>
      <c r="K90" s="20"/>
      <c r="L90" s="19"/>
      <c r="M90" s="20"/>
      <c r="N90" s="19"/>
    </row>
    <row r="91" spans="1:14" outlineLevel="1" x14ac:dyDescent="0.25">
      <c r="A91" s="5" t="s">
        <v>15</v>
      </c>
      <c r="B91" s="8" t="s">
        <v>99</v>
      </c>
      <c r="C91" s="14">
        <v>0.41983026301950899</v>
      </c>
      <c r="D91" s="8">
        <v>401</v>
      </c>
      <c r="E91" s="14">
        <v>0.38436673090512602</v>
      </c>
      <c r="F91" s="8">
        <v>401</v>
      </c>
      <c r="G91" s="14">
        <v>0.450846114240264</v>
      </c>
      <c r="H91" s="8">
        <v>185</v>
      </c>
      <c r="I91" s="14">
        <v>0.40575670485619197</v>
      </c>
      <c r="J91" s="8">
        <v>185</v>
      </c>
      <c r="K91" s="14">
        <v>0.39613675509163399</v>
      </c>
      <c r="L91" s="8">
        <v>215</v>
      </c>
      <c r="M91" s="14">
        <v>0.36837425835862703</v>
      </c>
      <c r="N91" s="10">
        <v>215</v>
      </c>
    </row>
    <row r="92" spans="1:14" outlineLevel="1" x14ac:dyDescent="0.25">
      <c r="A92" s="6" t="s">
        <v>15</v>
      </c>
      <c r="B92" t="s">
        <v>100</v>
      </c>
      <c r="C92" s="16">
        <v>0.47541539359246798</v>
      </c>
      <c r="D92">
        <v>552</v>
      </c>
      <c r="E92" s="16">
        <v>0.45159614403300302</v>
      </c>
      <c r="F92">
        <v>552</v>
      </c>
      <c r="G92" s="16">
        <v>0.46447771137656901</v>
      </c>
      <c r="H92">
        <v>253</v>
      </c>
      <c r="I92" s="16">
        <v>0.43092108714697502</v>
      </c>
      <c r="J92">
        <v>253</v>
      </c>
      <c r="K92" s="16">
        <v>0.483991766334883</v>
      </c>
      <c r="L92">
        <v>298</v>
      </c>
      <c r="M92" s="16">
        <v>0.46878784176021199</v>
      </c>
      <c r="N92" s="11">
        <v>298</v>
      </c>
    </row>
    <row r="93" spans="1:14" outlineLevel="1" x14ac:dyDescent="0.25">
      <c r="A93" s="6" t="s">
        <v>15</v>
      </c>
      <c r="B93" t="s">
        <v>101</v>
      </c>
      <c r="C93" s="16"/>
      <c r="E93" s="16"/>
      <c r="G93" s="16">
        <v>0.82450030442210298</v>
      </c>
      <c r="H93">
        <v>1239</v>
      </c>
      <c r="I93" s="16">
        <v>0.81375674805803799</v>
      </c>
      <c r="J93">
        <v>1239</v>
      </c>
      <c r="K93" s="16">
        <v>0.81911895473970997</v>
      </c>
      <c r="L93">
        <v>1218</v>
      </c>
      <c r="M93" s="16">
        <v>0.80185638430716299</v>
      </c>
      <c r="N93" s="11">
        <v>1218</v>
      </c>
    </row>
    <row r="94" spans="1:14" outlineLevel="1" x14ac:dyDescent="0.25">
      <c r="A94" s="7" t="s">
        <v>15</v>
      </c>
      <c r="B94" s="9" t="s">
        <v>15</v>
      </c>
      <c r="C94" s="15">
        <v>0.82189291135257503</v>
      </c>
      <c r="D94" s="9">
        <v>2457</v>
      </c>
      <c r="E94" s="15">
        <v>0.80799073622081796</v>
      </c>
      <c r="F94" s="9">
        <v>2457</v>
      </c>
      <c r="G94" s="15"/>
      <c r="H94" s="9"/>
      <c r="I94" s="15"/>
      <c r="J94" s="9"/>
      <c r="K94" s="15"/>
      <c r="L94" s="9"/>
      <c r="M94" s="15"/>
      <c r="N94" s="12"/>
    </row>
    <row r="95" spans="1:14" x14ac:dyDescent="0.25">
      <c r="C95" s="16"/>
      <c r="E95" s="16"/>
      <c r="G95" s="16"/>
      <c r="I95" s="16"/>
      <c r="K95" s="16"/>
      <c r="M95" s="16"/>
    </row>
    <row r="96" spans="1:14" x14ac:dyDescent="0.25">
      <c r="A96" s="19" t="s">
        <v>102</v>
      </c>
      <c r="B96" s="19"/>
      <c r="C96" s="20"/>
      <c r="D96" s="19"/>
      <c r="E96" s="20"/>
      <c r="F96" s="19"/>
      <c r="G96" s="20"/>
      <c r="H96" s="19"/>
      <c r="I96" s="20"/>
      <c r="J96" s="19"/>
      <c r="K96" s="20"/>
      <c r="L96" s="19"/>
      <c r="M96" s="20"/>
      <c r="N96" s="19"/>
    </row>
    <row r="97" spans="1:14" outlineLevel="1" x14ac:dyDescent="0.25">
      <c r="A97" s="5" t="s">
        <v>15</v>
      </c>
      <c r="B97" s="8" t="s">
        <v>101</v>
      </c>
      <c r="C97" s="14"/>
      <c r="D97" s="8"/>
      <c r="E97" s="14"/>
      <c r="F97" s="8"/>
      <c r="G97" s="14">
        <v>0.82614899606831205</v>
      </c>
      <c r="H97" s="8">
        <v>849</v>
      </c>
      <c r="I97" s="14">
        <v>0.8154578221462</v>
      </c>
      <c r="J97" s="8">
        <v>849</v>
      </c>
      <c r="K97" s="14">
        <v>0.82134015039810004</v>
      </c>
      <c r="L97" s="8">
        <v>806</v>
      </c>
      <c r="M97" s="14">
        <v>0.80402875830320097</v>
      </c>
      <c r="N97" s="10">
        <v>806</v>
      </c>
    </row>
    <row r="98" spans="1:14" outlineLevel="1" x14ac:dyDescent="0.25">
      <c r="A98" s="6" t="s">
        <v>15</v>
      </c>
      <c r="B98" t="s">
        <v>103</v>
      </c>
      <c r="C98" s="16">
        <v>0.45586892472111801</v>
      </c>
      <c r="D98">
        <v>1303</v>
      </c>
      <c r="E98" s="16">
        <v>0.42762074649499898</v>
      </c>
      <c r="F98">
        <v>1303</v>
      </c>
      <c r="G98" s="16">
        <v>0.46020832424388702</v>
      </c>
      <c r="H98">
        <v>613</v>
      </c>
      <c r="I98" s="16">
        <v>0.42430868725731202</v>
      </c>
      <c r="J98">
        <v>613</v>
      </c>
      <c r="K98" s="16">
        <v>0.453000263066417</v>
      </c>
      <c r="L98">
        <v>689</v>
      </c>
      <c r="M98" s="16">
        <v>0.431508424005906</v>
      </c>
      <c r="N98" s="11">
        <v>689</v>
      </c>
    </row>
    <row r="99" spans="1:14" outlineLevel="1" x14ac:dyDescent="0.25">
      <c r="A99" s="6" t="s">
        <v>15</v>
      </c>
      <c r="B99" t="s">
        <v>104</v>
      </c>
      <c r="C99" s="16">
        <v>0.264398305041874</v>
      </c>
      <c r="D99">
        <v>218</v>
      </c>
      <c r="E99" s="16">
        <v>0.23503813370058499</v>
      </c>
      <c r="F99">
        <v>218</v>
      </c>
      <c r="G99" s="16">
        <v>0.29842711391614501</v>
      </c>
      <c r="H99">
        <v>98</v>
      </c>
      <c r="I99" s="16">
        <v>0.25584051204325398</v>
      </c>
      <c r="J99">
        <v>98</v>
      </c>
      <c r="K99" s="16">
        <v>0.239714577612157</v>
      </c>
      <c r="L99">
        <v>120</v>
      </c>
      <c r="M99" s="16">
        <v>0.21994855948723299</v>
      </c>
      <c r="N99" s="11">
        <v>120</v>
      </c>
    </row>
    <row r="100" spans="1:14" outlineLevel="1" x14ac:dyDescent="0.25">
      <c r="A100" s="6" t="s">
        <v>15</v>
      </c>
      <c r="B100" t="s">
        <v>105</v>
      </c>
      <c r="C100" s="16">
        <v>1</v>
      </c>
      <c r="D100">
        <v>2</v>
      </c>
      <c r="E100" s="16">
        <v>1</v>
      </c>
      <c r="F100">
        <v>2</v>
      </c>
      <c r="G100" s="16">
        <v>1</v>
      </c>
      <c r="H100">
        <v>1</v>
      </c>
      <c r="I100" s="16">
        <v>1</v>
      </c>
      <c r="J100">
        <v>1</v>
      </c>
      <c r="K100" s="16">
        <v>1</v>
      </c>
      <c r="L100">
        <v>1</v>
      </c>
      <c r="M100" s="16">
        <v>1</v>
      </c>
      <c r="N100" s="11">
        <v>1</v>
      </c>
    </row>
    <row r="101" spans="1:14" outlineLevel="1" x14ac:dyDescent="0.25">
      <c r="A101" s="6" t="s">
        <v>15</v>
      </c>
      <c r="B101" t="s">
        <v>107</v>
      </c>
      <c r="C101" s="16">
        <v>1</v>
      </c>
      <c r="D101">
        <v>1</v>
      </c>
      <c r="E101" s="16">
        <v>1</v>
      </c>
      <c r="F101">
        <v>1</v>
      </c>
      <c r="G101" s="16"/>
      <c r="I101" s="16"/>
      <c r="K101" s="16">
        <v>1</v>
      </c>
      <c r="L101">
        <v>1</v>
      </c>
      <c r="M101" s="16">
        <v>1</v>
      </c>
      <c r="N101" s="11">
        <v>1</v>
      </c>
    </row>
    <row r="102" spans="1:14" outlineLevel="1" x14ac:dyDescent="0.25">
      <c r="A102" s="6" t="s">
        <v>15</v>
      </c>
      <c r="B102" t="s">
        <v>108</v>
      </c>
      <c r="C102" s="16">
        <v>0.91314934643936096</v>
      </c>
      <c r="D102">
        <v>13</v>
      </c>
      <c r="E102" s="16">
        <v>0.83013576949032797</v>
      </c>
      <c r="F102">
        <v>13</v>
      </c>
      <c r="G102" s="16">
        <v>0.88888888888888895</v>
      </c>
      <c r="H102">
        <v>9</v>
      </c>
      <c r="I102" s="16">
        <v>0.77777777777777801</v>
      </c>
      <c r="J102">
        <v>9</v>
      </c>
      <c r="K102" s="16">
        <v>0.98482636080181496</v>
      </c>
      <c r="L102">
        <v>4</v>
      </c>
      <c r="M102" s="16">
        <v>0.98482636080181496</v>
      </c>
      <c r="N102" s="11">
        <v>4</v>
      </c>
    </row>
    <row r="103" spans="1:14" outlineLevel="1" x14ac:dyDescent="0.25">
      <c r="A103" s="6" t="s">
        <v>15</v>
      </c>
      <c r="B103" t="s">
        <v>109</v>
      </c>
      <c r="C103" s="16">
        <v>0.45856508221756898</v>
      </c>
      <c r="D103">
        <v>72</v>
      </c>
      <c r="E103" s="16">
        <v>0.45856508221756898</v>
      </c>
      <c r="F103">
        <v>72</v>
      </c>
      <c r="G103" s="16">
        <v>0.39368881889704799</v>
      </c>
      <c r="H103">
        <v>42</v>
      </c>
      <c r="I103" s="16">
        <v>0.39368881889704799</v>
      </c>
      <c r="J103">
        <v>42</v>
      </c>
      <c r="K103" s="16">
        <v>0.51067658562409302</v>
      </c>
      <c r="L103">
        <v>30</v>
      </c>
      <c r="M103" s="16">
        <v>0.51067658562409302</v>
      </c>
      <c r="N103" s="11">
        <v>30</v>
      </c>
    </row>
    <row r="104" spans="1:14" outlineLevel="1" x14ac:dyDescent="0.25">
      <c r="A104" s="6" t="s">
        <v>15</v>
      </c>
      <c r="B104" t="s">
        <v>110</v>
      </c>
      <c r="C104" s="16">
        <v>0.97550628965366504</v>
      </c>
      <c r="D104">
        <v>16</v>
      </c>
      <c r="E104" s="16">
        <v>0.97550628965366504</v>
      </c>
      <c r="F104">
        <v>16</v>
      </c>
      <c r="G104" s="16">
        <v>0.96209901478848303</v>
      </c>
      <c r="H104">
        <v>9</v>
      </c>
      <c r="I104" s="16">
        <v>0.96209901478848303</v>
      </c>
      <c r="J104">
        <v>9</v>
      </c>
      <c r="K104" s="16">
        <v>1</v>
      </c>
      <c r="L104">
        <v>7</v>
      </c>
      <c r="M104" s="16">
        <v>1</v>
      </c>
      <c r="N104" s="11">
        <v>7</v>
      </c>
    </row>
    <row r="105" spans="1:14" outlineLevel="1" x14ac:dyDescent="0.25">
      <c r="A105" s="6" t="s">
        <v>15</v>
      </c>
      <c r="B105" t="s">
        <v>111</v>
      </c>
      <c r="C105" s="16">
        <v>1</v>
      </c>
      <c r="D105">
        <v>4</v>
      </c>
      <c r="E105" s="16">
        <v>1</v>
      </c>
      <c r="F105">
        <v>4</v>
      </c>
      <c r="G105" s="16"/>
      <c r="I105" s="16"/>
      <c r="K105" s="16">
        <v>1</v>
      </c>
      <c r="L105">
        <v>4</v>
      </c>
      <c r="M105" s="16">
        <v>1</v>
      </c>
      <c r="N105" s="11">
        <v>4</v>
      </c>
    </row>
    <row r="106" spans="1:14" outlineLevel="1" x14ac:dyDescent="0.25">
      <c r="A106" s="6" t="s">
        <v>15</v>
      </c>
      <c r="B106" t="s">
        <v>112</v>
      </c>
      <c r="C106" s="16">
        <v>0.65535779510581404</v>
      </c>
      <c r="D106">
        <v>14</v>
      </c>
      <c r="E106" s="16">
        <v>0.65535779510581404</v>
      </c>
      <c r="F106">
        <v>14</v>
      </c>
      <c r="G106" s="16">
        <v>4.6101027688242098E-2</v>
      </c>
      <c r="H106">
        <v>3</v>
      </c>
      <c r="I106" s="16">
        <v>4.6101027688242098E-2</v>
      </c>
      <c r="J106">
        <v>3</v>
      </c>
      <c r="K106" s="16">
        <v>0.892560246928227</v>
      </c>
      <c r="L106">
        <v>11</v>
      </c>
      <c r="M106" s="16">
        <v>0.892560246928227</v>
      </c>
      <c r="N106" s="11">
        <v>11</v>
      </c>
    </row>
    <row r="107" spans="1:14" outlineLevel="1" x14ac:dyDescent="0.25">
      <c r="A107" s="6" t="s">
        <v>15</v>
      </c>
      <c r="B107" t="s">
        <v>113</v>
      </c>
      <c r="C107" s="16">
        <v>0.96618362450960205</v>
      </c>
      <c r="D107">
        <v>36</v>
      </c>
      <c r="E107" s="16">
        <v>0.96618362450960205</v>
      </c>
      <c r="F107">
        <v>36</v>
      </c>
      <c r="G107" s="16">
        <v>1</v>
      </c>
      <c r="H107">
        <v>18</v>
      </c>
      <c r="I107" s="16">
        <v>1</v>
      </c>
      <c r="J107">
        <v>18</v>
      </c>
      <c r="K107" s="16">
        <v>0.95287889873614895</v>
      </c>
      <c r="L107">
        <v>18</v>
      </c>
      <c r="M107" s="16">
        <v>0.95287889873614895</v>
      </c>
      <c r="N107" s="11">
        <v>18</v>
      </c>
    </row>
    <row r="108" spans="1:14" outlineLevel="1" x14ac:dyDescent="0.25">
      <c r="A108" s="6" t="s">
        <v>15</v>
      </c>
      <c r="B108" t="s">
        <v>114</v>
      </c>
      <c r="C108" s="16">
        <v>0.66083988998617904</v>
      </c>
      <c r="D108">
        <v>70</v>
      </c>
      <c r="E108" s="16">
        <v>0.60966493703440605</v>
      </c>
      <c r="F108">
        <v>70</v>
      </c>
      <c r="G108" s="16">
        <v>0.92724260951437698</v>
      </c>
      <c r="H108">
        <v>32</v>
      </c>
      <c r="I108" s="16">
        <v>0.84175736970092796</v>
      </c>
      <c r="J108">
        <v>32</v>
      </c>
      <c r="K108" s="16">
        <v>0.530450722001099</v>
      </c>
      <c r="L108">
        <v>37</v>
      </c>
      <c r="M108" s="16">
        <v>0.49248947925522102</v>
      </c>
      <c r="N108" s="11">
        <v>37</v>
      </c>
    </row>
    <row r="109" spans="1:14" outlineLevel="1" x14ac:dyDescent="0.25">
      <c r="A109" s="6" t="s">
        <v>15</v>
      </c>
      <c r="B109" t="s">
        <v>115</v>
      </c>
      <c r="C109" s="16">
        <v>1</v>
      </c>
      <c r="D109">
        <v>1</v>
      </c>
      <c r="E109" s="16">
        <v>1</v>
      </c>
      <c r="F109">
        <v>1</v>
      </c>
      <c r="G109" s="16">
        <v>1</v>
      </c>
      <c r="H109">
        <v>1</v>
      </c>
      <c r="I109" s="16">
        <v>1</v>
      </c>
      <c r="J109">
        <v>1</v>
      </c>
      <c r="K109" s="16"/>
      <c r="M109" s="16"/>
      <c r="N109" s="11"/>
    </row>
    <row r="110" spans="1:14" outlineLevel="1" x14ac:dyDescent="0.25">
      <c r="A110" s="6" t="s">
        <v>15</v>
      </c>
      <c r="B110" t="s">
        <v>116</v>
      </c>
      <c r="C110" s="16">
        <v>0.808941155069547</v>
      </c>
      <c r="D110">
        <v>5</v>
      </c>
      <c r="E110" s="16">
        <v>0.808941155069547</v>
      </c>
      <c r="F110">
        <v>5</v>
      </c>
      <c r="G110" s="16">
        <v>1</v>
      </c>
      <c r="H110">
        <v>2</v>
      </c>
      <c r="I110" s="16">
        <v>1</v>
      </c>
      <c r="J110">
        <v>2</v>
      </c>
      <c r="K110" s="16">
        <v>0.65928780407435505</v>
      </c>
      <c r="L110">
        <v>3</v>
      </c>
      <c r="M110" s="16">
        <v>0.65928780407435505</v>
      </c>
      <c r="N110" s="11">
        <v>3</v>
      </c>
    </row>
    <row r="111" spans="1:14" outlineLevel="1" x14ac:dyDescent="0.25">
      <c r="A111" s="7" t="s">
        <v>15</v>
      </c>
      <c r="B111" s="9" t="s">
        <v>15</v>
      </c>
      <c r="C111" s="15">
        <v>0.82382013837295798</v>
      </c>
      <c r="D111" s="9">
        <v>1655</v>
      </c>
      <c r="E111" s="15">
        <v>0.80992288401201395</v>
      </c>
      <c r="F111" s="9">
        <v>1655</v>
      </c>
      <c r="G111" s="15"/>
      <c r="H111" s="9"/>
      <c r="I111" s="15"/>
      <c r="J111" s="9"/>
      <c r="K111" s="15"/>
      <c r="L111" s="9"/>
      <c r="M111" s="15"/>
      <c r="N111" s="12"/>
    </row>
    <row r="112" spans="1:14" x14ac:dyDescent="0.25">
      <c r="C112" s="16"/>
      <c r="E112" s="16"/>
      <c r="G112" s="16"/>
      <c r="I112" s="16"/>
      <c r="K112" s="16"/>
      <c r="M112" s="16"/>
    </row>
    <row r="113" spans="1:14" x14ac:dyDescent="0.25">
      <c r="A113" s="19" t="s">
        <v>117</v>
      </c>
      <c r="B113" s="19"/>
      <c r="C113" s="20"/>
      <c r="D113" s="19"/>
      <c r="E113" s="20"/>
      <c r="F113" s="19"/>
      <c r="G113" s="20"/>
      <c r="H113" s="19"/>
      <c r="I113" s="20"/>
      <c r="J113" s="19"/>
      <c r="K113" s="20"/>
      <c r="L113" s="19"/>
      <c r="M113" s="20"/>
      <c r="N113" s="19"/>
    </row>
    <row r="114" spans="1:14" outlineLevel="1" x14ac:dyDescent="0.25">
      <c r="A114" s="5" t="s">
        <v>15</v>
      </c>
      <c r="B114" s="8" t="s">
        <v>101</v>
      </c>
      <c r="C114" s="14"/>
      <c r="D114" s="8"/>
      <c r="E114" s="14"/>
      <c r="F114" s="8"/>
      <c r="G114" s="14">
        <v>0.748704320354172</v>
      </c>
      <c r="H114" s="8">
        <v>20</v>
      </c>
      <c r="I114" s="14">
        <v>0.74660502994550104</v>
      </c>
      <c r="J114" s="8">
        <v>20</v>
      </c>
      <c r="K114" s="14">
        <v>0.96902148107545805</v>
      </c>
      <c r="L114" s="8">
        <v>15</v>
      </c>
      <c r="M114" s="14">
        <v>0.96902148107545805</v>
      </c>
      <c r="N114" s="10">
        <v>15</v>
      </c>
    </row>
    <row r="115" spans="1:14" outlineLevel="1" x14ac:dyDescent="0.25">
      <c r="A115" s="6" t="s">
        <v>15</v>
      </c>
      <c r="B115" t="s">
        <v>118</v>
      </c>
      <c r="C115" s="16">
        <v>0.82006695348967096</v>
      </c>
      <c r="D115">
        <v>2402</v>
      </c>
      <c r="E115" s="16">
        <v>0.80506193876322496</v>
      </c>
      <c r="F115">
        <v>2402</v>
      </c>
      <c r="G115" s="16">
        <v>0.82817671970937501</v>
      </c>
      <c r="H115">
        <v>1183</v>
      </c>
      <c r="I115" s="16">
        <v>0.81722872701953198</v>
      </c>
      <c r="J115">
        <v>1183</v>
      </c>
      <c r="K115" s="16">
        <v>0.81153763113147803</v>
      </c>
      <c r="L115">
        <v>1219</v>
      </c>
      <c r="M115" s="16">
        <v>0.79226570564249998</v>
      </c>
      <c r="N115" s="11">
        <v>1219</v>
      </c>
    </row>
    <row r="116" spans="1:14" outlineLevel="1" x14ac:dyDescent="0.25">
      <c r="A116" s="6" t="s">
        <v>15</v>
      </c>
      <c r="B116" t="s">
        <v>119</v>
      </c>
      <c r="C116" s="16">
        <v>0.70748029609477003</v>
      </c>
      <c r="D116">
        <v>841</v>
      </c>
      <c r="E116" s="16">
        <v>0.692547614674354</v>
      </c>
      <c r="F116">
        <v>841</v>
      </c>
      <c r="G116" s="16">
        <v>0.71169310033451505</v>
      </c>
      <c r="H116">
        <v>410</v>
      </c>
      <c r="I116" s="16">
        <v>0.69005665961041796</v>
      </c>
      <c r="J116">
        <v>410</v>
      </c>
      <c r="K116" s="16">
        <v>0.70404787267551605</v>
      </c>
      <c r="L116">
        <v>430</v>
      </c>
      <c r="M116" s="16">
        <v>0.69538609033749799</v>
      </c>
      <c r="N116" s="11">
        <v>430</v>
      </c>
    </row>
    <row r="117" spans="1:14" outlineLevel="1" x14ac:dyDescent="0.25">
      <c r="A117" s="6" t="s">
        <v>15</v>
      </c>
      <c r="B117" t="s">
        <v>120</v>
      </c>
      <c r="C117" s="16">
        <v>0.701852735508813</v>
      </c>
      <c r="D117">
        <v>132</v>
      </c>
      <c r="E117" s="16">
        <v>0.69923821705445999</v>
      </c>
      <c r="F117">
        <v>132</v>
      </c>
      <c r="G117" s="16">
        <v>0.60556118207891196</v>
      </c>
      <c r="H117">
        <v>64</v>
      </c>
      <c r="I117" s="16">
        <v>0.60146763792290603</v>
      </c>
      <c r="J117">
        <v>64</v>
      </c>
      <c r="K117" s="16">
        <v>0.87148463015482602</v>
      </c>
      <c r="L117">
        <v>67</v>
      </c>
      <c r="M117" s="16">
        <v>0.87148463015482602</v>
      </c>
      <c r="N117" s="11">
        <v>67</v>
      </c>
    </row>
    <row r="118" spans="1:14" outlineLevel="1" x14ac:dyDescent="0.25">
      <c r="A118" s="7" t="s">
        <v>15</v>
      </c>
      <c r="B118" s="9" t="s">
        <v>15</v>
      </c>
      <c r="C118" s="15">
        <v>0.80840318984002502</v>
      </c>
      <c r="D118" s="9">
        <v>35</v>
      </c>
      <c r="E118" s="15">
        <v>0.80687273966018502</v>
      </c>
      <c r="F118" s="9">
        <v>35</v>
      </c>
      <c r="G118" s="15"/>
      <c r="H118" s="9"/>
      <c r="I118" s="15"/>
      <c r="J118" s="9"/>
      <c r="K118" s="15"/>
      <c r="L118" s="9"/>
      <c r="M118" s="15"/>
      <c r="N118" s="12"/>
    </row>
    <row r="119" spans="1:14" x14ac:dyDescent="0.25">
      <c r="C119" s="16"/>
      <c r="E119" s="16"/>
      <c r="G119" s="16"/>
      <c r="I119" s="16"/>
      <c r="K119" s="16"/>
      <c r="M119" s="16"/>
    </row>
    <row r="120" spans="1:14" x14ac:dyDescent="0.25">
      <c r="A120" s="19" t="s">
        <v>121</v>
      </c>
      <c r="B120" s="19"/>
      <c r="C120" s="20"/>
      <c r="D120" s="19"/>
      <c r="E120" s="20"/>
      <c r="F120" s="19"/>
      <c r="G120" s="20"/>
      <c r="H120" s="19"/>
      <c r="I120" s="20"/>
      <c r="J120" s="19"/>
      <c r="K120" s="20"/>
      <c r="L120" s="19"/>
      <c r="M120" s="20"/>
      <c r="N120" s="19"/>
    </row>
    <row r="121" spans="1:14" outlineLevel="1" x14ac:dyDescent="0.25">
      <c r="A121" s="5" t="s">
        <v>15</v>
      </c>
      <c r="B121" s="8" t="s">
        <v>101</v>
      </c>
      <c r="C121" s="14"/>
      <c r="D121" s="8"/>
      <c r="E121" s="14"/>
      <c r="F121" s="8"/>
      <c r="G121" s="14">
        <v>0.30521733666512701</v>
      </c>
      <c r="H121" s="8">
        <v>24</v>
      </c>
      <c r="I121" s="14">
        <v>0.30217285074326999</v>
      </c>
      <c r="J121" s="8">
        <v>24</v>
      </c>
      <c r="K121" s="14">
        <v>0.55055643069313098</v>
      </c>
      <c r="L121" s="8">
        <v>17</v>
      </c>
      <c r="M121" s="14">
        <v>0.55055643069313098</v>
      </c>
      <c r="N121" s="10">
        <v>17</v>
      </c>
    </row>
    <row r="122" spans="1:14" outlineLevel="1" x14ac:dyDescent="0.25">
      <c r="A122" s="6" t="s">
        <v>15</v>
      </c>
      <c r="B122" t="s">
        <v>122</v>
      </c>
      <c r="C122" s="16">
        <v>0.65013004218052395</v>
      </c>
      <c r="D122">
        <v>261</v>
      </c>
      <c r="E122" s="16">
        <v>0.62809593038455003</v>
      </c>
      <c r="F122">
        <v>261</v>
      </c>
      <c r="G122" s="16">
        <v>0.59832952988425803</v>
      </c>
      <c r="H122">
        <v>131</v>
      </c>
      <c r="I122" s="16">
        <v>0.56327652360132696</v>
      </c>
      <c r="J122">
        <v>131</v>
      </c>
      <c r="K122" s="16">
        <v>0.73128636409382297</v>
      </c>
      <c r="L122">
        <v>130</v>
      </c>
      <c r="M122" s="16">
        <v>0.72964906972498</v>
      </c>
      <c r="N122" s="11">
        <v>130</v>
      </c>
    </row>
    <row r="123" spans="1:14" outlineLevel="1" x14ac:dyDescent="0.25">
      <c r="A123" s="6" t="s">
        <v>15</v>
      </c>
      <c r="B123" t="s">
        <v>123</v>
      </c>
      <c r="C123" s="16">
        <v>0.68626353580265098</v>
      </c>
      <c r="D123">
        <v>1170</v>
      </c>
      <c r="E123" s="16">
        <v>0.66088036729812905</v>
      </c>
      <c r="F123">
        <v>1170</v>
      </c>
      <c r="G123" s="16">
        <v>0.64219171985235102</v>
      </c>
      <c r="H123">
        <v>567</v>
      </c>
      <c r="I123" s="16">
        <v>0.63335054973467697</v>
      </c>
      <c r="J123">
        <v>567</v>
      </c>
      <c r="K123" s="16">
        <v>0.73230439329818098</v>
      </c>
      <c r="L123">
        <v>602</v>
      </c>
      <c r="M123" s="16">
        <v>0.68958996071725098</v>
      </c>
      <c r="N123" s="11">
        <v>602</v>
      </c>
    </row>
    <row r="124" spans="1:14" outlineLevel="1" x14ac:dyDescent="0.25">
      <c r="A124" s="6" t="s">
        <v>15</v>
      </c>
      <c r="B124" t="s">
        <v>124</v>
      </c>
      <c r="C124" s="16">
        <v>0.84234705997534598</v>
      </c>
      <c r="D124">
        <v>1938</v>
      </c>
      <c r="E124" s="16">
        <v>0.83046690985299099</v>
      </c>
      <c r="F124">
        <v>1938</v>
      </c>
      <c r="G124" s="16">
        <v>0.86637085483728105</v>
      </c>
      <c r="H124">
        <v>955</v>
      </c>
      <c r="I124" s="16">
        <v>0.85526060416875804</v>
      </c>
      <c r="J124">
        <v>955</v>
      </c>
      <c r="K124" s="16">
        <v>0.817821541208825</v>
      </c>
      <c r="L124">
        <v>982</v>
      </c>
      <c r="M124" s="16">
        <v>0.80515047271421103</v>
      </c>
      <c r="N124" s="11">
        <v>982</v>
      </c>
    </row>
    <row r="125" spans="1:14" outlineLevel="1" x14ac:dyDescent="0.25">
      <c r="A125" s="7" t="s">
        <v>15</v>
      </c>
      <c r="B125" s="9" t="s">
        <v>15</v>
      </c>
      <c r="C125" s="15">
        <v>0.39906142797689498</v>
      </c>
      <c r="D125" s="9">
        <v>41</v>
      </c>
      <c r="E125" s="15">
        <v>0.39718148134699299</v>
      </c>
      <c r="F125" s="9">
        <v>41</v>
      </c>
      <c r="G125" s="15"/>
      <c r="H125" s="9"/>
      <c r="I125" s="15"/>
      <c r="J125" s="9"/>
      <c r="K125" s="15"/>
      <c r="L125" s="9"/>
      <c r="M125" s="15"/>
      <c r="N125" s="12"/>
    </row>
    <row r="126" spans="1:14" x14ac:dyDescent="0.25">
      <c r="C126" s="16"/>
      <c r="E126" s="16"/>
      <c r="G126" s="16"/>
      <c r="I126" s="16"/>
      <c r="K126" s="16"/>
      <c r="M126" s="16"/>
    </row>
    <row r="127" spans="1:14" x14ac:dyDescent="0.25">
      <c r="A127" s="19" t="s">
        <v>125</v>
      </c>
      <c r="B127" s="19"/>
      <c r="C127" s="20"/>
      <c r="D127" s="19"/>
      <c r="E127" s="20"/>
      <c r="F127" s="19"/>
      <c r="G127" s="20"/>
      <c r="H127" s="19"/>
      <c r="I127" s="20"/>
      <c r="J127" s="19"/>
      <c r="K127" s="20"/>
      <c r="L127" s="19"/>
      <c r="M127" s="20"/>
      <c r="N127" s="19"/>
    </row>
    <row r="128" spans="1:14" outlineLevel="1" x14ac:dyDescent="0.25">
      <c r="A128" s="5" t="s">
        <v>15</v>
      </c>
      <c r="B128" s="8" t="s">
        <v>101</v>
      </c>
      <c r="C128" s="14"/>
      <c r="D128" s="8"/>
      <c r="E128" s="14"/>
      <c r="F128" s="8"/>
      <c r="G128" s="14">
        <v>0.34810611379204498</v>
      </c>
      <c r="H128" s="8">
        <v>9</v>
      </c>
      <c r="I128" s="14">
        <v>0.34810611379204498</v>
      </c>
      <c r="J128" s="8">
        <v>9</v>
      </c>
      <c r="K128" s="14">
        <v>0.79053327586581701</v>
      </c>
      <c r="L128" s="8">
        <v>19</v>
      </c>
      <c r="M128" s="14">
        <v>0.79053327586581701</v>
      </c>
      <c r="N128" s="10">
        <v>19</v>
      </c>
    </row>
    <row r="129" spans="1:14" outlineLevel="1" x14ac:dyDescent="0.25">
      <c r="A129" s="6" t="s">
        <v>15</v>
      </c>
      <c r="B129" t="s">
        <v>126</v>
      </c>
      <c r="C129" s="16">
        <v>0.63021104581673604</v>
      </c>
      <c r="D129">
        <v>421</v>
      </c>
      <c r="E129" s="16">
        <v>0.59905568250003005</v>
      </c>
      <c r="F129">
        <v>421</v>
      </c>
      <c r="G129" s="16">
        <v>0.55477728742041599</v>
      </c>
      <c r="H129">
        <v>207</v>
      </c>
      <c r="I129" s="16">
        <v>0.52600973587523103</v>
      </c>
      <c r="J129">
        <v>207</v>
      </c>
      <c r="K129" s="16">
        <v>0.70900561346748703</v>
      </c>
      <c r="L129">
        <v>214</v>
      </c>
      <c r="M129" s="16">
        <v>0.67535605391598597</v>
      </c>
      <c r="N129" s="11">
        <v>214</v>
      </c>
    </row>
    <row r="130" spans="1:14" outlineLevel="1" x14ac:dyDescent="0.25">
      <c r="A130" s="6" t="s">
        <v>15</v>
      </c>
      <c r="B130" t="s">
        <v>127</v>
      </c>
      <c r="C130" s="16">
        <v>0.74605987489803904</v>
      </c>
      <c r="D130">
        <v>437</v>
      </c>
      <c r="E130" s="16">
        <v>0.72895860395752299</v>
      </c>
      <c r="F130">
        <v>437</v>
      </c>
      <c r="G130" s="16">
        <v>0.69316308082495204</v>
      </c>
      <c r="H130">
        <v>220</v>
      </c>
      <c r="I130" s="16">
        <v>0.67873112337685904</v>
      </c>
      <c r="J130">
        <v>220</v>
      </c>
      <c r="K130" s="16">
        <v>0.81067784837651702</v>
      </c>
      <c r="L130">
        <v>216</v>
      </c>
      <c r="M130" s="16">
        <v>0.79028517301074197</v>
      </c>
      <c r="N130" s="11">
        <v>216</v>
      </c>
    </row>
    <row r="131" spans="1:14" outlineLevel="1" x14ac:dyDescent="0.25">
      <c r="A131" s="6" t="s">
        <v>15</v>
      </c>
      <c r="B131" t="s">
        <v>128</v>
      </c>
      <c r="C131" s="16">
        <v>0.88011018430364096</v>
      </c>
      <c r="D131">
        <v>1188</v>
      </c>
      <c r="E131" s="16">
        <v>0.86583018711263804</v>
      </c>
      <c r="F131">
        <v>1188</v>
      </c>
      <c r="G131" s="16">
        <v>0.89580601464501297</v>
      </c>
      <c r="H131">
        <v>589</v>
      </c>
      <c r="I131" s="16">
        <v>0.88598555586715</v>
      </c>
      <c r="J131">
        <v>589</v>
      </c>
      <c r="K131" s="16">
        <v>0.86363388539003605</v>
      </c>
      <c r="L131">
        <v>599</v>
      </c>
      <c r="M131" s="16">
        <v>0.84467260111108899</v>
      </c>
      <c r="N131" s="11">
        <v>599</v>
      </c>
    </row>
    <row r="132" spans="1:14" outlineLevel="1" x14ac:dyDescent="0.25">
      <c r="A132" s="6" t="s">
        <v>15</v>
      </c>
      <c r="B132" t="s">
        <v>129</v>
      </c>
      <c r="C132" s="16">
        <v>0.67411903498107695</v>
      </c>
      <c r="D132">
        <v>1336</v>
      </c>
      <c r="E132" s="16">
        <v>0.66429781283002498</v>
      </c>
      <c r="F132">
        <v>1336</v>
      </c>
      <c r="G132" s="16">
        <v>0.69812392041612004</v>
      </c>
      <c r="H132">
        <v>652</v>
      </c>
      <c r="I132" s="16">
        <v>0.68631391299353295</v>
      </c>
      <c r="J132">
        <v>652</v>
      </c>
      <c r="K132" s="16">
        <v>0.64999201995176004</v>
      </c>
      <c r="L132">
        <v>683</v>
      </c>
      <c r="M132" s="16">
        <v>0.64218931207708796</v>
      </c>
      <c r="N132" s="11">
        <v>683</v>
      </c>
    </row>
    <row r="133" spans="1:14" outlineLevel="1" x14ac:dyDescent="0.25">
      <c r="A133" s="7" t="s">
        <v>15</v>
      </c>
      <c r="B133" s="9" t="s">
        <v>15</v>
      </c>
      <c r="C133" s="15">
        <v>0.56681203511129397</v>
      </c>
      <c r="D133" s="9">
        <v>28</v>
      </c>
      <c r="E133" s="15">
        <v>0.56681203511129397</v>
      </c>
      <c r="F133" s="9">
        <v>28</v>
      </c>
      <c r="G133" s="15"/>
      <c r="H133" s="9"/>
      <c r="I133" s="15"/>
      <c r="J133" s="9"/>
      <c r="K133" s="15"/>
      <c r="L133" s="9"/>
      <c r="M133" s="15"/>
      <c r="N133" s="12"/>
    </row>
    <row r="134" spans="1:14" x14ac:dyDescent="0.25">
      <c r="C134" s="16"/>
      <c r="E134" s="16"/>
      <c r="G134" s="16"/>
      <c r="I134" s="16"/>
      <c r="K134" s="16"/>
      <c r="M134" s="16"/>
    </row>
    <row r="135" spans="1:14" x14ac:dyDescent="0.25">
      <c r="A135" s="19" t="s">
        <v>130</v>
      </c>
      <c r="B135" s="19"/>
      <c r="C135" s="20"/>
      <c r="D135" s="19"/>
      <c r="E135" s="20"/>
      <c r="F135" s="19"/>
      <c r="G135" s="20"/>
      <c r="H135" s="19"/>
      <c r="I135" s="20"/>
      <c r="J135" s="19"/>
      <c r="K135" s="20"/>
      <c r="L135" s="19"/>
      <c r="M135" s="20"/>
      <c r="N135" s="19"/>
    </row>
    <row r="136" spans="1:14" outlineLevel="1" x14ac:dyDescent="0.25">
      <c r="A136" s="5" t="s">
        <v>15</v>
      </c>
      <c r="B136" s="8" t="s">
        <v>101</v>
      </c>
      <c r="C136" s="14"/>
      <c r="D136" s="8"/>
      <c r="E136" s="14"/>
      <c r="F136" s="8"/>
      <c r="G136" s="14">
        <v>0.81540987481479699</v>
      </c>
      <c r="H136" s="8">
        <v>376</v>
      </c>
      <c r="I136" s="14">
        <v>0.81065181850173396</v>
      </c>
      <c r="J136" s="8">
        <v>376</v>
      </c>
      <c r="K136" s="14">
        <v>0.80476818929084704</v>
      </c>
      <c r="L136" s="8">
        <v>420</v>
      </c>
      <c r="M136" s="14">
        <v>0.78378191309816803</v>
      </c>
      <c r="N136" s="10">
        <v>420</v>
      </c>
    </row>
    <row r="137" spans="1:14" outlineLevel="1" x14ac:dyDescent="0.25">
      <c r="A137" s="6" t="s">
        <v>15</v>
      </c>
      <c r="B137" t="s">
        <v>131</v>
      </c>
      <c r="C137" s="16">
        <v>0.80949465271260002</v>
      </c>
      <c r="D137">
        <v>2573</v>
      </c>
      <c r="E137" s="16">
        <v>0.79435200403809403</v>
      </c>
      <c r="F137">
        <v>2573</v>
      </c>
      <c r="G137" s="16">
        <v>0.80819029423529898</v>
      </c>
      <c r="H137">
        <v>1284</v>
      </c>
      <c r="I137" s="16">
        <v>0.79444527828210698</v>
      </c>
      <c r="J137">
        <v>1284</v>
      </c>
      <c r="K137" s="16">
        <v>0.81106146338349105</v>
      </c>
      <c r="L137">
        <v>1287</v>
      </c>
      <c r="M137" s="16">
        <v>0.79433464613209304</v>
      </c>
      <c r="N137" s="11">
        <v>1287</v>
      </c>
    </row>
    <row r="138" spans="1:14" outlineLevel="1" x14ac:dyDescent="0.25">
      <c r="A138" s="6" t="s">
        <v>15</v>
      </c>
      <c r="B138" t="s">
        <v>132</v>
      </c>
      <c r="C138" s="16">
        <v>4.5376807081534298E-2</v>
      </c>
      <c r="D138">
        <v>41</v>
      </c>
      <c r="E138" s="16">
        <v>4.5376807081534298E-2</v>
      </c>
      <c r="F138">
        <v>41</v>
      </c>
      <c r="G138" s="16">
        <v>0.21373255952113701</v>
      </c>
      <c r="H138">
        <v>17</v>
      </c>
      <c r="I138" s="16">
        <v>0.21373255952113701</v>
      </c>
      <c r="J138">
        <v>17</v>
      </c>
      <c r="K138" s="16">
        <v>1.6019766445992002E-2</v>
      </c>
      <c r="L138">
        <v>24</v>
      </c>
      <c r="M138" s="16">
        <v>1.6019766445992002E-2</v>
      </c>
      <c r="N138" s="11">
        <v>24</v>
      </c>
    </row>
    <row r="139" spans="1:14" outlineLevel="1" x14ac:dyDescent="0.25">
      <c r="A139" s="7" t="s">
        <v>15</v>
      </c>
      <c r="B139" s="9" t="s">
        <v>15</v>
      </c>
      <c r="C139" s="15">
        <v>0.80966688359067696</v>
      </c>
      <c r="D139" s="9">
        <v>796</v>
      </c>
      <c r="E139" s="15">
        <v>0.79615095483889298</v>
      </c>
      <c r="F139" s="9">
        <v>796</v>
      </c>
      <c r="G139" s="15"/>
      <c r="H139" s="9"/>
      <c r="I139" s="15"/>
      <c r="J139" s="9"/>
      <c r="K139" s="15"/>
      <c r="L139" s="9"/>
      <c r="M139" s="15"/>
      <c r="N139" s="12"/>
    </row>
    <row r="140" spans="1:14" x14ac:dyDescent="0.25">
      <c r="C140" s="16"/>
      <c r="E140" s="16"/>
      <c r="G140" s="16"/>
      <c r="I140" s="16"/>
      <c r="K140" s="16"/>
      <c r="M140" s="16"/>
    </row>
    <row r="141" spans="1:14" x14ac:dyDescent="0.25">
      <c r="A141" s="19" t="s">
        <v>133</v>
      </c>
      <c r="B141" s="19"/>
      <c r="C141" s="20"/>
      <c r="D141" s="19"/>
      <c r="E141" s="20"/>
      <c r="F141" s="19"/>
      <c r="G141" s="20"/>
      <c r="H141" s="19"/>
      <c r="I141" s="20"/>
      <c r="J141" s="19"/>
      <c r="K141" s="20"/>
      <c r="L141" s="19"/>
      <c r="M141" s="20"/>
      <c r="N141" s="19"/>
    </row>
    <row r="142" spans="1:14" outlineLevel="1" x14ac:dyDescent="0.25">
      <c r="A142" s="5" t="s">
        <v>15</v>
      </c>
      <c r="B142" s="8" t="s">
        <v>101</v>
      </c>
      <c r="C142" s="14"/>
      <c r="D142" s="8"/>
      <c r="E142" s="14"/>
      <c r="F142" s="8"/>
      <c r="G142" s="14">
        <v>0.81540987481479699</v>
      </c>
      <c r="H142" s="8">
        <v>376</v>
      </c>
      <c r="I142" s="14">
        <v>0.81065181850173396</v>
      </c>
      <c r="J142" s="8">
        <v>376</v>
      </c>
      <c r="K142" s="14">
        <v>0.80476818929084704</v>
      </c>
      <c r="L142" s="8">
        <v>420</v>
      </c>
      <c r="M142" s="14">
        <v>0.78378191309816803</v>
      </c>
      <c r="N142" s="10">
        <v>420</v>
      </c>
    </row>
    <row r="143" spans="1:14" outlineLevel="1" x14ac:dyDescent="0.25">
      <c r="A143" s="6" t="s">
        <v>15</v>
      </c>
      <c r="B143" t="s">
        <v>131</v>
      </c>
      <c r="C143" s="16">
        <v>0.80867905438435905</v>
      </c>
      <c r="D143">
        <v>2508</v>
      </c>
      <c r="E143" s="16">
        <v>0.79337246868723499</v>
      </c>
      <c r="F143">
        <v>2508</v>
      </c>
      <c r="G143" s="16">
        <v>0.80720127718408996</v>
      </c>
      <c r="H143">
        <v>1250</v>
      </c>
      <c r="I143" s="16">
        <v>0.79324962057430703</v>
      </c>
      <c r="J143">
        <v>1250</v>
      </c>
      <c r="K143" s="16">
        <v>0.81042771411219106</v>
      </c>
      <c r="L143">
        <v>1256</v>
      </c>
      <c r="M143" s="16">
        <v>0.79359868142370904</v>
      </c>
      <c r="N143" s="11">
        <v>1256</v>
      </c>
    </row>
    <row r="144" spans="1:14" outlineLevel="1" x14ac:dyDescent="0.25">
      <c r="A144" s="6" t="s">
        <v>15</v>
      </c>
      <c r="B144" t="s">
        <v>132</v>
      </c>
      <c r="C144" s="16">
        <v>0.47097814870103699</v>
      </c>
      <c r="D144">
        <v>106</v>
      </c>
      <c r="E144" s="16">
        <v>0.47097814870103699</v>
      </c>
      <c r="F144">
        <v>106</v>
      </c>
      <c r="G144" s="16">
        <v>0.76543965964321103</v>
      </c>
      <c r="H144">
        <v>51</v>
      </c>
      <c r="I144" s="16">
        <v>0.76543965964321103</v>
      </c>
      <c r="J144">
        <v>51</v>
      </c>
      <c r="K144" s="16">
        <v>0.23458996951974001</v>
      </c>
      <c r="L144">
        <v>55</v>
      </c>
      <c r="M144" s="16">
        <v>0.23458996951974001</v>
      </c>
      <c r="N144" s="11">
        <v>55</v>
      </c>
    </row>
    <row r="145" spans="1:14" outlineLevel="1" x14ac:dyDescent="0.25">
      <c r="A145" s="7" t="s">
        <v>15</v>
      </c>
      <c r="B145" s="9" t="s">
        <v>15</v>
      </c>
      <c r="C145" s="15">
        <v>0.80966688359067696</v>
      </c>
      <c r="D145" s="9">
        <v>796</v>
      </c>
      <c r="E145" s="15">
        <v>0.79615095483889298</v>
      </c>
      <c r="F145" s="9">
        <v>796</v>
      </c>
      <c r="G145" s="15"/>
      <c r="H145" s="9"/>
      <c r="I145" s="15"/>
      <c r="J145" s="9"/>
      <c r="K145" s="15"/>
      <c r="L145" s="9"/>
      <c r="M145" s="15"/>
      <c r="N145" s="12"/>
    </row>
    <row r="146" spans="1:14" x14ac:dyDescent="0.25">
      <c r="C146" s="16"/>
      <c r="E146" s="16"/>
      <c r="G146" s="16"/>
      <c r="I146" s="16"/>
      <c r="K146" s="16"/>
      <c r="M146" s="16"/>
    </row>
    <row r="147" spans="1:14" x14ac:dyDescent="0.25">
      <c r="A147" s="19" t="s">
        <v>134</v>
      </c>
      <c r="B147" s="19"/>
      <c r="C147" s="20"/>
      <c r="D147" s="19"/>
      <c r="E147" s="20"/>
      <c r="F147" s="19"/>
      <c r="G147" s="20"/>
      <c r="H147" s="19"/>
      <c r="I147" s="20"/>
      <c r="J147" s="19"/>
      <c r="K147" s="20"/>
      <c r="L147" s="19"/>
      <c r="M147" s="20"/>
      <c r="N147" s="19"/>
    </row>
    <row r="148" spans="1:14" outlineLevel="1" x14ac:dyDescent="0.25">
      <c r="A148" s="5" t="s">
        <v>15</v>
      </c>
      <c r="B148" s="8" t="s">
        <v>135</v>
      </c>
      <c r="C148" s="14">
        <v>0.42796860153740701</v>
      </c>
      <c r="D148" s="8">
        <v>874</v>
      </c>
      <c r="E148" s="14">
        <v>0.40133682682677102</v>
      </c>
      <c r="F148" s="8">
        <v>874</v>
      </c>
      <c r="G148" s="14">
        <v>0.43802776147043798</v>
      </c>
      <c r="H148" s="8">
        <v>405</v>
      </c>
      <c r="I148" s="14">
        <v>0.40124916061183302</v>
      </c>
      <c r="J148" s="8">
        <v>405</v>
      </c>
      <c r="K148" s="14">
        <v>0.42017590540552702</v>
      </c>
      <c r="L148" s="8">
        <v>468</v>
      </c>
      <c r="M148" s="14">
        <v>0.40218325944245598</v>
      </c>
      <c r="N148" s="10">
        <v>468</v>
      </c>
    </row>
    <row r="149" spans="1:14" outlineLevel="1" x14ac:dyDescent="0.25">
      <c r="A149" s="6" t="s">
        <v>15</v>
      </c>
      <c r="B149" t="s">
        <v>136</v>
      </c>
      <c r="C149" s="16">
        <v>0.77636788748359498</v>
      </c>
      <c r="D149">
        <v>79</v>
      </c>
      <c r="E149" s="16">
        <v>0.70242406363671706</v>
      </c>
      <c r="F149">
        <v>79</v>
      </c>
      <c r="G149" s="16">
        <v>0.79376802936698798</v>
      </c>
      <c r="H149">
        <v>33</v>
      </c>
      <c r="I149" s="16">
        <v>0.71799055533719303</v>
      </c>
      <c r="J149">
        <v>33</v>
      </c>
      <c r="K149" s="16">
        <v>0.75848300348679498</v>
      </c>
      <c r="L149">
        <v>45</v>
      </c>
      <c r="M149" s="16">
        <v>0.68462250654386103</v>
      </c>
      <c r="N149" s="11">
        <v>45</v>
      </c>
    </row>
    <row r="150" spans="1:14" outlineLevel="1" x14ac:dyDescent="0.25">
      <c r="A150" s="6" t="s">
        <v>15</v>
      </c>
      <c r="B150" t="s">
        <v>137</v>
      </c>
      <c r="C150" s="16">
        <v>0.34653465346534701</v>
      </c>
      <c r="D150">
        <v>101</v>
      </c>
      <c r="E150" s="16">
        <v>0.34653465346534701</v>
      </c>
      <c r="F150">
        <v>101</v>
      </c>
      <c r="G150" s="16">
        <v>0.5</v>
      </c>
      <c r="H150">
        <v>50</v>
      </c>
      <c r="I150" s="16">
        <v>0.5</v>
      </c>
      <c r="J150">
        <v>50</v>
      </c>
      <c r="K150" s="16">
        <v>0.19607843137254899</v>
      </c>
      <c r="L150">
        <v>51</v>
      </c>
      <c r="M150" s="16">
        <v>0.19607843137254899</v>
      </c>
      <c r="N150" s="11">
        <v>51</v>
      </c>
    </row>
    <row r="151" spans="1:14" outlineLevel="1" x14ac:dyDescent="0.25">
      <c r="A151" s="6" t="s">
        <v>15</v>
      </c>
      <c r="B151" t="s">
        <v>138</v>
      </c>
      <c r="C151" s="16">
        <v>0.52380952380952395</v>
      </c>
      <c r="D151">
        <v>42</v>
      </c>
      <c r="E151" s="16">
        <v>0.52380952380952395</v>
      </c>
      <c r="F151">
        <v>42</v>
      </c>
      <c r="G151" s="16">
        <v>0.5</v>
      </c>
      <c r="H151">
        <v>22</v>
      </c>
      <c r="I151" s="16">
        <v>0.5</v>
      </c>
      <c r="J151">
        <v>22</v>
      </c>
      <c r="K151" s="16">
        <v>0.55000000000000004</v>
      </c>
      <c r="L151">
        <v>20</v>
      </c>
      <c r="M151" s="16">
        <v>0.55000000000000004</v>
      </c>
      <c r="N151" s="11">
        <v>20</v>
      </c>
    </row>
    <row r="152" spans="1:14" outlineLevel="1" x14ac:dyDescent="0.25">
      <c r="A152" s="6" t="s">
        <v>15</v>
      </c>
      <c r="B152" t="s">
        <v>139</v>
      </c>
      <c r="C152" s="16">
        <v>0.47852499469355297</v>
      </c>
      <c r="D152">
        <v>437</v>
      </c>
      <c r="E152" s="16">
        <v>0.46356083072753301</v>
      </c>
      <c r="F152">
        <v>437</v>
      </c>
      <c r="G152" s="16">
        <v>0.512632840206101</v>
      </c>
      <c r="H152">
        <v>230</v>
      </c>
      <c r="I152" s="16">
        <v>0.49610864592982601</v>
      </c>
      <c r="J152">
        <v>230</v>
      </c>
      <c r="K152" s="16">
        <v>0.44137880622471398</v>
      </c>
      <c r="L152">
        <v>207</v>
      </c>
      <c r="M152" s="16">
        <v>0.42811364080436798</v>
      </c>
      <c r="N152" s="11">
        <v>207</v>
      </c>
    </row>
    <row r="153" spans="1:14" outlineLevel="1" x14ac:dyDescent="0.25">
      <c r="A153" s="6" t="s">
        <v>15</v>
      </c>
      <c r="B153" t="s">
        <v>140</v>
      </c>
      <c r="C153" s="16">
        <v>0.92236291237871204</v>
      </c>
      <c r="D153">
        <v>1070</v>
      </c>
      <c r="E153" s="16">
        <v>0.90845341877954999</v>
      </c>
      <c r="F153">
        <v>1070</v>
      </c>
      <c r="G153" s="16">
        <v>0.91530377828643406</v>
      </c>
      <c r="H153">
        <v>543</v>
      </c>
      <c r="I153" s="16">
        <v>0.90592989518047895</v>
      </c>
      <c r="J153">
        <v>543</v>
      </c>
      <c r="K153" s="16">
        <v>0.92984179706137204</v>
      </c>
      <c r="L153">
        <v>527</v>
      </c>
      <c r="M153" s="16">
        <v>0.91112699626720195</v>
      </c>
      <c r="N153" s="11">
        <v>527</v>
      </c>
    </row>
    <row r="154" spans="1:14" outlineLevel="1" x14ac:dyDescent="0.25">
      <c r="A154" s="6" t="s">
        <v>15</v>
      </c>
      <c r="B154" t="s">
        <v>141</v>
      </c>
      <c r="C154" s="16">
        <v>0.43193675087913902</v>
      </c>
      <c r="D154">
        <v>714</v>
      </c>
      <c r="E154" s="16">
        <v>0.42264534034561801</v>
      </c>
      <c r="F154">
        <v>714</v>
      </c>
      <c r="G154" s="16">
        <v>0.453301284650235</v>
      </c>
      <c r="H154">
        <v>345</v>
      </c>
      <c r="I154" s="16">
        <v>0.44376715071489398</v>
      </c>
      <c r="J154">
        <v>345</v>
      </c>
      <c r="K154" s="16">
        <v>0.413304986038317</v>
      </c>
      <c r="L154">
        <v>369</v>
      </c>
      <c r="M154" s="16">
        <v>0.40422525179937602</v>
      </c>
      <c r="N154" s="11">
        <v>369</v>
      </c>
    </row>
    <row r="155" spans="1:14" outlineLevel="1" x14ac:dyDescent="0.25">
      <c r="A155" s="7" t="s">
        <v>15</v>
      </c>
      <c r="B155" s="9" t="s">
        <v>142</v>
      </c>
      <c r="C155" s="15">
        <v>0.85846073234568898</v>
      </c>
      <c r="D155" s="9">
        <v>93</v>
      </c>
      <c r="E155" s="15">
        <v>0.78282852940671899</v>
      </c>
      <c r="F155" s="9">
        <v>93</v>
      </c>
      <c r="G155" s="15">
        <v>0.90521643334458102</v>
      </c>
      <c r="H155" s="9">
        <v>49</v>
      </c>
      <c r="I155" s="15">
        <v>0.79237229737199499</v>
      </c>
      <c r="J155" s="9">
        <v>49</v>
      </c>
      <c r="K155" s="15">
        <v>0.76515806414235898</v>
      </c>
      <c r="L155" s="9">
        <v>44</v>
      </c>
      <c r="M155" s="15">
        <v>0.76378360019274205</v>
      </c>
      <c r="N155" s="12">
        <v>44</v>
      </c>
    </row>
    <row r="156" spans="1:14" x14ac:dyDescent="0.25">
      <c r="C156" s="16"/>
      <c r="E156" s="16"/>
      <c r="G156" s="16"/>
      <c r="I156" s="16"/>
      <c r="K156" s="16"/>
      <c r="M156" s="16"/>
    </row>
    <row r="157" spans="1:14" x14ac:dyDescent="0.25">
      <c r="A157" s="19" t="s">
        <v>143</v>
      </c>
      <c r="B157" s="19"/>
      <c r="C157" s="20"/>
      <c r="D157" s="19"/>
      <c r="E157" s="20"/>
      <c r="F157" s="19"/>
      <c r="G157" s="20"/>
      <c r="H157" s="19"/>
      <c r="I157" s="20"/>
      <c r="J157" s="19"/>
      <c r="K157" s="20"/>
      <c r="L157" s="19"/>
      <c r="M157" s="20"/>
      <c r="N157" s="19"/>
    </row>
    <row r="158" spans="1:14" outlineLevel="1" x14ac:dyDescent="0.25">
      <c r="A158" s="5" t="s">
        <v>15</v>
      </c>
      <c r="B158" s="8" t="s">
        <v>144</v>
      </c>
      <c r="C158" s="14">
        <v>0.32926024221090699</v>
      </c>
      <c r="D158" s="8">
        <v>209</v>
      </c>
      <c r="E158" s="14">
        <v>0.32733641502190602</v>
      </c>
      <c r="F158" s="8">
        <v>209</v>
      </c>
      <c r="G158" s="14">
        <v>0.332380536197038</v>
      </c>
      <c r="H158" s="8">
        <v>86</v>
      </c>
      <c r="I158" s="14">
        <v>0.32787432608866302</v>
      </c>
      <c r="J158" s="8">
        <v>86</v>
      </c>
      <c r="K158" s="14">
        <v>0.32693568129348499</v>
      </c>
      <c r="L158" s="8">
        <v>123</v>
      </c>
      <c r="M158" s="14">
        <v>0.32693568129348499</v>
      </c>
      <c r="N158" s="10">
        <v>123</v>
      </c>
    </row>
    <row r="159" spans="1:14" outlineLevel="1" x14ac:dyDescent="0.25">
      <c r="A159" s="6" t="s">
        <v>15</v>
      </c>
      <c r="B159" t="s">
        <v>145</v>
      </c>
      <c r="C159" s="16">
        <v>0.485013103755699</v>
      </c>
      <c r="D159">
        <v>744</v>
      </c>
      <c r="E159" s="16">
        <v>0.44718698285752501</v>
      </c>
      <c r="F159">
        <v>744</v>
      </c>
      <c r="G159" s="16">
        <v>0.492944159418857</v>
      </c>
      <c r="H159">
        <v>352</v>
      </c>
      <c r="I159" s="16">
        <v>0.44440479121040599</v>
      </c>
      <c r="J159">
        <v>352</v>
      </c>
      <c r="K159" s="16">
        <v>0.478366229902496</v>
      </c>
      <c r="L159">
        <v>390</v>
      </c>
      <c r="M159" s="16">
        <v>0.44990590446571199</v>
      </c>
      <c r="N159" s="11">
        <v>390</v>
      </c>
    </row>
    <row r="160" spans="1:14" outlineLevel="1" x14ac:dyDescent="0.25">
      <c r="A160" s="6" t="s">
        <v>15</v>
      </c>
      <c r="B160" t="s">
        <v>146</v>
      </c>
      <c r="C160" s="16">
        <v>0.45192307692307698</v>
      </c>
      <c r="D160">
        <v>104</v>
      </c>
      <c r="E160" s="16">
        <v>0.45192307692307698</v>
      </c>
      <c r="F160">
        <v>104</v>
      </c>
      <c r="G160" s="16">
        <v>0.58490566037735903</v>
      </c>
      <c r="H160">
        <v>53</v>
      </c>
      <c r="I160" s="16">
        <v>0.58490566037735903</v>
      </c>
      <c r="J160">
        <v>53</v>
      </c>
      <c r="K160" s="16">
        <v>0.31372549019607798</v>
      </c>
      <c r="L160">
        <v>51</v>
      </c>
      <c r="M160" s="16">
        <v>0.31372549019607798</v>
      </c>
      <c r="N160" s="11">
        <v>51</v>
      </c>
    </row>
    <row r="161" spans="1:14" outlineLevel="1" x14ac:dyDescent="0.25">
      <c r="A161" s="6" t="s">
        <v>15</v>
      </c>
      <c r="B161" t="s">
        <v>147</v>
      </c>
      <c r="C161" s="16">
        <v>0.256410256410256</v>
      </c>
      <c r="D161">
        <v>39</v>
      </c>
      <c r="E161" s="16">
        <v>0.256410256410256</v>
      </c>
      <c r="F161">
        <v>39</v>
      </c>
      <c r="G161" s="16">
        <v>0.26315789473684198</v>
      </c>
      <c r="H161">
        <v>19</v>
      </c>
      <c r="I161" s="16">
        <v>0.26315789473684198</v>
      </c>
      <c r="J161">
        <v>19</v>
      </c>
      <c r="K161" s="16">
        <v>0.25</v>
      </c>
      <c r="L161">
        <v>20</v>
      </c>
      <c r="M161" s="16">
        <v>0.25</v>
      </c>
      <c r="N161" s="11">
        <v>20</v>
      </c>
    </row>
    <row r="162" spans="1:14" outlineLevel="1" x14ac:dyDescent="0.25">
      <c r="A162" s="6" t="s">
        <v>15</v>
      </c>
      <c r="B162" t="s">
        <v>148</v>
      </c>
      <c r="C162" s="16">
        <v>0.84019192594342096</v>
      </c>
      <c r="D162">
        <v>385</v>
      </c>
      <c r="E162" s="16">
        <v>0.83040193470881996</v>
      </c>
      <c r="F162">
        <v>385</v>
      </c>
      <c r="G162" s="16">
        <v>0.79535418515852996</v>
      </c>
      <c r="H162">
        <v>196</v>
      </c>
      <c r="I162" s="16">
        <v>0.78071024584097404</v>
      </c>
      <c r="J162">
        <v>196</v>
      </c>
      <c r="K162" s="16">
        <v>0.88983871144784499</v>
      </c>
      <c r="L162">
        <v>189</v>
      </c>
      <c r="M162" s="16">
        <v>0.88542327555670397</v>
      </c>
      <c r="N162" s="11">
        <v>189</v>
      </c>
    </row>
    <row r="163" spans="1:14" outlineLevel="1" x14ac:dyDescent="0.25">
      <c r="A163" s="6" t="s">
        <v>15</v>
      </c>
      <c r="B163" t="s">
        <v>149</v>
      </c>
      <c r="C163" s="16">
        <v>0.82811943895608198</v>
      </c>
      <c r="D163">
        <v>1122</v>
      </c>
      <c r="E163" s="16">
        <v>0.81276897264708503</v>
      </c>
      <c r="F163">
        <v>1122</v>
      </c>
      <c r="G163" s="16">
        <v>0.84172211622403403</v>
      </c>
      <c r="H163">
        <v>577</v>
      </c>
      <c r="I163" s="16">
        <v>0.83194855012804503</v>
      </c>
      <c r="J163">
        <v>577</v>
      </c>
      <c r="K163" s="16">
        <v>0.81378185676653803</v>
      </c>
      <c r="L163">
        <v>545</v>
      </c>
      <c r="M163" s="16">
        <v>0.79255318989512302</v>
      </c>
      <c r="N163" s="11">
        <v>545</v>
      </c>
    </row>
    <row r="164" spans="1:14" outlineLevel="1" x14ac:dyDescent="0.25">
      <c r="A164" s="6" t="s">
        <v>15</v>
      </c>
      <c r="B164" t="s">
        <v>150</v>
      </c>
      <c r="C164" s="16">
        <v>0.55220683732077103</v>
      </c>
      <c r="D164">
        <v>238</v>
      </c>
      <c r="E164" s="16">
        <v>0.51418108201915302</v>
      </c>
      <c r="F164">
        <v>238</v>
      </c>
      <c r="G164" s="16">
        <v>0.609709604409855</v>
      </c>
      <c r="H164">
        <v>125</v>
      </c>
      <c r="I164" s="16">
        <v>0.55093223263916702</v>
      </c>
      <c r="J164">
        <v>125</v>
      </c>
      <c r="K164" s="16">
        <v>0.48885721024601497</v>
      </c>
      <c r="L164">
        <v>113</v>
      </c>
      <c r="M164" s="16">
        <v>0.47369308806332799</v>
      </c>
      <c r="N164" s="11">
        <v>113</v>
      </c>
    </row>
    <row r="165" spans="1:14" outlineLevel="1" x14ac:dyDescent="0.25">
      <c r="A165" s="7" t="s">
        <v>15</v>
      </c>
      <c r="B165" s="9" t="s">
        <v>151</v>
      </c>
      <c r="C165" s="15">
        <v>0.43483183621736299</v>
      </c>
      <c r="D165" s="9">
        <v>569</v>
      </c>
      <c r="E165" s="15">
        <v>0.42861549245368802</v>
      </c>
      <c r="F165" s="9">
        <v>569</v>
      </c>
      <c r="G165" s="15">
        <v>0.45986819075263302</v>
      </c>
      <c r="H165" s="9">
        <v>269</v>
      </c>
      <c r="I165" s="15">
        <v>0.45416042654332001</v>
      </c>
      <c r="J165" s="9">
        <v>269</v>
      </c>
      <c r="K165" s="15">
        <v>0.41293601018049703</v>
      </c>
      <c r="L165" s="9">
        <v>300</v>
      </c>
      <c r="M165" s="15">
        <v>0.40627488243548998</v>
      </c>
      <c r="N165" s="12">
        <v>300</v>
      </c>
    </row>
    <row r="166" spans="1:14" x14ac:dyDescent="0.25">
      <c r="C166" s="16"/>
      <c r="E166" s="16"/>
      <c r="G166" s="16"/>
      <c r="I166" s="16"/>
      <c r="K166" s="16"/>
      <c r="M166" s="16"/>
    </row>
    <row r="167" spans="1:14" x14ac:dyDescent="0.25">
      <c r="A167" s="19" t="s">
        <v>152</v>
      </c>
      <c r="B167" s="19"/>
      <c r="C167" s="20"/>
      <c r="D167" s="19"/>
      <c r="E167" s="20"/>
      <c r="F167" s="19"/>
      <c r="G167" s="20"/>
      <c r="H167" s="19"/>
      <c r="I167" s="20"/>
      <c r="J167" s="19"/>
      <c r="K167" s="20"/>
      <c r="L167" s="19"/>
      <c r="M167" s="20"/>
      <c r="N167" s="19"/>
    </row>
    <row r="168" spans="1:14" outlineLevel="1" x14ac:dyDescent="0.25">
      <c r="A168" s="5" t="s">
        <v>15</v>
      </c>
      <c r="B168" s="8" t="s">
        <v>186</v>
      </c>
      <c r="C168" s="14">
        <v>0.44860927594354499</v>
      </c>
      <c r="D168" s="8">
        <v>953</v>
      </c>
      <c r="E168" s="14">
        <v>0.41917453164858198</v>
      </c>
      <c r="F168" s="8">
        <v>953</v>
      </c>
      <c r="G168" s="14"/>
      <c r="H168" s="8"/>
      <c r="I168" s="14"/>
      <c r="J168" s="8"/>
      <c r="K168" s="14"/>
      <c r="L168" s="8"/>
      <c r="M168" s="14"/>
      <c r="N168" s="10"/>
    </row>
    <row r="169" spans="1:14" outlineLevel="1" x14ac:dyDescent="0.25">
      <c r="A169" s="6" t="s">
        <v>15</v>
      </c>
      <c r="B169" t="s">
        <v>187</v>
      </c>
      <c r="C169" s="16">
        <v>0.39860139860139898</v>
      </c>
      <c r="D169">
        <v>143</v>
      </c>
      <c r="E169" s="16">
        <v>0.39860139860139898</v>
      </c>
      <c r="F169">
        <v>143</v>
      </c>
      <c r="G169" s="16"/>
      <c r="I169" s="16"/>
      <c r="K169" s="16"/>
      <c r="M169" s="16"/>
      <c r="N169" s="11"/>
    </row>
    <row r="170" spans="1:14" outlineLevel="1" x14ac:dyDescent="0.25">
      <c r="A170" s="6" t="s">
        <v>15</v>
      </c>
      <c r="B170" t="s">
        <v>188</v>
      </c>
      <c r="C170" s="16">
        <v>0.83077545860927504</v>
      </c>
      <c r="D170">
        <v>1507</v>
      </c>
      <c r="E170" s="16">
        <v>0.81664833021683003</v>
      </c>
      <c r="F170">
        <v>1507</v>
      </c>
      <c r="G170" s="16"/>
      <c r="I170" s="16"/>
      <c r="K170" s="16"/>
      <c r="M170" s="16"/>
      <c r="N170" s="11"/>
    </row>
    <row r="171" spans="1:14" outlineLevel="1" x14ac:dyDescent="0.25">
      <c r="A171" s="6" t="s">
        <v>15</v>
      </c>
      <c r="B171" t="s">
        <v>189</v>
      </c>
      <c r="C171" s="16">
        <v>0.46536280137505198</v>
      </c>
      <c r="D171">
        <v>807</v>
      </c>
      <c r="E171" s="16">
        <v>0.45087236154132998</v>
      </c>
      <c r="F171">
        <v>807</v>
      </c>
      <c r="G171" s="16"/>
      <c r="I171" s="16"/>
      <c r="K171" s="16"/>
      <c r="M171" s="16"/>
      <c r="N171" s="11"/>
    </row>
    <row r="172" spans="1:14" outlineLevel="1" x14ac:dyDescent="0.25">
      <c r="A172" s="6" t="s">
        <v>15</v>
      </c>
      <c r="B172" t="s">
        <v>190</v>
      </c>
      <c r="C172" s="16">
        <v>0.44073359475853802</v>
      </c>
      <c r="D172">
        <v>513</v>
      </c>
      <c r="E172" s="16">
        <v>0.41934606310794098</v>
      </c>
      <c r="F172">
        <v>513</v>
      </c>
      <c r="G172" s="16"/>
      <c r="I172" s="16"/>
      <c r="K172" s="16"/>
      <c r="M172" s="16"/>
      <c r="N172" s="11"/>
    </row>
    <row r="173" spans="1:14" outlineLevel="1" x14ac:dyDescent="0.25">
      <c r="A173" s="6" t="s">
        <v>15</v>
      </c>
      <c r="B173" t="s">
        <v>191</v>
      </c>
      <c r="C173" s="16">
        <v>0.45807207449612503</v>
      </c>
      <c r="D173">
        <v>438</v>
      </c>
      <c r="E173" s="16">
        <v>0.41909606813683098</v>
      </c>
      <c r="F173">
        <v>438</v>
      </c>
      <c r="G173" s="16"/>
      <c r="I173" s="16"/>
      <c r="K173" s="16"/>
      <c r="M173" s="16"/>
      <c r="N173" s="11"/>
    </row>
    <row r="174" spans="1:14" outlineLevel="1" x14ac:dyDescent="0.25">
      <c r="A174" s="6" t="s">
        <v>15</v>
      </c>
      <c r="B174" t="s">
        <v>200</v>
      </c>
      <c r="C174" s="16">
        <v>1</v>
      </c>
      <c r="D174">
        <v>1</v>
      </c>
      <c r="E174" s="16">
        <v>1</v>
      </c>
      <c r="F174">
        <v>1</v>
      </c>
      <c r="G174" s="16"/>
      <c r="I174" s="16"/>
      <c r="K174" s="16"/>
      <c r="M174" s="16"/>
      <c r="N174" s="11"/>
    </row>
    <row r="175" spans="1:14" outlineLevel="1" x14ac:dyDescent="0.25">
      <c r="A175" s="6" t="s">
        <v>15</v>
      </c>
      <c r="B175" t="s">
        <v>192</v>
      </c>
      <c r="C175" s="16">
        <v>0.29577464788732399</v>
      </c>
      <c r="D175">
        <v>71</v>
      </c>
      <c r="E175" s="16">
        <v>0.29577464788732399</v>
      </c>
      <c r="F175">
        <v>71</v>
      </c>
      <c r="G175" s="16"/>
      <c r="I175" s="16"/>
      <c r="K175" s="16"/>
      <c r="M175" s="16"/>
      <c r="N175" s="11"/>
    </row>
    <row r="176" spans="1:14" outlineLevel="1" x14ac:dyDescent="0.25">
      <c r="A176" s="6" t="s">
        <v>15</v>
      </c>
      <c r="B176" t="s">
        <v>193</v>
      </c>
      <c r="C176" s="16">
        <v>0.5</v>
      </c>
      <c r="D176">
        <v>72</v>
      </c>
      <c r="E176" s="16">
        <v>0.5</v>
      </c>
      <c r="F176">
        <v>72</v>
      </c>
      <c r="G176" s="16"/>
      <c r="I176" s="16"/>
      <c r="K176" s="16"/>
      <c r="M176" s="16"/>
      <c r="N176" s="11"/>
    </row>
    <row r="177" spans="1:14" outlineLevel="1" x14ac:dyDescent="0.25">
      <c r="A177" s="6" t="s">
        <v>15</v>
      </c>
      <c r="B177" t="s">
        <v>194</v>
      </c>
      <c r="C177" s="16">
        <v>0.83018330393040896</v>
      </c>
      <c r="D177">
        <v>734</v>
      </c>
      <c r="E177" s="16">
        <v>0.81258036311264803</v>
      </c>
      <c r="F177">
        <v>734</v>
      </c>
      <c r="G177" s="16"/>
      <c r="I177" s="16"/>
      <c r="K177" s="16"/>
      <c r="M177" s="16"/>
      <c r="N177" s="11"/>
    </row>
    <row r="178" spans="1:14" outlineLevel="1" x14ac:dyDescent="0.25">
      <c r="A178" s="6" t="s">
        <v>15</v>
      </c>
      <c r="B178" t="s">
        <v>195</v>
      </c>
      <c r="C178" s="16">
        <v>0.83133120889935597</v>
      </c>
      <c r="D178">
        <v>773</v>
      </c>
      <c r="E178" s="16">
        <v>0.82046620750274002</v>
      </c>
      <c r="F178">
        <v>773</v>
      </c>
      <c r="G178" s="16"/>
      <c r="I178" s="16"/>
      <c r="K178" s="16"/>
      <c r="M178" s="16"/>
      <c r="N178" s="11"/>
    </row>
    <row r="179" spans="1:14" outlineLevel="1" x14ac:dyDescent="0.25">
      <c r="A179" s="6" t="s">
        <v>15</v>
      </c>
      <c r="B179" t="s">
        <v>196</v>
      </c>
      <c r="C179" s="16">
        <v>0.431059578339411</v>
      </c>
      <c r="D179">
        <v>413</v>
      </c>
      <c r="E179" s="16">
        <v>0.422368653922154</v>
      </c>
      <c r="F179">
        <v>413</v>
      </c>
      <c r="G179" s="16"/>
      <c r="I179" s="16"/>
      <c r="K179" s="16"/>
      <c r="M179" s="16"/>
      <c r="N179" s="11"/>
    </row>
    <row r="180" spans="1:14" outlineLevel="1" x14ac:dyDescent="0.25">
      <c r="A180" s="7" t="s">
        <v>15</v>
      </c>
      <c r="B180" s="9" t="s">
        <v>197</v>
      </c>
      <c r="C180" s="15">
        <v>0.50229651969928801</v>
      </c>
      <c r="D180" s="9">
        <v>394</v>
      </c>
      <c r="E180" s="15">
        <v>0.48156183661803498</v>
      </c>
      <c r="F180" s="9">
        <v>394</v>
      </c>
      <c r="G180" s="15"/>
      <c r="H180" s="9"/>
      <c r="I180" s="15"/>
      <c r="J180" s="9"/>
      <c r="K180" s="15"/>
      <c r="L180" s="9"/>
      <c r="M180" s="15"/>
      <c r="N180" s="12"/>
    </row>
    <row r="181" spans="1:14" x14ac:dyDescent="0.25">
      <c r="C181" s="16"/>
      <c r="E181" s="16"/>
      <c r="G181" s="16"/>
      <c r="I181" s="16"/>
      <c r="K181" s="16"/>
      <c r="M181" s="16"/>
    </row>
    <row r="182" spans="1:14" x14ac:dyDescent="0.25">
      <c r="C182" s="16"/>
      <c r="E182" s="16"/>
      <c r="G182" s="16"/>
      <c r="I182" s="16"/>
      <c r="K182" s="16"/>
      <c r="M182" s="16"/>
    </row>
  </sheetData>
  <mergeCells count="28">
    <mergeCell ref="A135:N135"/>
    <mergeCell ref="A141:N141"/>
    <mergeCell ref="A147:N147"/>
    <mergeCell ref="A157:N157"/>
    <mergeCell ref="A167:N167"/>
    <mergeCell ref="A90:N90"/>
    <mergeCell ref="A96:N96"/>
    <mergeCell ref="A113:N113"/>
    <mergeCell ref="A120:N120"/>
    <mergeCell ref="A127:N127"/>
    <mergeCell ref="A6:N6"/>
    <mergeCell ref="A9:N9"/>
    <mergeCell ref="A29:N29"/>
    <mergeCell ref="A74:N74"/>
    <mergeCell ref="A80:N80"/>
    <mergeCell ref="E4:F4"/>
    <mergeCell ref="C4:D4"/>
    <mergeCell ref="I4:J4"/>
    <mergeCell ref="G4:H4"/>
    <mergeCell ref="M4:N4"/>
    <mergeCell ref="K4:L4"/>
    <mergeCell ref="A1:N1"/>
    <mergeCell ref="C2:F2"/>
    <mergeCell ref="G2:J2"/>
    <mergeCell ref="K2:N2"/>
    <mergeCell ref="E3:F3"/>
    <mergeCell ref="I3:J3"/>
    <mergeCell ref="M3:N3"/>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81"/>
  <sheetViews>
    <sheetView showGridLines="0" workbookViewId="0">
      <selection sqref="A1:N1"/>
    </sheetView>
  </sheetViews>
  <sheetFormatPr defaultColWidth="11.42578125" defaultRowHeight="15" outlineLevelRow="1" x14ac:dyDescent="0.25"/>
  <sheetData>
    <row r="1" spans="1:14" x14ac:dyDescent="0.25">
      <c r="A1" s="18" t="s">
        <v>201</v>
      </c>
      <c r="B1" s="18"/>
      <c r="C1" s="18"/>
      <c r="D1" s="18"/>
      <c r="E1" s="18"/>
      <c r="F1" s="18"/>
      <c r="G1" s="18"/>
      <c r="H1" s="18"/>
      <c r="I1" s="18"/>
      <c r="J1" s="18"/>
      <c r="K1" s="18"/>
      <c r="L1" s="18"/>
      <c r="M1" s="18"/>
      <c r="N1" s="18"/>
    </row>
    <row r="2" spans="1:14" x14ac:dyDescent="0.25">
      <c r="C2" s="19" t="s">
        <v>2</v>
      </c>
      <c r="D2" s="19"/>
      <c r="E2" s="19"/>
      <c r="F2" s="19"/>
      <c r="G2" s="19" t="s">
        <v>3</v>
      </c>
      <c r="H2" s="19"/>
      <c r="I2" s="19"/>
      <c r="J2" s="19"/>
      <c r="K2" s="19" t="s">
        <v>4</v>
      </c>
      <c r="L2" s="19"/>
      <c r="M2" s="19"/>
      <c r="N2" s="19"/>
    </row>
    <row r="3" spans="1:14" x14ac:dyDescent="0.25">
      <c r="E3" s="19" t="s">
        <v>183</v>
      </c>
      <c r="F3" s="19"/>
      <c r="I3" s="19" t="s">
        <v>183</v>
      </c>
      <c r="J3" s="19"/>
      <c r="M3" s="19" t="s">
        <v>183</v>
      </c>
      <c r="N3" s="19"/>
    </row>
    <row r="4" spans="1:14" x14ac:dyDescent="0.25">
      <c r="C4" s="19" t="s">
        <v>10</v>
      </c>
      <c r="D4" s="19"/>
      <c r="E4" s="19" t="s">
        <v>202</v>
      </c>
      <c r="F4" s="19"/>
      <c r="G4" s="19" t="s">
        <v>10</v>
      </c>
      <c r="H4" s="19"/>
      <c r="I4" s="19" t="s">
        <v>202</v>
      </c>
      <c r="J4" s="19"/>
      <c r="K4" s="19" t="s">
        <v>10</v>
      </c>
      <c r="L4" s="19"/>
      <c r="M4" s="19" t="s">
        <v>202</v>
      </c>
      <c r="N4" s="19"/>
    </row>
    <row r="5" spans="1:14" x14ac:dyDescent="0.25">
      <c r="A5" s="1" t="s">
        <v>11</v>
      </c>
      <c r="B5" s="1" t="s">
        <v>12</v>
      </c>
      <c r="C5" s="1" t="s">
        <v>13</v>
      </c>
      <c r="D5" s="1" t="s">
        <v>14</v>
      </c>
      <c r="E5" s="1" t="s">
        <v>13</v>
      </c>
      <c r="F5" s="1" t="s">
        <v>14</v>
      </c>
      <c r="G5" s="1" t="s">
        <v>13</v>
      </c>
      <c r="H5" s="1" t="s">
        <v>14</v>
      </c>
      <c r="I5" s="1" t="s">
        <v>13</v>
      </c>
      <c r="J5" s="1" t="s">
        <v>14</v>
      </c>
      <c r="K5" s="1" t="s">
        <v>13</v>
      </c>
      <c r="L5" s="1" t="s">
        <v>14</v>
      </c>
      <c r="M5" s="1" t="s">
        <v>13</v>
      </c>
      <c r="N5" s="1" t="s">
        <v>14</v>
      </c>
    </row>
    <row r="6" spans="1:14" x14ac:dyDescent="0.25">
      <c r="A6" s="19" t="s">
        <v>16</v>
      </c>
      <c r="B6" s="19"/>
      <c r="C6" s="20"/>
      <c r="D6" s="19"/>
      <c r="E6" s="20"/>
      <c r="F6" s="19"/>
      <c r="G6" s="20"/>
      <c r="H6" s="19"/>
      <c r="I6" s="20"/>
      <c r="J6" s="19"/>
      <c r="K6" s="20"/>
      <c r="L6" s="19"/>
      <c r="M6" s="20"/>
      <c r="N6" s="19"/>
    </row>
    <row r="7" spans="1:14" outlineLevel="1" x14ac:dyDescent="0.25">
      <c r="A7" s="2" t="s">
        <v>15</v>
      </c>
      <c r="B7" s="3" t="s">
        <v>19</v>
      </c>
      <c r="C7" s="13">
        <v>0.73077644380235696</v>
      </c>
      <c r="D7" s="3">
        <v>2775</v>
      </c>
      <c r="E7" s="13">
        <v>0.53863593131793697</v>
      </c>
      <c r="F7" s="3">
        <v>2775</v>
      </c>
      <c r="G7" s="13">
        <v>0.73155181376921896</v>
      </c>
      <c r="H7" s="3">
        <v>1434</v>
      </c>
      <c r="I7" s="13">
        <v>0.52636267915545798</v>
      </c>
      <c r="J7" s="3">
        <v>1434</v>
      </c>
      <c r="K7" s="13">
        <v>0.72967607127842304</v>
      </c>
      <c r="L7" s="3">
        <v>1338</v>
      </c>
      <c r="M7" s="13">
        <v>0.55299845044922202</v>
      </c>
      <c r="N7" s="4">
        <v>1338</v>
      </c>
    </row>
    <row r="8" spans="1:14" x14ac:dyDescent="0.25">
      <c r="C8" s="16"/>
      <c r="E8" s="16"/>
      <c r="G8" s="16"/>
      <c r="I8" s="16"/>
      <c r="K8" s="16"/>
      <c r="M8" s="16"/>
    </row>
    <row r="9" spans="1:14" x14ac:dyDescent="0.25">
      <c r="A9" s="19" t="s">
        <v>21</v>
      </c>
      <c r="B9" s="19"/>
      <c r="C9" s="20"/>
      <c r="D9" s="19"/>
      <c r="E9" s="20"/>
      <c r="F9" s="19"/>
      <c r="G9" s="20"/>
      <c r="H9" s="19"/>
      <c r="I9" s="20"/>
      <c r="J9" s="19"/>
      <c r="K9" s="20"/>
      <c r="L9" s="19"/>
      <c r="M9" s="20"/>
      <c r="N9" s="19"/>
    </row>
    <row r="10" spans="1:14" outlineLevel="1" x14ac:dyDescent="0.25">
      <c r="A10" s="5" t="s">
        <v>15</v>
      </c>
      <c r="B10" s="8" t="s">
        <v>22</v>
      </c>
      <c r="C10" s="14">
        <v>0.953150294260942</v>
      </c>
      <c r="D10" s="8">
        <v>46</v>
      </c>
      <c r="E10" s="14">
        <v>0.91113959848699499</v>
      </c>
      <c r="F10" s="8">
        <v>46</v>
      </c>
      <c r="G10" s="14">
        <v>1</v>
      </c>
      <c r="H10" s="8">
        <v>21</v>
      </c>
      <c r="I10" s="14">
        <v>0.95268392792093204</v>
      </c>
      <c r="J10" s="8">
        <v>21</v>
      </c>
      <c r="K10" s="14">
        <v>0.91380891080344495</v>
      </c>
      <c r="L10" s="8">
        <v>25</v>
      </c>
      <c r="M10" s="14">
        <v>0.87625333038857001</v>
      </c>
      <c r="N10" s="10">
        <v>25</v>
      </c>
    </row>
    <row r="11" spans="1:14" outlineLevel="1" x14ac:dyDescent="0.25">
      <c r="A11" s="6" t="s">
        <v>15</v>
      </c>
      <c r="B11" t="s">
        <v>23</v>
      </c>
      <c r="C11" s="16">
        <v>0.803577620356975</v>
      </c>
      <c r="D11">
        <v>164</v>
      </c>
      <c r="E11" s="16">
        <v>0.54140550338050197</v>
      </c>
      <c r="F11">
        <v>164</v>
      </c>
      <c r="G11" s="16">
        <v>0.81140776975387296</v>
      </c>
      <c r="H11">
        <v>90</v>
      </c>
      <c r="I11" s="16">
        <v>0.54872915441966597</v>
      </c>
      <c r="J11">
        <v>90</v>
      </c>
      <c r="K11" s="16">
        <v>0.79586361662413097</v>
      </c>
      <c r="L11">
        <v>74</v>
      </c>
      <c r="M11" s="16">
        <v>0.53419048504681099</v>
      </c>
      <c r="N11" s="11">
        <v>74</v>
      </c>
    </row>
    <row r="12" spans="1:14" outlineLevel="1" x14ac:dyDescent="0.25">
      <c r="A12" s="6" t="s">
        <v>15</v>
      </c>
      <c r="B12" t="s">
        <v>24</v>
      </c>
      <c r="C12" s="16">
        <v>0.73779568498319203</v>
      </c>
      <c r="D12">
        <v>42</v>
      </c>
      <c r="E12" s="16">
        <v>0.52110695863125001</v>
      </c>
      <c r="F12">
        <v>42</v>
      </c>
      <c r="G12" s="16">
        <v>0.76308608571441605</v>
      </c>
      <c r="H12">
        <v>21</v>
      </c>
      <c r="I12" s="16">
        <v>0.56900843121798805</v>
      </c>
      <c r="J12">
        <v>21</v>
      </c>
      <c r="K12" s="16">
        <v>0.71240925281613399</v>
      </c>
      <c r="L12">
        <v>21</v>
      </c>
      <c r="M12" s="16">
        <v>0.47302359698550001</v>
      </c>
      <c r="N12" s="11">
        <v>21</v>
      </c>
    </row>
    <row r="13" spans="1:14" outlineLevel="1" x14ac:dyDescent="0.25">
      <c r="A13" s="6" t="s">
        <v>15</v>
      </c>
      <c r="B13" t="s">
        <v>25</v>
      </c>
      <c r="C13" s="16">
        <v>0.31901339235289999</v>
      </c>
      <c r="D13">
        <v>245</v>
      </c>
      <c r="E13" s="16">
        <v>0.19235262441096801</v>
      </c>
      <c r="F13">
        <v>245</v>
      </c>
      <c r="G13" s="16">
        <v>0.34059594215475603</v>
      </c>
      <c r="H13">
        <v>126</v>
      </c>
      <c r="I13" s="16">
        <v>0.198188115742816</v>
      </c>
      <c r="J13">
        <v>126</v>
      </c>
      <c r="K13" s="16">
        <v>0.29922267701953797</v>
      </c>
      <c r="L13">
        <v>119</v>
      </c>
      <c r="M13" s="16">
        <v>0.18700160940860699</v>
      </c>
      <c r="N13" s="11">
        <v>119</v>
      </c>
    </row>
    <row r="14" spans="1:14" outlineLevel="1" x14ac:dyDescent="0.25">
      <c r="A14" s="6" t="s">
        <v>15</v>
      </c>
      <c r="B14" t="s">
        <v>26</v>
      </c>
      <c r="C14" s="16">
        <v>0.73223851556112196</v>
      </c>
      <c r="D14">
        <v>204</v>
      </c>
      <c r="E14" s="16">
        <v>0.51881047012509396</v>
      </c>
      <c r="F14">
        <v>204</v>
      </c>
      <c r="G14" s="16">
        <v>0.64576661916727496</v>
      </c>
      <c r="H14">
        <v>98</v>
      </c>
      <c r="I14" s="16">
        <v>0.50315673953374795</v>
      </c>
      <c r="J14">
        <v>98</v>
      </c>
      <c r="K14" s="16">
        <v>0.81715331054241702</v>
      </c>
      <c r="L14">
        <v>106</v>
      </c>
      <c r="M14" s="16">
        <v>0.5341823236323</v>
      </c>
      <c r="N14" s="11">
        <v>106</v>
      </c>
    </row>
    <row r="15" spans="1:14" outlineLevel="1" x14ac:dyDescent="0.25">
      <c r="A15" s="6" t="s">
        <v>15</v>
      </c>
      <c r="B15" t="s">
        <v>27</v>
      </c>
      <c r="C15" s="16">
        <v>0.45818958531768</v>
      </c>
      <c r="D15">
        <v>262</v>
      </c>
      <c r="E15" s="16">
        <v>0.30893442193184001</v>
      </c>
      <c r="F15">
        <v>262</v>
      </c>
      <c r="G15" s="16">
        <v>0.41923621257828098</v>
      </c>
      <c r="H15">
        <v>133</v>
      </c>
      <c r="I15" s="16">
        <v>0.28291353523270701</v>
      </c>
      <c r="J15">
        <v>133</v>
      </c>
      <c r="K15" s="16">
        <v>0.51203926451364701</v>
      </c>
      <c r="L15">
        <v>129</v>
      </c>
      <c r="M15" s="16">
        <v>0.34490605423482801</v>
      </c>
      <c r="N15" s="11">
        <v>129</v>
      </c>
    </row>
    <row r="16" spans="1:14" outlineLevel="1" x14ac:dyDescent="0.25">
      <c r="A16" s="6" t="s">
        <v>15</v>
      </c>
      <c r="B16" t="s">
        <v>28</v>
      </c>
      <c r="C16" s="16">
        <v>0.51893087150184503</v>
      </c>
      <c r="D16">
        <v>220</v>
      </c>
      <c r="E16" s="16">
        <v>0.28339220865368597</v>
      </c>
      <c r="F16">
        <v>220</v>
      </c>
      <c r="G16" s="16">
        <v>0.46748983670788502</v>
      </c>
      <c r="H16">
        <v>114</v>
      </c>
      <c r="I16" s="16">
        <v>0.25110589410569201</v>
      </c>
      <c r="J16">
        <v>114</v>
      </c>
      <c r="K16" s="16">
        <v>0.57359565212319796</v>
      </c>
      <c r="L16">
        <v>104</v>
      </c>
      <c r="M16" s="16">
        <v>0.33282856985757098</v>
      </c>
      <c r="N16" s="11">
        <v>104</v>
      </c>
    </row>
    <row r="17" spans="1:14" outlineLevel="1" x14ac:dyDescent="0.25">
      <c r="A17" s="6" t="s">
        <v>15</v>
      </c>
      <c r="B17" t="s">
        <v>29</v>
      </c>
      <c r="C17" s="16">
        <v>0.76619332603289503</v>
      </c>
      <c r="D17">
        <v>170</v>
      </c>
      <c r="E17" s="16">
        <v>0.592402331088139</v>
      </c>
      <c r="F17">
        <v>170</v>
      </c>
      <c r="G17" s="16">
        <v>0.81349001447616698</v>
      </c>
      <c r="H17">
        <v>80</v>
      </c>
      <c r="I17" s="16">
        <v>0.62359899336110403</v>
      </c>
      <c r="J17">
        <v>80</v>
      </c>
      <c r="K17" s="16">
        <v>0.71171339663848598</v>
      </c>
      <c r="L17">
        <v>90</v>
      </c>
      <c r="M17" s="16">
        <v>0.55646763853538495</v>
      </c>
      <c r="N17" s="11">
        <v>90</v>
      </c>
    </row>
    <row r="18" spans="1:14" outlineLevel="1" x14ac:dyDescent="0.25">
      <c r="A18" s="6" t="s">
        <v>15</v>
      </c>
      <c r="B18" t="s">
        <v>30</v>
      </c>
      <c r="C18" s="16">
        <v>0.97560975609756095</v>
      </c>
      <c r="D18">
        <v>41</v>
      </c>
      <c r="E18" s="16">
        <v>0.60975609756097604</v>
      </c>
      <c r="F18">
        <v>41</v>
      </c>
      <c r="G18" s="16">
        <v>0.95833333333333304</v>
      </c>
      <c r="H18">
        <v>24</v>
      </c>
      <c r="I18" s="16">
        <v>0.5</v>
      </c>
      <c r="J18">
        <v>24</v>
      </c>
      <c r="K18" s="16">
        <v>1</v>
      </c>
      <c r="L18">
        <v>17</v>
      </c>
      <c r="M18" s="16">
        <v>0.76470588235294101</v>
      </c>
      <c r="N18" s="11">
        <v>17</v>
      </c>
    </row>
    <row r="19" spans="1:14" outlineLevel="1" x14ac:dyDescent="0.25">
      <c r="A19" s="6" t="s">
        <v>15</v>
      </c>
      <c r="B19" t="s">
        <v>31</v>
      </c>
      <c r="C19" s="16">
        <v>0.79178916671089705</v>
      </c>
      <c r="D19">
        <v>175</v>
      </c>
      <c r="E19" s="16">
        <v>0.53554537469986097</v>
      </c>
      <c r="F19">
        <v>175</v>
      </c>
      <c r="G19" s="16">
        <v>0.82770631133239003</v>
      </c>
      <c r="H19">
        <v>96</v>
      </c>
      <c r="I19" s="16">
        <v>0.606261722698067</v>
      </c>
      <c r="J19">
        <v>96</v>
      </c>
      <c r="K19" s="16">
        <v>0.74756208208226005</v>
      </c>
      <c r="L19">
        <v>79</v>
      </c>
      <c r="M19" s="16">
        <v>0.44846779822477201</v>
      </c>
      <c r="N19" s="11">
        <v>79</v>
      </c>
    </row>
    <row r="20" spans="1:14" outlineLevel="1" x14ac:dyDescent="0.25">
      <c r="A20" s="6" t="s">
        <v>15</v>
      </c>
      <c r="B20" t="s">
        <v>32</v>
      </c>
      <c r="C20" s="16">
        <v>0.91836734693877597</v>
      </c>
      <c r="D20">
        <v>49</v>
      </c>
      <c r="E20" s="16">
        <v>0.67346938775510201</v>
      </c>
      <c r="F20">
        <v>49</v>
      </c>
      <c r="G20" s="16">
        <v>1</v>
      </c>
      <c r="H20">
        <v>31</v>
      </c>
      <c r="I20" s="16">
        <v>0.77419354838709697</v>
      </c>
      <c r="J20">
        <v>31</v>
      </c>
      <c r="K20" s="16">
        <v>0.77777777777777801</v>
      </c>
      <c r="L20">
        <v>18</v>
      </c>
      <c r="M20" s="16">
        <v>0.5</v>
      </c>
      <c r="N20" s="11">
        <v>18</v>
      </c>
    </row>
    <row r="21" spans="1:14" outlineLevel="1" x14ac:dyDescent="0.25">
      <c r="A21" s="6" t="s">
        <v>15</v>
      </c>
      <c r="B21" t="s">
        <v>33</v>
      </c>
      <c r="C21" s="16">
        <v>0.48373569313736597</v>
      </c>
      <c r="D21">
        <v>398</v>
      </c>
      <c r="E21" s="16">
        <v>0.38554475139577399</v>
      </c>
      <c r="F21">
        <v>398</v>
      </c>
      <c r="G21" s="16">
        <v>0.50341755041028202</v>
      </c>
      <c r="H21">
        <v>206</v>
      </c>
      <c r="I21" s="16">
        <v>0.41527399127199</v>
      </c>
      <c r="J21">
        <v>206</v>
      </c>
      <c r="K21" s="16">
        <v>0.45722693683330101</v>
      </c>
      <c r="L21">
        <v>192</v>
      </c>
      <c r="M21" s="16">
        <v>0.34550355182523501</v>
      </c>
      <c r="N21" s="11">
        <v>192</v>
      </c>
    </row>
    <row r="22" spans="1:14" outlineLevel="1" x14ac:dyDescent="0.25">
      <c r="A22" s="6" t="s">
        <v>15</v>
      </c>
      <c r="B22" t="s">
        <v>34</v>
      </c>
      <c r="C22" s="16">
        <v>0.21016458181445699</v>
      </c>
      <c r="D22">
        <v>188</v>
      </c>
      <c r="E22" s="16">
        <v>0.14543649109884299</v>
      </c>
      <c r="F22">
        <v>188</v>
      </c>
      <c r="G22" s="16">
        <v>0.155604425502607</v>
      </c>
      <c r="H22">
        <v>98</v>
      </c>
      <c r="I22" s="16">
        <v>0.121579655287677</v>
      </c>
      <c r="J22">
        <v>98</v>
      </c>
      <c r="K22" s="16">
        <v>0.26587366349783698</v>
      </c>
      <c r="L22">
        <v>90</v>
      </c>
      <c r="M22" s="16">
        <v>0.169795703109065</v>
      </c>
      <c r="N22" s="11">
        <v>90</v>
      </c>
    </row>
    <row r="23" spans="1:14" outlineLevel="1" x14ac:dyDescent="0.25">
      <c r="A23" s="6" t="s">
        <v>15</v>
      </c>
      <c r="B23" t="s">
        <v>35</v>
      </c>
      <c r="C23" s="16">
        <v>0.907407407407408</v>
      </c>
      <c r="D23">
        <v>54</v>
      </c>
      <c r="E23" s="16">
        <v>0.70370370370370405</v>
      </c>
      <c r="F23">
        <v>54</v>
      </c>
      <c r="G23" s="16">
        <v>0.92</v>
      </c>
      <c r="H23">
        <v>25</v>
      </c>
      <c r="I23" s="16">
        <v>0.72</v>
      </c>
      <c r="J23">
        <v>25</v>
      </c>
      <c r="K23" s="16">
        <v>0.89655172413793105</v>
      </c>
      <c r="L23">
        <v>29</v>
      </c>
      <c r="M23" s="16">
        <v>0.68965517241379304</v>
      </c>
      <c r="N23" s="11">
        <v>29</v>
      </c>
    </row>
    <row r="24" spans="1:14" outlineLevel="1" x14ac:dyDescent="0.25">
      <c r="A24" s="6" t="s">
        <v>15</v>
      </c>
      <c r="B24" t="s">
        <v>36</v>
      </c>
      <c r="C24" s="16">
        <v>0.68894135017418001</v>
      </c>
      <c r="D24">
        <v>155</v>
      </c>
      <c r="E24" s="16">
        <v>0.46162479139002999</v>
      </c>
      <c r="F24">
        <v>155</v>
      </c>
      <c r="G24" s="16">
        <v>0.67623687317557202</v>
      </c>
      <c r="H24">
        <v>91</v>
      </c>
      <c r="I24" s="16">
        <v>0.47900742839256299</v>
      </c>
      <c r="J24">
        <v>91</v>
      </c>
      <c r="K24" s="16">
        <v>0.699181743400758</v>
      </c>
      <c r="L24">
        <v>64</v>
      </c>
      <c r="M24" s="16">
        <v>0.44761358587245498</v>
      </c>
      <c r="N24" s="11">
        <v>64</v>
      </c>
    </row>
    <row r="25" spans="1:14" outlineLevel="1" x14ac:dyDescent="0.25">
      <c r="A25" s="6" t="s">
        <v>15</v>
      </c>
      <c r="B25" t="s">
        <v>37</v>
      </c>
      <c r="C25" s="16">
        <v>0.84169263688173301</v>
      </c>
      <c r="D25">
        <v>125</v>
      </c>
      <c r="E25" s="16">
        <v>0.74126346580981906</v>
      </c>
      <c r="F25">
        <v>125</v>
      </c>
      <c r="G25" s="16">
        <v>0.86931070581605396</v>
      </c>
      <c r="H25">
        <v>68</v>
      </c>
      <c r="I25" s="16">
        <v>0.71096873739017297</v>
      </c>
      <c r="J25">
        <v>68</v>
      </c>
      <c r="K25" s="16">
        <v>0.796661930117189</v>
      </c>
      <c r="L25">
        <v>57</v>
      </c>
      <c r="M25" s="16">
        <v>0.79065841211185095</v>
      </c>
      <c r="N25" s="11">
        <v>57</v>
      </c>
    </row>
    <row r="26" spans="1:14" outlineLevel="1" x14ac:dyDescent="0.25">
      <c r="A26" s="6" t="s">
        <v>15</v>
      </c>
      <c r="B26" t="s">
        <v>38</v>
      </c>
      <c r="C26" s="16">
        <v>0.74849333590609501</v>
      </c>
      <c r="D26">
        <v>99</v>
      </c>
      <c r="E26" s="16">
        <v>0.46107151258340201</v>
      </c>
      <c r="F26">
        <v>99</v>
      </c>
      <c r="G26" s="16">
        <v>0.71504087230595703</v>
      </c>
      <c r="H26">
        <v>50</v>
      </c>
      <c r="I26" s="16">
        <v>0.58998154666540503</v>
      </c>
      <c r="J26">
        <v>50</v>
      </c>
      <c r="K26" s="16">
        <v>0.78790506100902702</v>
      </c>
      <c r="L26">
        <v>48</v>
      </c>
      <c r="M26" s="16">
        <v>0.306623018925955</v>
      </c>
      <c r="N26" s="11">
        <v>48</v>
      </c>
    </row>
    <row r="27" spans="1:14" outlineLevel="1" x14ac:dyDescent="0.25">
      <c r="A27" s="7" t="s">
        <v>15</v>
      </c>
      <c r="B27" s="9" t="s">
        <v>39</v>
      </c>
      <c r="C27" s="15">
        <v>0.95422552792404502</v>
      </c>
      <c r="D27" s="9">
        <v>138</v>
      </c>
      <c r="E27" s="15">
        <v>0.69800485823521696</v>
      </c>
      <c r="F27" s="9">
        <v>138</v>
      </c>
      <c r="G27" s="15">
        <v>0.94044096163444801</v>
      </c>
      <c r="H27" s="9">
        <v>62</v>
      </c>
      <c r="I27" s="15">
        <v>0.583889856592542</v>
      </c>
      <c r="J27" s="9">
        <v>62</v>
      </c>
      <c r="K27" s="15">
        <v>0.96950157586780605</v>
      </c>
      <c r="L27" s="9">
        <v>76</v>
      </c>
      <c r="M27" s="15">
        <v>0.82446703336448401</v>
      </c>
      <c r="N27" s="12">
        <v>76</v>
      </c>
    </row>
    <row r="28" spans="1:14" x14ac:dyDescent="0.25">
      <c r="C28" s="16"/>
      <c r="E28" s="16"/>
      <c r="G28" s="16"/>
      <c r="I28" s="16"/>
      <c r="K28" s="16"/>
      <c r="M28" s="16"/>
    </row>
    <row r="29" spans="1:14" x14ac:dyDescent="0.25">
      <c r="A29" s="19" t="s">
        <v>40</v>
      </c>
      <c r="B29" s="19"/>
      <c r="C29" s="20"/>
      <c r="D29" s="19"/>
      <c r="E29" s="20"/>
      <c r="F29" s="19"/>
      <c r="G29" s="20"/>
      <c r="H29" s="19"/>
      <c r="I29" s="20"/>
      <c r="J29" s="19"/>
      <c r="K29" s="20"/>
      <c r="L29" s="19"/>
      <c r="M29" s="20"/>
      <c r="N29" s="19"/>
    </row>
    <row r="30" spans="1:14" outlineLevel="1" x14ac:dyDescent="0.25">
      <c r="A30" s="5" t="s">
        <v>15</v>
      </c>
      <c r="B30" s="8" t="s">
        <v>41</v>
      </c>
      <c r="C30" s="14">
        <v>0.953150294260942</v>
      </c>
      <c r="D30" s="8">
        <v>46</v>
      </c>
      <c r="E30" s="14">
        <v>0.91113959848699499</v>
      </c>
      <c r="F30" s="8">
        <v>46</v>
      </c>
      <c r="G30" s="14">
        <v>1</v>
      </c>
      <c r="H30" s="8">
        <v>21</v>
      </c>
      <c r="I30" s="14">
        <v>0.95268392792093204</v>
      </c>
      <c r="J30" s="8">
        <v>21</v>
      </c>
      <c r="K30" s="14">
        <v>0.91380891080344495</v>
      </c>
      <c r="L30" s="8">
        <v>25</v>
      </c>
      <c r="M30" s="14">
        <v>0.87625333038857001</v>
      </c>
      <c r="N30" s="10">
        <v>25</v>
      </c>
    </row>
    <row r="31" spans="1:14" outlineLevel="1" x14ac:dyDescent="0.25">
      <c r="A31" s="6" t="s">
        <v>15</v>
      </c>
      <c r="B31" t="s">
        <v>42</v>
      </c>
      <c r="C31" s="16">
        <v>0.64516129032258096</v>
      </c>
      <c r="D31">
        <v>62</v>
      </c>
      <c r="E31" s="16">
        <v>0.35483870967741898</v>
      </c>
      <c r="F31">
        <v>62</v>
      </c>
      <c r="G31" s="16">
        <v>0.6</v>
      </c>
      <c r="H31">
        <v>35</v>
      </c>
      <c r="I31" s="16">
        <v>0.371428571428571</v>
      </c>
      <c r="J31">
        <v>35</v>
      </c>
      <c r="K31" s="16">
        <v>0.70370370370370405</v>
      </c>
      <c r="L31">
        <v>27</v>
      </c>
      <c r="M31" s="16">
        <v>0.33333333333333298</v>
      </c>
      <c r="N31" s="11">
        <v>27</v>
      </c>
    </row>
    <row r="32" spans="1:14" outlineLevel="1" x14ac:dyDescent="0.25">
      <c r="A32" s="6" t="s">
        <v>15</v>
      </c>
      <c r="B32" t="s">
        <v>43</v>
      </c>
      <c r="C32" s="16">
        <v>0.811594202898551</v>
      </c>
      <c r="D32">
        <v>69</v>
      </c>
      <c r="E32" s="16">
        <v>0.55072463768115898</v>
      </c>
      <c r="F32">
        <v>69</v>
      </c>
      <c r="G32" s="16">
        <v>0.82352941176470595</v>
      </c>
      <c r="H32">
        <v>34</v>
      </c>
      <c r="I32" s="16">
        <v>0.55882352941176505</v>
      </c>
      <c r="J32">
        <v>34</v>
      </c>
      <c r="K32" s="16">
        <v>0.8</v>
      </c>
      <c r="L32">
        <v>35</v>
      </c>
      <c r="M32" s="16">
        <v>0.54285714285714304</v>
      </c>
      <c r="N32" s="11">
        <v>35</v>
      </c>
    </row>
    <row r="33" spans="1:14" outlineLevel="1" x14ac:dyDescent="0.25">
      <c r="A33" s="6" t="s">
        <v>15</v>
      </c>
      <c r="B33" t="s">
        <v>44</v>
      </c>
      <c r="C33" s="16">
        <v>0.57575757575757602</v>
      </c>
      <c r="D33">
        <v>33</v>
      </c>
      <c r="E33" s="16">
        <v>0.36363636363636398</v>
      </c>
      <c r="F33">
        <v>33</v>
      </c>
      <c r="G33" s="16">
        <v>0.61904761904761896</v>
      </c>
      <c r="H33">
        <v>21</v>
      </c>
      <c r="I33" s="16">
        <v>0.42857142857142899</v>
      </c>
      <c r="J33">
        <v>21</v>
      </c>
      <c r="K33" s="16">
        <v>0.5</v>
      </c>
      <c r="L33">
        <v>12</v>
      </c>
      <c r="M33" s="16">
        <v>0.25</v>
      </c>
      <c r="N33" s="11">
        <v>12</v>
      </c>
    </row>
    <row r="34" spans="1:14" outlineLevel="1" x14ac:dyDescent="0.25">
      <c r="A34" s="6" t="s">
        <v>15</v>
      </c>
      <c r="B34" t="s">
        <v>45</v>
      </c>
      <c r="C34" s="16">
        <v>0.73779568498319203</v>
      </c>
      <c r="D34">
        <v>42</v>
      </c>
      <c r="E34" s="16">
        <v>0.52110695863125001</v>
      </c>
      <c r="F34">
        <v>42</v>
      </c>
      <c r="G34" s="16">
        <v>0.76308608571441605</v>
      </c>
      <c r="H34">
        <v>21</v>
      </c>
      <c r="I34" s="16">
        <v>0.56900843121798805</v>
      </c>
      <c r="J34">
        <v>21</v>
      </c>
      <c r="K34" s="16">
        <v>0.71240925281613399</v>
      </c>
      <c r="L34">
        <v>21</v>
      </c>
      <c r="M34" s="16">
        <v>0.47302359698550001</v>
      </c>
      <c r="N34" s="11">
        <v>21</v>
      </c>
    </row>
    <row r="35" spans="1:14" outlineLevel="1" x14ac:dyDescent="0.25">
      <c r="A35" s="6" t="s">
        <v>15</v>
      </c>
      <c r="B35" t="s">
        <v>46</v>
      </c>
      <c r="C35" s="16">
        <v>0.31168831168831201</v>
      </c>
      <c r="D35">
        <v>77</v>
      </c>
      <c r="E35" s="16">
        <v>0.18181818181818199</v>
      </c>
      <c r="F35">
        <v>77</v>
      </c>
      <c r="G35" s="16">
        <v>0.3</v>
      </c>
      <c r="H35">
        <v>50</v>
      </c>
      <c r="I35" s="16">
        <v>0.18</v>
      </c>
      <c r="J35">
        <v>50</v>
      </c>
      <c r="K35" s="16">
        <v>0.33333333333333298</v>
      </c>
      <c r="L35">
        <v>27</v>
      </c>
      <c r="M35" s="16">
        <v>0.18518518518518501</v>
      </c>
      <c r="N35" s="11">
        <v>27</v>
      </c>
    </row>
    <row r="36" spans="1:14" outlineLevel="1" x14ac:dyDescent="0.25">
      <c r="A36" s="6" t="s">
        <v>15</v>
      </c>
      <c r="B36" t="s">
        <v>47</v>
      </c>
      <c r="C36" s="16">
        <v>0.31932773109243701</v>
      </c>
      <c r="D36">
        <v>119</v>
      </c>
      <c r="E36" s="16">
        <v>0.19327731092437</v>
      </c>
      <c r="F36">
        <v>119</v>
      </c>
      <c r="G36" s="16">
        <v>0.34545454545454501</v>
      </c>
      <c r="H36">
        <v>55</v>
      </c>
      <c r="I36" s="16">
        <v>0.2</v>
      </c>
      <c r="J36">
        <v>55</v>
      </c>
      <c r="K36" s="16">
        <v>0.296875</v>
      </c>
      <c r="L36">
        <v>64</v>
      </c>
      <c r="M36" s="16">
        <v>0.1875</v>
      </c>
      <c r="N36" s="11">
        <v>64</v>
      </c>
    </row>
    <row r="37" spans="1:14" outlineLevel="1" x14ac:dyDescent="0.25">
      <c r="A37" s="6" t="s">
        <v>15</v>
      </c>
      <c r="B37" t="s">
        <v>48</v>
      </c>
      <c r="C37" s="16">
        <v>0.36734693877551</v>
      </c>
      <c r="D37">
        <v>49</v>
      </c>
      <c r="E37" s="16">
        <v>0.20408163265306101</v>
      </c>
      <c r="F37">
        <v>49</v>
      </c>
      <c r="G37" s="16">
        <v>0.42857142857142899</v>
      </c>
      <c r="H37">
        <v>21</v>
      </c>
      <c r="I37" s="16">
        <v>0.28571428571428598</v>
      </c>
      <c r="J37">
        <v>21</v>
      </c>
      <c r="K37" s="16">
        <v>0.32142857142857101</v>
      </c>
      <c r="L37">
        <v>28</v>
      </c>
      <c r="M37" s="16">
        <v>0.14285714285714299</v>
      </c>
      <c r="N37" s="11">
        <v>28</v>
      </c>
    </row>
    <row r="38" spans="1:14" outlineLevel="1" x14ac:dyDescent="0.25">
      <c r="A38" s="6" t="s">
        <v>15</v>
      </c>
      <c r="B38" t="s">
        <v>49</v>
      </c>
      <c r="C38" s="16">
        <v>0.78350515463917503</v>
      </c>
      <c r="D38">
        <v>97</v>
      </c>
      <c r="E38" s="16">
        <v>0.50515463917525805</v>
      </c>
      <c r="F38">
        <v>97</v>
      </c>
      <c r="G38" s="16">
        <v>0.86046511627906996</v>
      </c>
      <c r="H38">
        <v>43</v>
      </c>
      <c r="I38" s="16">
        <v>0.53488372093023295</v>
      </c>
      <c r="J38">
        <v>43</v>
      </c>
      <c r="K38" s="16">
        <v>0.72222222222222199</v>
      </c>
      <c r="L38">
        <v>54</v>
      </c>
      <c r="M38" s="16">
        <v>0.48148148148148101</v>
      </c>
      <c r="N38" s="11">
        <v>54</v>
      </c>
    </row>
    <row r="39" spans="1:14" outlineLevel="1" x14ac:dyDescent="0.25">
      <c r="A39" s="6" t="s">
        <v>15</v>
      </c>
      <c r="B39" t="s">
        <v>50</v>
      </c>
      <c r="C39" s="16">
        <v>0.72916666666666696</v>
      </c>
      <c r="D39">
        <v>48</v>
      </c>
      <c r="E39" s="16">
        <v>0.52083333333333304</v>
      </c>
      <c r="F39">
        <v>48</v>
      </c>
      <c r="G39" s="16">
        <v>0.625</v>
      </c>
      <c r="H39">
        <v>24</v>
      </c>
      <c r="I39" s="16">
        <v>0.5</v>
      </c>
      <c r="J39">
        <v>24</v>
      </c>
      <c r="K39" s="16">
        <v>0.83333333333333304</v>
      </c>
      <c r="L39">
        <v>24</v>
      </c>
      <c r="M39" s="16">
        <v>0.54166666666666696</v>
      </c>
      <c r="N39" s="11">
        <v>24</v>
      </c>
    </row>
    <row r="40" spans="1:14" outlineLevel="1" x14ac:dyDescent="0.25">
      <c r="A40" s="6" t="s">
        <v>15</v>
      </c>
      <c r="B40" t="s">
        <v>51</v>
      </c>
      <c r="C40" s="16">
        <v>0.644067796610169</v>
      </c>
      <c r="D40">
        <v>59</v>
      </c>
      <c r="E40" s="16">
        <v>0.49152542372881403</v>
      </c>
      <c r="F40">
        <v>59</v>
      </c>
      <c r="G40" s="16">
        <v>0.70967741935483897</v>
      </c>
      <c r="H40">
        <v>31</v>
      </c>
      <c r="I40" s="16">
        <v>0.51612903225806495</v>
      </c>
      <c r="J40">
        <v>31</v>
      </c>
      <c r="K40" s="16">
        <v>0.57142857142857095</v>
      </c>
      <c r="L40">
        <v>28</v>
      </c>
      <c r="M40" s="16">
        <v>0.46428571428571402</v>
      </c>
      <c r="N40" s="11">
        <v>28</v>
      </c>
    </row>
    <row r="41" spans="1:14" outlineLevel="1" x14ac:dyDescent="0.25">
      <c r="A41" s="6" t="s">
        <v>15</v>
      </c>
      <c r="B41" t="s">
        <v>52</v>
      </c>
      <c r="C41" s="16">
        <v>0.52235025018357595</v>
      </c>
      <c r="D41">
        <v>82</v>
      </c>
      <c r="E41" s="16">
        <v>0.373834277801461</v>
      </c>
      <c r="F41">
        <v>82</v>
      </c>
      <c r="G41" s="16">
        <v>0.50376349622114103</v>
      </c>
      <c r="H41">
        <v>40</v>
      </c>
      <c r="I41" s="16">
        <v>0.35212073171741398</v>
      </c>
      <c r="J41">
        <v>40</v>
      </c>
      <c r="K41" s="16">
        <v>0.54058959569666098</v>
      </c>
      <c r="L41">
        <v>42</v>
      </c>
      <c r="M41" s="16">
        <v>0.39514197198741902</v>
      </c>
      <c r="N41" s="11">
        <v>42</v>
      </c>
    </row>
    <row r="42" spans="1:14" outlineLevel="1" x14ac:dyDescent="0.25">
      <c r="A42" s="6" t="s">
        <v>15</v>
      </c>
      <c r="B42" t="s">
        <v>53</v>
      </c>
      <c r="C42" s="16">
        <v>0.43678160919540199</v>
      </c>
      <c r="D42">
        <v>87</v>
      </c>
      <c r="E42" s="16">
        <v>0.28735632183908</v>
      </c>
      <c r="F42">
        <v>87</v>
      </c>
      <c r="G42" s="16">
        <v>0.39622641509433998</v>
      </c>
      <c r="H42">
        <v>53</v>
      </c>
      <c r="I42" s="16">
        <v>0.26415094339622602</v>
      </c>
      <c r="J42">
        <v>53</v>
      </c>
      <c r="K42" s="16">
        <v>0.5</v>
      </c>
      <c r="L42">
        <v>34</v>
      </c>
      <c r="M42" s="16">
        <v>0.32352941176470601</v>
      </c>
      <c r="N42" s="11">
        <v>34</v>
      </c>
    </row>
    <row r="43" spans="1:14" outlineLevel="1" x14ac:dyDescent="0.25">
      <c r="A43" s="6" t="s">
        <v>15</v>
      </c>
      <c r="B43" t="s">
        <v>54</v>
      </c>
      <c r="C43" s="16">
        <v>0.39612502284774298</v>
      </c>
      <c r="D43">
        <v>93</v>
      </c>
      <c r="E43" s="16">
        <v>0.215883750685432</v>
      </c>
      <c r="F43">
        <v>93</v>
      </c>
      <c r="G43" s="16">
        <v>0.37000127221067802</v>
      </c>
      <c r="H43">
        <v>40</v>
      </c>
      <c r="I43" s="16">
        <v>0.199652262414656</v>
      </c>
      <c r="J43">
        <v>40</v>
      </c>
      <c r="K43" s="16">
        <v>0.41591442063670497</v>
      </c>
      <c r="L43">
        <v>53</v>
      </c>
      <c r="M43" s="16">
        <v>0.228179511066851</v>
      </c>
      <c r="N43" s="11">
        <v>53</v>
      </c>
    </row>
    <row r="44" spans="1:14" outlineLevel="1" x14ac:dyDescent="0.25">
      <c r="A44" s="6" t="s">
        <v>15</v>
      </c>
      <c r="B44" t="s">
        <v>55</v>
      </c>
      <c r="C44" s="16">
        <v>0.68483820335066203</v>
      </c>
      <c r="D44">
        <v>79</v>
      </c>
      <c r="E44" s="16">
        <v>0.42792236751415202</v>
      </c>
      <c r="F44">
        <v>79</v>
      </c>
      <c r="G44" s="16">
        <v>0.754087082686831</v>
      </c>
      <c r="H44">
        <v>36</v>
      </c>
      <c r="I44" s="16">
        <v>0.54761177331900901</v>
      </c>
      <c r="J44">
        <v>36</v>
      </c>
      <c r="K44" s="16">
        <v>0.64374081001771299</v>
      </c>
      <c r="L44">
        <v>42</v>
      </c>
      <c r="M44" s="16">
        <v>0.34077340651982202</v>
      </c>
      <c r="N44" s="11">
        <v>42</v>
      </c>
    </row>
    <row r="45" spans="1:14" outlineLevel="1" x14ac:dyDescent="0.25">
      <c r="A45" s="6" t="s">
        <v>15</v>
      </c>
      <c r="B45" t="s">
        <v>56</v>
      </c>
      <c r="C45" s="16">
        <v>0.49746686838276299</v>
      </c>
      <c r="D45">
        <v>72</v>
      </c>
      <c r="E45" s="16">
        <v>0.26469827629574599</v>
      </c>
      <c r="F45">
        <v>72</v>
      </c>
      <c r="G45" s="16">
        <v>0.43768219784073398</v>
      </c>
      <c r="H45">
        <v>41</v>
      </c>
      <c r="I45" s="16">
        <v>0.220546364458864</v>
      </c>
      <c r="J45">
        <v>41</v>
      </c>
      <c r="K45" s="16">
        <v>0.56312645234509495</v>
      </c>
      <c r="L45">
        <v>30</v>
      </c>
      <c r="M45" s="16">
        <v>0.33282793672184402</v>
      </c>
      <c r="N45" s="11">
        <v>30</v>
      </c>
    </row>
    <row r="46" spans="1:14" outlineLevel="1" x14ac:dyDescent="0.25">
      <c r="A46" s="6" t="s">
        <v>15</v>
      </c>
      <c r="B46" t="s">
        <v>57</v>
      </c>
      <c r="C46" s="16">
        <v>0.47594900463793</v>
      </c>
      <c r="D46">
        <v>69</v>
      </c>
      <c r="E46" s="16">
        <v>0.24553717188170099</v>
      </c>
      <c r="F46">
        <v>69</v>
      </c>
      <c r="G46" s="16">
        <v>0.51178473041241701</v>
      </c>
      <c r="H46">
        <v>37</v>
      </c>
      <c r="I46" s="16">
        <v>0.26948859003888798</v>
      </c>
      <c r="J46">
        <v>37</v>
      </c>
      <c r="K46" s="16">
        <v>0.43459663420059702</v>
      </c>
      <c r="L46">
        <v>32</v>
      </c>
      <c r="M46" s="16">
        <v>0.21789861023045101</v>
      </c>
      <c r="N46" s="11">
        <v>32</v>
      </c>
    </row>
    <row r="47" spans="1:14" outlineLevel="1" x14ac:dyDescent="0.25">
      <c r="A47" s="6" t="s">
        <v>15</v>
      </c>
      <c r="B47" t="s">
        <v>58</v>
      </c>
      <c r="C47" s="16">
        <v>0.49299390788574099</v>
      </c>
      <c r="D47">
        <v>62</v>
      </c>
      <c r="E47" s="16">
        <v>0.340131817353866</v>
      </c>
      <c r="F47">
        <v>62</v>
      </c>
      <c r="G47" s="16">
        <v>0.43852057278272699</v>
      </c>
      <c r="H47">
        <v>27</v>
      </c>
      <c r="I47" s="16">
        <v>0.29332193444100002</v>
      </c>
      <c r="J47">
        <v>27</v>
      </c>
      <c r="K47" s="16">
        <v>0.53387625532141703</v>
      </c>
      <c r="L47">
        <v>35</v>
      </c>
      <c r="M47" s="16">
        <v>0.37526272852440801</v>
      </c>
      <c r="N47" s="11">
        <v>35</v>
      </c>
    </row>
    <row r="48" spans="1:14" outlineLevel="1" x14ac:dyDescent="0.25">
      <c r="A48" s="6" t="s">
        <v>15</v>
      </c>
      <c r="B48" t="s">
        <v>59</v>
      </c>
      <c r="C48" s="16">
        <v>0.78947368421052599</v>
      </c>
      <c r="D48">
        <v>57</v>
      </c>
      <c r="E48" s="16">
        <v>0.61403508771929804</v>
      </c>
      <c r="F48">
        <v>57</v>
      </c>
      <c r="G48" s="16">
        <v>0.83870967741935498</v>
      </c>
      <c r="H48">
        <v>31</v>
      </c>
      <c r="I48" s="16">
        <v>0.64516129032258096</v>
      </c>
      <c r="J48">
        <v>31</v>
      </c>
      <c r="K48" s="16">
        <v>0.73076923076923095</v>
      </c>
      <c r="L48">
        <v>26</v>
      </c>
      <c r="M48" s="16">
        <v>0.57692307692307698</v>
      </c>
      <c r="N48" s="11">
        <v>26</v>
      </c>
    </row>
    <row r="49" spans="1:14" outlineLevel="1" x14ac:dyDescent="0.25">
      <c r="A49" s="6" t="s">
        <v>15</v>
      </c>
      <c r="B49" t="s">
        <v>60</v>
      </c>
      <c r="C49" s="16">
        <v>0.37254901960784298</v>
      </c>
      <c r="D49">
        <v>51</v>
      </c>
      <c r="E49" s="16">
        <v>0.21568627450980399</v>
      </c>
      <c r="F49">
        <v>51</v>
      </c>
      <c r="G49" s="16">
        <v>0.27272727272727298</v>
      </c>
      <c r="H49">
        <v>22</v>
      </c>
      <c r="I49" s="16">
        <v>0.22727272727272699</v>
      </c>
      <c r="J49">
        <v>22</v>
      </c>
      <c r="K49" s="16">
        <v>0.44827586206896602</v>
      </c>
      <c r="L49">
        <v>29</v>
      </c>
      <c r="M49" s="16">
        <v>0.20689655172413801</v>
      </c>
      <c r="N49" s="11">
        <v>29</v>
      </c>
    </row>
    <row r="50" spans="1:14" outlineLevel="1" x14ac:dyDescent="0.25">
      <c r="A50" s="6" t="s">
        <v>15</v>
      </c>
      <c r="B50" t="s">
        <v>61</v>
      </c>
      <c r="C50" s="16">
        <v>0.97560975609756095</v>
      </c>
      <c r="D50">
        <v>41</v>
      </c>
      <c r="E50" s="16">
        <v>0.60975609756097604</v>
      </c>
      <c r="F50">
        <v>41</v>
      </c>
      <c r="G50" s="16">
        <v>0.95833333333333304</v>
      </c>
      <c r="H50">
        <v>24</v>
      </c>
      <c r="I50" s="16">
        <v>0.5</v>
      </c>
      <c r="J50">
        <v>24</v>
      </c>
      <c r="K50" s="16">
        <v>1</v>
      </c>
      <c r="L50">
        <v>17</v>
      </c>
      <c r="M50" s="16">
        <v>0.76470588235294101</v>
      </c>
      <c r="N50" s="11">
        <v>17</v>
      </c>
    </row>
    <row r="51" spans="1:14" outlineLevel="1" x14ac:dyDescent="0.25">
      <c r="A51" s="6" t="s">
        <v>15</v>
      </c>
      <c r="B51" t="s">
        <v>62</v>
      </c>
      <c r="C51" s="16">
        <v>0.61267569844511904</v>
      </c>
      <c r="D51">
        <v>60</v>
      </c>
      <c r="E51" s="16">
        <v>0.44883251496601401</v>
      </c>
      <c r="F51">
        <v>60</v>
      </c>
      <c r="G51" s="16">
        <v>0.51028083661343304</v>
      </c>
      <c r="H51">
        <v>31</v>
      </c>
      <c r="I51" s="16">
        <v>0.29651357827547498</v>
      </c>
      <c r="J51">
        <v>31</v>
      </c>
      <c r="K51" s="16">
        <v>0.71961906544465903</v>
      </c>
      <c r="L51">
        <v>29</v>
      </c>
      <c r="M51" s="16">
        <v>0.60791764537277604</v>
      </c>
      <c r="N51" s="11">
        <v>29</v>
      </c>
    </row>
    <row r="52" spans="1:14" outlineLevel="1" x14ac:dyDescent="0.25">
      <c r="A52" s="6" t="s">
        <v>15</v>
      </c>
      <c r="B52" t="s">
        <v>63</v>
      </c>
      <c r="C52" s="16">
        <v>0.79767108917223395</v>
      </c>
      <c r="D52">
        <v>67</v>
      </c>
      <c r="E52" s="16">
        <v>0.53849631490219596</v>
      </c>
      <c r="F52">
        <v>67</v>
      </c>
      <c r="G52" s="16">
        <v>0.83684150219744302</v>
      </c>
      <c r="H52">
        <v>37</v>
      </c>
      <c r="I52" s="16">
        <v>0.61544791719944303</v>
      </c>
      <c r="J52">
        <v>37</v>
      </c>
      <c r="K52" s="16">
        <v>0.749217443659843</v>
      </c>
      <c r="L52">
        <v>30</v>
      </c>
      <c r="M52" s="16">
        <v>0.44330748814865401</v>
      </c>
      <c r="N52" s="11">
        <v>30</v>
      </c>
    </row>
    <row r="53" spans="1:14" outlineLevel="1" x14ac:dyDescent="0.25">
      <c r="A53" s="6" t="s">
        <v>15</v>
      </c>
      <c r="B53" t="s">
        <v>64</v>
      </c>
      <c r="C53" s="16">
        <v>0.68800415392939096</v>
      </c>
      <c r="D53">
        <v>48</v>
      </c>
      <c r="E53" s="16">
        <v>0.45918702140089301</v>
      </c>
      <c r="F53">
        <v>48</v>
      </c>
      <c r="G53" s="16">
        <v>0.78514802045209897</v>
      </c>
      <c r="H53">
        <v>28</v>
      </c>
      <c r="I53" s="16">
        <v>0.49957357223655902</v>
      </c>
      <c r="J53">
        <v>28</v>
      </c>
      <c r="K53" s="16">
        <v>0.552170772355141</v>
      </c>
      <c r="L53">
        <v>20</v>
      </c>
      <c r="M53" s="16">
        <v>0.40271570760110098</v>
      </c>
      <c r="N53" s="11">
        <v>20</v>
      </c>
    </row>
    <row r="54" spans="1:14" outlineLevel="1" x14ac:dyDescent="0.25">
      <c r="A54" s="6" t="s">
        <v>15</v>
      </c>
      <c r="B54" t="s">
        <v>65</v>
      </c>
      <c r="C54" s="16">
        <v>0.91836734693877597</v>
      </c>
      <c r="D54">
        <v>49</v>
      </c>
      <c r="E54" s="16">
        <v>0.67346938775510201</v>
      </c>
      <c r="F54">
        <v>49</v>
      </c>
      <c r="G54" s="16">
        <v>1</v>
      </c>
      <c r="H54">
        <v>31</v>
      </c>
      <c r="I54" s="16">
        <v>0.77419354838709697</v>
      </c>
      <c r="J54">
        <v>31</v>
      </c>
      <c r="K54" s="16">
        <v>0.77777777777777801</v>
      </c>
      <c r="L54">
        <v>18</v>
      </c>
      <c r="M54" s="16">
        <v>0.5</v>
      </c>
      <c r="N54" s="11">
        <v>18</v>
      </c>
    </row>
    <row r="55" spans="1:14" outlineLevel="1" x14ac:dyDescent="0.25">
      <c r="A55" s="6" t="s">
        <v>15</v>
      </c>
      <c r="B55" t="s">
        <v>66</v>
      </c>
      <c r="C55" s="16">
        <v>0.463917525773196</v>
      </c>
      <c r="D55">
        <v>97</v>
      </c>
      <c r="E55" s="16">
        <v>0.35051546391752603</v>
      </c>
      <c r="F55">
        <v>97</v>
      </c>
      <c r="G55" s="16">
        <v>0.48888888888888898</v>
      </c>
      <c r="H55">
        <v>45</v>
      </c>
      <c r="I55" s="16">
        <v>0.4</v>
      </c>
      <c r="J55">
        <v>45</v>
      </c>
      <c r="K55" s="16">
        <v>0.44230769230769201</v>
      </c>
      <c r="L55">
        <v>52</v>
      </c>
      <c r="M55" s="16">
        <v>0.30769230769230799</v>
      </c>
      <c r="N55" s="11">
        <v>52</v>
      </c>
    </row>
    <row r="56" spans="1:14" outlineLevel="1" x14ac:dyDescent="0.25">
      <c r="A56" s="6" t="s">
        <v>15</v>
      </c>
      <c r="B56" t="s">
        <v>67</v>
      </c>
      <c r="C56" s="16">
        <v>0.4</v>
      </c>
      <c r="D56">
        <v>120</v>
      </c>
      <c r="E56" s="16">
        <v>0.29166666666666702</v>
      </c>
      <c r="F56">
        <v>120</v>
      </c>
      <c r="G56" s="16">
        <v>0.42857142857142899</v>
      </c>
      <c r="H56">
        <v>63</v>
      </c>
      <c r="I56" s="16">
        <v>0.365079365079365</v>
      </c>
      <c r="J56">
        <v>63</v>
      </c>
      <c r="K56" s="16">
        <v>0.36842105263157898</v>
      </c>
      <c r="L56">
        <v>57</v>
      </c>
      <c r="M56" s="16">
        <v>0.21052631578947401</v>
      </c>
      <c r="N56" s="11">
        <v>57</v>
      </c>
    </row>
    <row r="57" spans="1:14" outlineLevel="1" x14ac:dyDescent="0.25">
      <c r="A57" s="6" t="s">
        <v>15</v>
      </c>
      <c r="B57" t="s">
        <v>68</v>
      </c>
      <c r="C57" s="16">
        <v>0.51724137931034497</v>
      </c>
      <c r="D57">
        <v>87</v>
      </c>
      <c r="E57" s="16">
        <v>0.42528735632183901</v>
      </c>
      <c r="F57">
        <v>87</v>
      </c>
      <c r="G57" s="16">
        <v>0.52830188679245305</v>
      </c>
      <c r="H57">
        <v>53</v>
      </c>
      <c r="I57" s="16">
        <v>0.43396226415094302</v>
      </c>
      <c r="J57">
        <v>53</v>
      </c>
      <c r="K57" s="16">
        <v>0.5</v>
      </c>
      <c r="L57">
        <v>34</v>
      </c>
      <c r="M57" s="16">
        <v>0.41176470588235298</v>
      </c>
      <c r="N57" s="11">
        <v>34</v>
      </c>
    </row>
    <row r="58" spans="1:14" outlineLevel="1" x14ac:dyDescent="0.25">
      <c r="A58" s="6" t="s">
        <v>15</v>
      </c>
      <c r="B58" t="s">
        <v>69</v>
      </c>
      <c r="C58" s="16">
        <v>0.329787234042553</v>
      </c>
      <c r="D58">
        <v>94</v>
      </c>
      <c r="E58" s="16">
        <v>0.20212765957446799</v>
      </c>
      <c r="F58">
        <v>94</v>
      </c>
      <c r="G58" s="16">
        <v>0.37777777777777799</v>
      </c>
      <c r="H58">
        <v>45</v>
      </c>
      <c r="I58" s="16">
        <v>0.2</v>
      </c>
      <c r="J58">
        <v>45</v>
      </c>
      <c r="K58" s="16">
        <v>0.28571428571428598</v>
      </c>
      <c r="L58">
        <v>49</v>
      </c>
      <c r="M58" s="16">
        <v>0.20408163265306101</v>
      </c>
      <c r="N58" s="11">
        <v>49</v>
      </c>
    </row>
    <row r="59" spans="1:14" outlineLevel="1" x14ac:dyDescent="0.25">
      <c r="A59" s="6" t="s">
        <v>15</v>
      </c>
      <c r="B59" t="s">
        <v>70</v>
      </c>
      <c r="C59" s="16">
        <v>0.17241379310344801</v>
      </c>
      <c r="D59">
        <v>58</v>
      </c>
      <c r="E59" s="16">
        <v>0.12068965517241401</v>
      </c>
      <c r="F59">
        <v>58</v>
      </c>
      <c r="G59" s="16">
        <v>0.107142857142857</v>
      </c>
      <c r="H59">
        <v>28</v>
      </c>
      <c r="I59" s="16">
        <v>7.1428571428571397E-2</v>
      </c>
      <c r="J59">
        <v>28</v>
      </c>
      <c r="K59" s="16">
        <v>0.233333333333333</v>
      </c>
      <c r="L59">
        <v>30</v>
      </c>
      <c r="M59" s="16">
        <v>0.16666666666666699</v>
      </c>
      <c r="N59" s="11">
        <v>30</v>
      </c>
    </row>
    <row r="60" spans="1:14" outlineLevel="1" x14ac:dyDescent="0.25">
      <c r="A60" s="6" t="s">
        <v>15</v>
      </c>
      <c r="B60" t="s">
        <v>71</v>
      </c>
      <c r="C60" s="16">
        <v>0.22033898305084701</v>
      </c>
      <c r="D60">
        <v>59</v>
      </c>
      <c r="E60" s="16">
        <v>0.152542372881356</v>
      </c>
      <c r="F60">
        <v>59</v>
      </c>
      <c r="G60" s="16">
        <v>0.16666666666666699</v>
      </c>
      <c r="H60">
        <v>30</v>
      </c>
      <c r="I60" s="16">
        <v>0.133333333333333</v>
      </c>
      <c r="J60">
        <v>30</v>
      </c>
      <c r="K60" s="16">
        <v>0.27586206896551702</v>
      </c>
      <c r="L60">
        <v>29</v>
      </c>
      <c r="M60" s="16">
        <v>0.17241379310344801</v>
      </c>
      <c r="N60" s="11">
        <v>29</v>
      </c>
    </row>
    <row r="61" spans="1:14" outlineLevel="1" x14ac:dyDescent="0.25">
      <c r="A61" s="6" t="s">
        <v>15</v>
      </c>
      <c r="B61" t="s">
        <v>72</v>
      </c>
      <c r="C61" s="16">
        <v>8.4507042253521097E-2</v>
      </c>
      <c r="D61">
        <v>71</v>
      </c>
      <c r="E61" s="16">
        <v>4.2253521126760597E-2</v>
      </c>
      <c r="F61">
        <v>71</v>
      </c>
      <c r="G61" s="16">
        <v>7.4999999999999997E-2</v>
      </c>
      <c r="H61">
        <v>40</v>
      </c>
      <c r="I61" s="16">
        <v>2.5000000000000001E-2</v>
      </c>
      <c r="J61">
        <v>40</v>
      </c>
      <c r="K61" s="16">
        <v>9.6774193548387094E-2</v>
      </c>
      <c r="L61">
        <v>31</v>
      </c>
      <c r="M61" s="16">
        <v>6.4516129032258104E-2</v>
      </c>
      <c r="N61" s="11">
        <v>31</v>
      </c>
    </row>
    <row r="62" spans="1:14" outlineLevel="1" x14ac:dyDescent="0.25">
      <c r="A62" s="6" t="s">
        <v>15</v>
      </c>
      <c r="B62" t="s">
        <v>73</v>
      </c>
      <c r="C62" s="16">
        <v>0.907407407407408</v>
      </c>
      <c r="D62">
        <v>54</v>
      </c>
      <c r="E62" s="16">
        <v>0.70370370370370405</v>
      </c>
      <c r="F62">
        <v>54</v>
      </c>
      <c r="G62" s="16">
        <v>0.92</v>
      </c>
      <c r="H62">
        <v>25</v>
      </c>
      <c r="I62" s="16">
        <v>0.72</v>
      </c>
      <c r="J62">
        <v>25</v>
      </c>
      <c r="K62" s="16">
        <v>0.89655172413793105</v>
      </c>
      <c r="L62">
        <v>29</v>
      </c>
      <c r="M62" s="16">
        <v>0.68965517241379304</v>
      </c>
      <c r="N62" s="11">
        <v>29</v>
      </c>
    </row>
    <row r="63" spans="1:14" outlineLevel="1" x14ac:dyDescent="0.25">
      <c r="A63" s="6" t="s">
        <v>15</v>
      </c>
      <c r="B63" t="s">
        <v>74</v>
      </c>
      <c r="C63" s="16">
        <v>0.18867924528301899</v>
      </c>
      <c r="D63">
        <v>53</v>
      </c>
      <c r="E63" s="16">
        <v>0.18867924528301899</v>
      </c>
      <c r="F63">
        <v>53</v>
      </c>
      <c r="G63" s="16">
        <v>0.14285714285714299</v>
      </c>
      <c r="H63">
        <v>35</v>
      </c>
      <c r="I63" s="16">
        <v>0.14285714285714299</v>
      </c>
      <c r="J63">
        <v>35</v>
      </c>
      <c r="K63" s="16">
        <v>0.27777777777777801</v>
      </c>
      <c r="L63">
        <v>18</v>
      </c>
      <c r="M63" s="16">
        <v>0.27777777777777801</v>
      </c>
      <c r="N63" s="11">
        <v>18</v>
      </c>
    </row>
    <row r="64" spans="1:14" outlineLevel="1" x14ac:dyDescent="0.25">
      <c r="A64" s="6" t="s">
        <v>15</v>
      </c>
      <c r="B64" t="s">
        <v>75</v>
      </c>
      <c r="C64" s="16">
        <v>0.70909090909090899</v>
      </c>
      <c r="D64">
        <v>55</v>
      </c>
      <c r="E64" s="16">
        <v>0.472727272727273</v>
      </c>
      <c r="F64">
        <v>55</v>
      </c>
      <c r="G64" s="16">
        <v>0.70833333333333304</v>
      </c>
      <c r="H64">
        <v>24</v>
      </c>
      <c r="I64" s="16">
        <v>0.5</v>
      </c>
      <c r="J64">
        <v>24</v>
      </c>
      <c r="K64" s="16">
        <v>0.70967741935483897</v>
      </c>
      <c r="L64">
        <v>31</v>
      </c>
      <c r="M64" s="16">
        <v>0.45161290322580599</v>
      </c>
      <c r="N64" s="11">
        <v>31</v>
      </c>
    </row>
    <row r="65" spans="1:14" outlineLevel="1" x14ac:dyDescent="0.25">
      <c r="A65" s="6" t="s">
        <v>15</v>
      </c>
      <c r="B65" t="s">
        <v>76</v>
      </c>
      <c r="C65" s="16">
        <v>0.48936170212766</v>
      </c>
      <c r="D65">
        <v>47</v>
      </c>
      <c r="E65" s="16">
        <v>0.340425531914894</v>
      </c>
      <c r="F65">
        <v>47</v>
      </c>
      <c r="G65" s="16">
        <v>0.5</v>
      </c>
      <c r="H65">
        <v>32</v>
      </c>
      <c r="I65" s="16">
        <v>0.3125</v>
      </c>
      <c r="J65">
        <v>32</v>
      </c>
      <c r="K65" s="16">
        <v>0.46666666666666701</v>
      </c>
      <c r="L65">
        <v>15</v>
      </c>
      <c r="M65" s="16">
        <v>0.4</v>
      </c>
      <c r="N65" s="11">
        <v>15</v>
      </c>
    </row>
    <row r="66" spans="1:14" outlineLevel="1" x14ac:dyDescent="0.25">
      <c r="A66" s="6" t="s">
        <v>15</v>
      </c>
      <c r="B66" t="s">
        <v>77</v>
      </c>
      <c r="C66" s="16">
        <v>0.64814814814814803</v>
      </c>
      <c r="D66">
        <v>54</v>
      </c>
      <c r="E66" s="16">
        <v>0.53703703703703698</v>
      </c>
      <c r="F66">
        <v>54</v>
      </c>
      <c r="G66" s="16">
        <v>0.55555555555555602</v>
      </c>
      <c r="H66">
        <v>27</v>
      </c>
      <c r="I66" s="16">
        <v>0.44444444444444398</v>
      </c>
      <c r="J66">
        <v>27</v>
      </c>
      <c r="K66" s="16">
        <v>0.74074074074074103</v>
      </c>
      <c r="L66">
        <v>27</v>
      </c>
      <c r="M66" s="16">
        <v>0.62962962962962998</v>
      </c>
      <c r="N66" s="11">
        <v>27</v>
      </c>
    </row>
    <row r="67" spans="1:14" outlineLevel="1" x14ac:dyDescent="0.25">
      <c r="A67" s="6" t="s">
        <v>15</v>
      </c>
      <c r="B67" t="s">
        <v>78</v>
      </c>
      <c r="C67" s="16">
        <v>0.85</v>
      </c>
      <c r="D67">
        <v>40</v>
      </c>
      <c r="E67" s="16">
        <v>0.75</v>
      </c>
      <c r="F67">
        <v>40</v>
      </c>
      <c r="G67" s="16">
        <v>0.88</v>
      </c>
      <c r="H67">
        <v>25</v>
      </c>
      <c r="I67" s="16">
        <v>0.72</v>
      </c>
      <c r="J67">
        <v>25</v>
      </c>
      <c r="K67" s="16">
        <v>0.8</v>
      </c>
      <c r="L67">
        <v>15</v>
      </c>
      <c r="M67" s="16">
        <v>0.8</v>
      </c>
      <c r="N67" s="11">
        <v>15</v>
      </c>
    </row>
    <row r="68" spans="1:14" outlineLevel="1" x14ac:dyDescent="0.25">
      <c r="A68" s="6" t="s">
        <v>15</v>
      </c>
      <c r="B68" t="s">
        <v>79</v>
      </c>
      <c r="C68" s="16">
        <v>0.70967741935483897</v>
      </c>
      <c r="D68">
        <v>31</v>
      </c>
      <c r="E68" s="16">
        <v>0.64516129032258096</v>
      </c>
      <c r="F68">
        <v>31</v>
      </c>
      <c r="G68" s="16">
        <v>0.8125</v>
      </c>
      <c r="H68">
        <v>16</v>
      </c>
      <c r="I68" s="16">
        <v>0.75</v>
      </c>
      <c r="J68">
        <v>16</v>
      </c>
      <c r="K68" s="16">
        <v>0.6</v>
      </c>
      <c r="L68">
        <v>15</v>
      </c>
      <c r="M68" s="16">
        <v>0.53333333333333299</v>
      </c>
      <c r="N68" s="11">
        <v>15</v>
      </c>
    </row>
    <row r="69" spans="1:14" outlineLevel="1" x14ac:dyDescent="0.25">
      <c r="A69" s="6" t="s">
        <v>15</v>
      </c>
      <c r="B69" t="s">
        <v>80</v>
      </c>
      <c r="C69" s="16">
        <v>0.56000000000000005</v>
      </c>
      <c r="D69">
        <v>25</v>
      </c>
      <c r="E69" s="16">
        <v>0.24</v>
      </c>
      <c r="F69">
        <v>25</v>
      </c>
      <c r="G69" s="16">
        <v>0.44444444444444398</v>
      </c>
      <c r="H69">
        <v>9</v>
      </c>
      <c r="I69" s="16">
        <v>0.22222222222222199</v>
      </c>
      <c r="J69">
        <v>9</v>
      </c>
      <c r="K69" s="16">
        <v>0.6</v>
      </c>
      <c r="L69">
        <v>15</v>
      </c>
      <c r="M69" s="16">
        <v>0.266666666666667</v>
      </c>
      <c r="N69" s="11">
        <v>15</v>
      </c>
    </row>
    <row r="70" spans="1:14" outlineLevel="1" x14ac:dyDescent="0.25">
      <c r="A70" s="6" t="s">
        <v>15</v>
      </c>
      <c r="B70" t="s">
        <v>81</v>
      </c>
      <c r="C70" s="16">
        <v>0.76271186440677996</v>
      </c>
      <c r="D70">
        <v>59</v>
      </c>
      <c r="E70" s="16">
        <v>0.47457627118644102</v>
      </c>
      <c r="F70">
        <v>59</v>
      </c>
      <c r="G70" s="16">
        <v>0.72727272727272696</v>
      </c>
      <c r="H70">
        <v>33</v>
      </c>
      <c r="I70" s="16">
        <v>0.60606060606060597</v>
      </c>
      <c r="J70">
        <v>33</v>
      </c>
      <c r="K70" s="16">
        <v>0.80769230769230804</v>
      </c>
      <c r="L70">
        <v>26</v>
      </c>
      <c r="M70" s="16">
        <v>0.30769230769230799</v>
      </c>
      <c r="N70" s="11">
        <v>26</v>
      </c>
    </row>
    <row r="71" spans="1:14" outlineLevel="1" x14ac:dyDescent="0.25">
      <c r="A71" s="6" t="s">
        <v>15</v>
      </c>
      <c r="B71" t="s">
        <v>82</v>
      </c>
      <c r="C71" s="16">
        <v>0.6</v>
      </c>
      <c r="D71">
        <v>15</v>
      </c>
      <c r="E71" s="16">
        <v>0.46666666666666701</v>
      </c>
      <c r="F71">
        <v>15</v>
      </c>
      <c r="G71" s="16">
        <v>0.625</v>
      </c>
      <c r="H71">
        <v>8</v>
      </c>
      <c r="I71" s="16">
        <v>0.5</v>
      </c>
      <c r="J71">
        <v>8</v>
      </c>
      <c r="K71" s="16">
        <v>0.57142857142857095</v>
      </c>
      <c r="L71">
        <v>7</v>
      </c>
      <c r="M71" s="16">
        <v>0.42857142857142899</v>
      </c>
      <c r="N71" s="11">
        <v>7</v>
      </c>
    </row>
    <row r="72" spans="1:14" outlineLevel="1" x14ac:dyDescent="0.25">
      <c r="A72" s="7" t="s">
        <v>15</v>
      </c>
      <c r="B72" s="9" t="s">
        <v>83</v>
      </c>
      <c r="C72" s="15">
        <v>0.95422552792404502</v>
      </c>
      <c r="D72" s="9">
        <v>138</v>
      </c>
      <c r="E72" s="15">
        <v>0.69800485823521696</v>
      </c>
      <c r="F72" s="9">
        <v>138</v>
      </c>
      <c r="G72" s="15">
        <v>0.94044096163444801</v>
      </c>
      <c r="H72" s="9">
        <v>62</v>
      </c>
      <c r="I72" s="15">
        <v>0.583889856592542</v>
      </c>
      <c r="J72" s="9">
        <v>62</v>
      </c>
      <c r="K72" s="15">
        <v>0.96950157586780605</v>
      </c>
      <c r="L72" s="9">
        <v>76</v>
      </c>
      <c r="M72" s="15">
        <v>0.82446703336448401</v>
      </c>
      <c r="N72" s="12">
        <v>76</v>
      </c>
    </row>
    <row r="73" spans="1:14" x14ac:dyDescent="0.25">
      <c r="C73" s="16"/>
      <c r="E73" s="16"/>
      <c r="G73" s="16"/>
      <c r="I73" s="16"/>
      <c r="K73" s="16"/>
      <c r="M73" s="16"/>
    </row>
    <row r="74" spans="1:14" x14ac:dyDescent="0.25">
      <c r="A74" s="19" t="s">
        <v>84</v>
      </c>
      <c r="B74" s="19"/>
      <c r="C74" s="20"/>
      <c r="D74" s="19"/>
      <c r="E74" s="20"/>
      <c r="F74" s="19"/>
      <c r="G74" s="20"/>
      <c r="H74" s="19"/>
      <c r="I74" s="20"/>
      <c r="J74" s="19"/>
      <c r="K74" s="20"/>
      <c r="L74" s="19"/>
      <c r="M74" s="20"/>
      <c r="N74" s="19"/>
    </row>
    <row r="75" spans="1:14" outlineLevel="1" x14ac:dyDescent="0.25">
      <c r="A75" s="5" t="s">
        <v>15</v>
      </c>
      <c r="B75" s="8" t="s">
        <v>85</v>
      </c>
      <c r="C75" s="14">
        <v>0.42018211170278003</v>
      </c>
      <c r="D75" s="8">
        <v>806</v>
      </c>
      <c r="E75" s="14">
        <v>0.28249374176998199</v>
      </c>
      <c r="F75" s="8">
        <v>806</v>
      </c>
      <c r="G75" s="14">
        <v>0.38441886845018203</v>
      </c>
      <c r="H75" s="8">
        <v>406</v>
      </c>
      <c r="I75" s="14">
        <v>0.26773767316726499</v>
      </c>
      <c r="J75" s="8">
        <v>406</v>
      </c>
      <c r="K75" s="14">
        <v>0.45299280939091302</v>
      </c>
      <c r="L75" s="8">
        <v>398</v>
      </c>
      <c r="M75" s="14">
        <v>0.29776626934613598</v>
      </c>
      <c r="N75" s="10">
        <v>398</v>
      </c>
    </row>
    <row r="76" spans="1:14" outlineLevel="1" x14ac:dyDescent="0.25">
      <c r="A76" s="6" t="s">
        <v>15</v>
      </c>
      <c r="B76" t="s">
        <v>86</v>
      </c>
      <c r="C76" s="16">
        <v>0.4</v>
      </c>
      <c r="D76">
        <v>120</v>
      </c>
      <c r="E76" s="16">
        <v>0.29166666666666702</v>
      </c>
      <c r="F76">
        <v>120</v>
      </c>
      <c r="G76" s="16">
        <v>0.42857142857142899</v>
      </c>
      <c r="H76">
        <v>63</v>
      </c>
      <c r="I76" s="16">
        <v>0.365079365079365</v>
      </c>
      <c r="J76">
        <v>63</v>
      </c>
      <c r="K76" s="16">
        <v>0.36842105263157898</v>
      </c>
      <c r="L76">
        <v>57</v>
      </c>
      <c r="M76" s="16">
        <v>0.21052631578947401</v>
      </c>
      <c r="N76" s="11">
        <v>57</v>
      </c>
    </row>
    <row r="77" spans="1:14" outlineLevel="1" x14ac:dyDescent="0.25">
      <c r="A77" s="6" t="s">
        <v>15</v>
      </c>
      <c r="B77" t="s">
        <v>87</v>
      </c>
      <c r="C77" s="16">
        <v>0.75661396936570002</v>
      </c>
      <c r="D77">
        <v>1189</v>
      </c>
      <c r="E77" s="16">
        <v>0.55945803282861295</v>
      </c>
      <c r="F77">
        <v>1189</v>
      </c>
      <c r="G77" s="16">
        <v>0.75722705071902097</v>
      </c>
      <c r="H77">
        <v>624</v>
      </c>
      <c r="I77" s="16">
        <v>0.54446518589160497</v>
      </c>
      <c r="J77">
        <v>624</v>
      </c>
      <c r="K77" s="16">
        <v>0.75564327576041701</v>
      </c>
      <c r="L77">
        <v>564</v>
      </c>
      <c r="M77" s="16">
        <v>0.57691567406217303</v>
      </c>
      <c r="N77" s="11">
        <v>564</v>
      </c>
    </row>
    <row r="78" spans="1:14" outlineLevel="1" x14ac:dyDescent="0.25">
      <c r="A78" s="7" t="s">
        <v>15</v>
      </c>
      <c r="B78" s="9" t="s">
        <v>88</v>
      </c>
      <c r="C78" s="15">
        <v>0.36102360407675299</v>
      </c>
      <c r="D78" s="9">
        <v>660</v>
      </c>
      <c r="E78" s="15">
        <v>0.239776638262366</v>
      </c>
      <c r="F78" s="9">
        <v>660</v>
      </c>
      <c r="G78" s="15">
        <v>0.37116502897389703</v>
      </c>
      <c r="H78" s="9">
        <v>341</v>
      </c>
      <c r="I78" s="15">
        <v>0.24460180757264399</v>
      </c>
      <c r="J78" s="9">
        <v>341</v>
      </c>
      <c r="K78" s="15">
        <v>0.34931327556473901</v>
      </c>
      <c r="L78" s="9">
        <v>319</v>
      </c>
      <c r="M78" s="15">
        <v>0.23420500327788099</v>
      </c>
      <c r="N78" s="12">
        <v>319</v>
      </c>
    </row>
    <row r="79" spans="1:14" x14ac:dyDescent="0.25">
      <c r="C79" s="16"/>
      <c r="E79" s="16"/>
      <c r="G79" s="16"/>
      <c r="I79" s="16"/>
      <c r="K79" s="16"/>
      <c r="M79" s="16"/>
    </row>
    <row r="80" spans="1:14" x14ac:dyDescent="0.25">
      <c r="A80" s="19" t="s">
        <v>89</v>
      </c>
      <c r="B80" s="19"/>
      <c r="C80" s="20"/>
      <c r="D80" s="19"/>
      <c r="E80" s="20"/>
      <c r="F80" s="19"/>
      <c r="G80" s="20"/>
      <c r="H80" s="19"/>
      <c r="I80" s="20"/>
      <c r="J80" s="19"/>
      <c r="K80" s="20"/>
      <c r="L80" s="19"/>
      <c r="M80" s="20"/>
      <c r="N80" s="19"/>
    </row>
    <row r="81" spans="1:14" outlineLevel="1" x14ac:dyDescent="0.25">
      <c r="A81" s="5" t="s">
        <v>15</v>
      </c>
      <c r="B81" s="8" t="s">
        <v>90</v>
      </c>
      <c r="C81" s="14">
        <v>0.38017842412257302</v>
      </c>
      <c r="D81" s="8">
        <v>594</v>
      </c>
      <c r="E81" s="14">
        <v>0.273566973448571</v>
      </c>
      <c r="F81" s="8">
        <v>594</v>
      </c>
      <c r="G81" s="14">
        <v>0.35485740369927299</v>
      </c>
      <c r="H81" s="8">
        <v>306</v>
      </c>
      <c r="I81" s="14">
        <v>0.260810737810659</v>
      </c>
      <c r="J81" s="8">
        <v>306</v>
      </c>
      <c r="K81" s="14">
        <v>0.40608517253114901</v>
      </c>
      <c r="L81" s="8">
        <v>287</v>
      </c>
      <c r="M81" s="14">
        <v>0.28685874001455403</v>
      </c>
      <c r="N81" s="10">
        <v>287</v>
      </c>
    </row>
    <row r="82" spans="1:14" outlineLevel="1" x14ac:dyDescent="0.25">
      <c r="A82" s="6" t="s">
        <v>15</v>
      </c>
      <c r="B82" t="s">
        <v>91</v>
      </c>
      <c r="C82" s="16">
        <v>0.55709477510163596</v>
      </c>
      <c r="D82">
        <v>212</v>
      </c>
      <c r="E82" s="16">
        <v>0.31304561586854901</v>
      </c>
      <c r="F82">
        <v>212</v>
      </c>
      <c r="G82" s="16">
        <v>0.49702521265069999</v>
      </c>
      <c r="H82">
        <v>100</v>
      </c>
      <c r="I82" s="16">
        <v>0.294123945755353</v>
      </c>
      <c r="J82">
        <v>100</v>
      </c>
      <c r="K82" s="16">
        <v>0.60035535755995695</v>
      </c>
      <c r="L82">
        <v>111</v>
      </c>
      <c r="M82" s="16">
        <v>0.33203278593352897</v>
      </c>
      <c r="N82" s="11">
        <v>111</v>
      </c>
    </row>
    <row r="83" spans="1:14" outlineLevel="1" x14ac:dyDescent="0.25">
      <c r="A83" s="6" t="s">
        <v>15</v>
      </c>
      <c r="B83" t="s">
        <v>92</v>
      </c>
      <c r="C83" s="16">
        <v>0.241935483870968</v>
      </c>
      <c r="D83">
        <v>62</v>
      </c>
      <c r="E83" s="16">
        <v>0.17741935483870999</v>
      </c>
      <c r="F83">
        <v>62</v>
      </c>
      <c r="G83" s="16">
        <v>0.27586206896551702</v>
      </c>
      <c r="H83">
        <v>29</v>
      </c>
      <c r="I83" s="16">
        <v>0.24137931034482801</v>
      </c>
      <c r="J83">
        <v>29</v>
      </c>
      <c r="K83" s="16">
        <v>0.21212121212121199</v>
      </c>
      <c r="L83">
        <v>33</v>
      </c>
      <c r="M83" s="16">
        <v>0.12121212121212099</v>
      </c>
      <c r="N83" s="11">
        <v>33</v>
      </c>
    </row>
    <row r="84" spans="1:14" outlineLevel="1" x14ac:dyDescent="0.25">
      <c r="A84" s="6" t="s">
        <v>15</v>
      </c>
      <c r="B84" t="s">
        <v>93</v>
      </c>
      <c r="C84" s="16">
        <v>0.568965517241379</v>
      </c>
      <c r="D84">
        <v>58</v>
      </c>
      <c r="E84" s="16">
        <v>0.41379310344827602</v>
      </c>
      <c r="F84">
        <v>58</v>
      </c>
      <c r="G84" s="16">
        <v>0.55882352941176505</v>
      </c>
      <c r="H84">
        <v>34</v>
      </c>
      <c r="I84" s="16">
        <v>0.47058823529411797</v>
      </c>
      <c r="J84">
        <v>34</v>
      </c>
      <c r="K84" s="16">
        <v>0.58333333333333304</v>
      </c>
      <c r="L84">
        <v>24</v>
      </c>
      <c r="M84" s="16">
        <v>0.33333333333333298</v>
      </c>
      <c r="N84" s="11">
        <v>24</v>
      </c>
    </row>
    <row r="85" spans="1:14" outlineLevel="1" x14ac:dyDescent="0.25">
      <c r="A85" s="6" t="s">
        <v>15</v>
      </c>
      <c r="B85" t="s">
        <v>94</v>
      </c>
      <c r="C85" s="16">
        <v>0.73439501850648703</v>
      </c>
      <c r="D85">
        <v>860</v>
      </c>
      <c r="E85" s="16">
        <v>0.56831980454961595</v>
      </c>
      <c r="F85">
        <v>860</v>
      </c>
      <c r="G85" s="16">
        <v>0.71679226454446598</v>
      </c>
      <c r="H85">
        <v>454</v>
      </c>
      <c r="I85" s="16">
        <v>0.54091971062783795</v>
      </c>
      <c r="J85">
        <v>454</v>
      </c>
      <c r="K85" s="16">
        <v>0.75262258317351405</v>
      </c>
      <c r="L85">
        <v>406</v>
      </c>
      <c r="M85" s="16">
        <v>0.59669246628876205</v>
      </c>
      <c r="N85" s="11">
        <v>406</v>
      </c>
    </row>
    <row r="86" spans="1:14" outlineLevel="1" x14ac:dyDescent="0.25">
      <c r="A86" s="6" t="s">
        <v>15</v>
      </c>
      <c r="B86" t="s">
        <v>95</v>
      </c>
      <c r="C86" s="16">
        <v>0.82341135995533998</v>
      </c>
      <c r="D86">
        <v>329</v>
      </c>
      <c r="E86" s="16">
        <v>0.53281666570399999</v>
      </c>
      <c r="F86">
        <v>329</v>
      </c>
      <c r="G86" s="16">
        <v>0.86260348759941297</v>
      </c>
      <c r="H86">
        <v>170</v>
      </c>
      <c r="I86" s="16">
        <v>0.55370499116052496</v>
      </c>
      <c r="J86">
        <v>170</v>
      </c>
      <c r="K86" s="16">
        <v>0.76649952941947297</v>
      </c>
      <c r="L86">
        <v>158</v>
      </c>
      <c r="M86" s="16">
        <v>0.50583863897914805</v>
      </c>
      <c r="N86" s="11">
        <v>158</v>
      </c>
    </row>
    <row r="87" spans="1:14" outlineLevel="1" x14ac:dyDescent="0.25">
      <c r="A87" s="6" t="s">
        <v>15</v>
      </c>
      <c r="B87" t="s">
        <v>96</v>
      </c>
      <c r="C87" s="16">
        <v>0.28452899493892297</v>
      </c>
      <c r="D87">
        <v>522</v>
      </c>
      <c r="E87" s="16">
        <v>0.17946936955718401</v>
      </c>
      <c r="F87">
        <v>522</v>
      </c>
      <c r="G87" s="16">
        <v>0.295373988237491</v>
      </c>
      <c r="H87">
        <v>256</v>
      </c>
      <c r="I87" s="16">
        <v>0.19344108785379199</v>
      </c>
      <c r="J87">
        <v>256</v>
      </c>
      <c r="K87" s="16">
        <v>0.27302136687529399</v>
      </c>
      <c r="L87">
        <v>266</v>
      </c>
      <c r="M87" s="16">
        <v>0.164643971962112</v>
      </c>
      <c r="N87" s="11">
        <v>266</v>
      </c>
    </row>
    <row r="88" spans="1:14" outlineLevel="1" x14ac:dyDescent="0.25">
      <c r="A88" s="7" t="s">
        <v>15</v>
      </c>
      <c r="B88" s="9" t="s">
        <v>97</v>
      </c>
      <c r="C88" s="15">
        <v>0.60878108312585699</v>
      </c>
      <c r="D88" s="9">
        <v>138</v>
      </c>
      <c r="E88" s="15">
        <v>0.43510513305617299</v>
      </c>
      <c r="F88" s="9">
        <v>138</v>
      </c>
      <c r="G88" s="15">
        <v>0.58034345180859104</v>
      </c>
      <c r="H88" s="9">
        <v>85</v>
      </c>
      <c r="I88" s="15">
        <v>0.38580212040509398</v>
      </c>
      <c r="J88" s="9">
        <v>85</v>
      </c>
      <c r="K88" s="15">
        <v>0.65218526383193598</v>
      </c>
      <c r="L88" s="9">
        <v>53</v>
      </c>
      <c r="M88" s="15">
        <v>0.51035601617604198</v>
      </c>
      <c r="N88" s="12">
        <v>53</v>
      </c>
    </row>
    <row r="89" spans="1:14" x14ac:dyDescent="0.25">
      <c r="C89" s="16"/>
      <c r="E89" s="16"/>
      <c r="G89" s="16"/>
      <c r="I89" s="16"/>
      <c r="K89" s="16"/>
      <c r="M89" s="16"/>
    </row>
    <row r="90" spans="1:14" x14ac:dyDescent="0.25">
      <c r="A90" s="19" t="s">
        <v>98</v>
      </c>
      <c r="B90" s="19"/>
      <c r="C90" s="20"/>
      <c r="D90" s="19"/>
      <c r="E90" s="20"/>
      <c r="F90" s="19"/>
      <c r="G90" s="20"/>
      <c r="H90" s="19"/>
      <c r="I90" s="20"/>
      <c r="J90" s="19"/>
      <c r="K90" s="20"/>
      <c r="L90" s="19"/>
      <c r="M90" s="20"/>
      <c r="N90" s="19"/>
    </row>
    <row r="91" spans="1:14" outlineLevel="1" x14ac:dyDescent="0.25">
      <c r="A91" s="5" t="s">
        <v>15</v>
      </c>
      <c r="B91" s="8" t="s">
        <v>99</v>
      </c>
      <c r="C91" s="14">
        <v>0.41964768423460802</v>
      </c>
      <c r="D91" s="8">
        <v>330</v>
      </c>
      <c r="E91" s="14">
        <v>0.30532960188739799</v>
      </c>
      <c r="F91" s="8">
        <v>330</v>
      </c>
      <c r="G91" s="14">
        <v>0.32024676930526702</v>
      </c>
      <c r="H91" s="8">
        <v>156</v>
      </c>
      <c r="I91" s="14">
        <v>0.288510811720049</v>
      </c>
      <c r="J91" s="8">
        <v>156</v>
      </c>
      <c r="K91" s="14">
        <v>0.50237560000524495</v>
      </c>
      <c r="L91" s="8">
        <v>172</v>
      </c>
      <c r="M91" s="14">
        <v>0.32288085186459597</v>
      </c>
      <c r="N91" s="10">
        <v>172</v>
      </c>
    </row>
    <row r="92" spans="1:14" outlineLevel="1" x14ac:dyDescent="0.25">
      <c r="A92" s="6" t="s">
        <v>15</v>
      </c>
      <c r="B92" t="s">
        <v>100</v>
      </c>
      <c r="C92" s="16">
        <v>0.42062100797031898</v>
      </c>
      <c r="D92">
        <v>476</v>
      </c>
      <c r="E92" s="16">
        <v>0.26373988952908201</v>
      </c>
      <c r="F92">
        <v>476</v>
      </c>
      <c r="G92" s="16">
        <v>0.43207602286804297</v>
      </c>
      <c r="H92">
        <v>250</v>
      </c>
      <c r="I92" s="16">
        <v>0.25231058437096399</v>
      </c>
      <c r="J92">
        <v>250</v>
      </c>
      <c r="K92" s="16">
        <v>0.40896146128700001</v>
      </c>
      <c r="L92">
        <v>226</v>
      </c>
      <c r="M92" s="16">
        <v>0.27537326741979601</v>
      </c>
      <c r="N92" s="11">
        <v>226</v>
      </c>
    </row>
    <row r="93" spans="1:14" outlineLevel="1" x14ac:dyDescent="0.25">
      <c r="A93" s="6" t="s">
        <v>15</v>
      </c>
      <c r="B93" t="s">
        <v>101</v>
      </c>
      <c r="C93" s="16"/>
      <c r="E93" s="16"/>
      <c r="G93" s="16">
        <v>0.74929559772204302</v>
      </c>
      <c r="H93">
        <v>1028</v>
      </c>
      <c r="I93" s="16">
        <v>0.53958235851154601</v>
      </c>
      <c r="J93">
        <v>1028</v>
      </c>
      <c r="K93" s="16">
        <v>0.74658171925791805</v>
      </c>
      <c r="L93">
        <v>940</v>
      </c>
      <c r="M93" s="16">
        <v>0.56859341408139696</v>
      </c>
      <c r="N93" s="11">
        <v>940</v>
      </c>
    </row>
    <row r="94" spans="1:14" outlineLevel="1" x14ac:dyDescent="0.25">
      <c r="A94" s="7" t="s">
        <v>15</v>
      </c>
      <c r="B94" s="9" t="s">
        <v>15</v>
      </c>
      <c r="C94" s="15">
        <v>0.74815110184408695</v>
      </c>
      <c r="D94" s="9">
        <v>1969</v>
      </c>
      <c r="E94" s="15">
        <v>0.55296453455860595</v>
      </c>
      <c r="F94" s="9">
        <v>1969</v>
      </c>
      <c r="G94" s="15"/>
      <c r="H94" s="9"/>
      <c r="I94" s="15"/>
      <c r="J94" s="9"/>
      <c r="K94" s="15"/>
      <c r="L94" s="9"/>
      <c r="M94" s="15"/>
      <c r="N94" s="12"/>
    </row>
    <row r="95" spans="1:14" x14ac:dyDescent="0.25">
      <c r="C95" s="16"/>
      <c r="E95" s="16"/>
      <c r="G95" s="16"/>
      <c r="I95" s="16"/>
      <c r="K95" s="16"/>
      <c r="M95" s="16"/>
    </row>
    <row r="96" spans="1:14" x14ac:dyDescent="0.25">
      <c r="A96" s="19" t="s">
        <v>102</v>
      </c>
      <c r="B96" s="19"/>
      <c r="C96" s="20"/>
      <c r="D96" s="19"/>
      <c r="E96" s="20"/>
      <c r="F96" s="19"/>
      <c r="G96" s="20"/>
      <c r="H96" s="19"/>
      <c r="I96" s="20"/>
      <c r="J96" s="19"/>
      <c r="K96" s="20"/>
      <c r="L96" s="19"/>
      <c r="M96" s="20"/>
      <c r="N96" s="19"/>
    </row>
    <row r="97" spans="1:14" outlineLevel="1" x14ac:dyDescent="0.25">
      <c r="A97" s="5" t="s">
        <v>15</v>
      </c>
      <c r="B97" s="8" t="s">
        <v>101</v>
      </c>
      <c r="C97" s="14"/>
      <c r="D97" s="8"/>
      <c r="E97" s="14"/>
      <c r="F97" s="8"/>
      <c r="G97" s="14">
        <v>0.75166070302977905</v>
      </c>
      <c r="H97" s="8">
        <v>688</v>
      </c>
      <c r="I97" s="14">
        <v>0.54142922162668905</v>
      </c>
      <c r="J97" s="8">
        <v>688</v>
      </c>
      <c r="K97" s="14">
        <v>0.74901025680508404</v>
      </c>
      <c r="L97" s="8">
        <v>623</v>
      </c>
      <c r="M97" s="14">
        <v>0.57065383099128597</v>
      </c>
      <c r="N97" s="10">
        <v>623</v>
      </c>
    </row>
    <row r="98" spans="1:14" outlineLevel="1" x14ac:dyDescent="0.25">
      <c r="A98" s="6" t="s">
        <v>15</v>
      </c>
      <c r="B98" t="s">
        <v>103</v>
      </c>
      <c r="C98" s="16">
        <v>0.41145821903903801</v>
      </c>
      <c r="D98">
        <v>1085</v>
      </c>
      <c r="E98" s="16">
        <v>0.28325623958948198</v>
      </c>
      <c r="F98">
        <v>1085</v>
      </c>
      <c r="G98" s="16">
        <v>0.38690344437690999</v>
      </c>
      <c r="H98">
        <v>555</v>
      </c>
      <c r="I98" s="16">
        <v>0.26384948235863598</v>
      </c>
      <c r="J98">
        <v>555</v>
      </c>
      <c r="K98" s="16">
        <v>0.43383867589938802</v>
      </c>
      <c r="L98">
        <v>528</v>
      </c>
      <c r="M98" s="16">
        <v>0.30340154712966699</v>
      </c>
      <c r="N98" s="11">
        <v>528</v>
      </c>
    </row>
    <row r="99" spans="1:14" outlineLevel="1" x14ac:dyDescent="0.25">
      <c r="A99" s="6" t="s">
        <v>15</v>
      </c>
      <c r="B99" t="s">
        <v>104</v>
      </c>
      <c r="C99" s="16">
        <v>0.33071881618672799</v>
      </c>
      <c r="D99">
        <v>205</v>
      </c>
      <c r="E99" s="16">
        <v>0.209758288895598</v>
      </c>
      <c r="F99">
        <v>205</v>
      </c>
      <c r="G99" s="16">
        <v>0.28821826744397899</v>
      </c>
      <c r="H99">
        <v>110</v>
      </c>
      <c r="I99" s="16">
        <v>0.20592262007603401</v>
      </c>
      <c r="J99">
        <v>110</v>
      </c>
      <c r="K99" s="16">
        <v>0.37457769272081498</v>
      </c>
      <c r="L99">
        <v>95</v>
      </c>
      <c r="M99" s="16">
        <v>0.213716546616013</v>
      </c>
      <c r="N99" s="11">
        <v>95</v>
      </c>
    </row>
    <row r="100" spans="1:14" outlineLevel="1" x14ac:dyDescent="0.25">
      <c r="A100" s="6" t="s">
        <v>15</v>
      </c>
      <c r="B100" t="s">
        <v>105</v>
      </c>
      <c r="C100" s="16">
        <v>1</v>
      </c>
      <c r="D100">
        <v>1</v>
      </c>
      <c r="E100" s="16"/>
      <c r="G100" s="16"/>
      <c r="I100" s="16"/>
      <c r="K100" s="16">
        <v>1</v>
      </c>
      <c r="L100">
        <v>1</v>
      </c>
      <c r="M100" s="16"/>
      <c r="N100" s="11"/>
    </row>
    <row r="101" spans="1:14" outlineLevel="1" x14ac:dyDescent="0.25">
      <c r="A101" s="6" t="s">
        <v>15</v>
      </c>
      <c r="B101" t="s">
        <v>107</v>
      </c>
      <c r="C101" s="16">
        <v>1</v>
      </c>
      <c r="D101">
        <v>1</v>
      </c>
      <c r="E101" s="16"/>
      <c r="G101" s="16"/>
      <c r="I101" s="16"/>
      <c r="K101" s="16">
        <v>1</v>
      </c>
      <c r="L101">
        <v>1</v>
      </c>
      <c r="M101" s="16"/>
      <c r="N101" s="11"/>
    </row>
    <row r="102" spans="1:14" outlineLevel="1" x14ac:dyDescent="0.25">
      <c r="A102" s="6" t="s">
        <v>15</v>
      </c>
      <c r="B102" t="s">
        <v>108</v>
      </c>
      <c r="C102" s="16">
        <v>0.625</v>
      </c>
      <c r="D102">
        <v>8</v>
      </c>
      <c r="E102" s="16">
        <v>0.25</v>
      </c>
      <c r="F102">
        <v>8</v>
      </c>
      <c r="G102" s="16">
        <v>0.5</v>
      </c>
      <c r="H102">
        <v>4</v>
      </c>
      <c r="I102" s="16">
        <v>0.5</v>
      </c>
      <c r="J102">
        <v>4</v>
      </c>
      <c r="K102" s="16">
        <v>0.75</v>
      </c>
      <c r="L102">
        <v>4</v>
      </c>
      <c r="M102" s="16"/>
      <c r="N102" s="11"/>
    </row>
    <row r="103" spans="1:14" outlineLevel="1" x14ac:dyDescent="0.25">
      <c r="A103" s="6" t="s">
        <v>15</v>
      </c>
      <c r="B103" t="s">
        <v>109</v>
      </c>
      <c r="C103" s="16">
        <v>0.49357360470301698</v>
      </c>
      <c r="D103">
        <v>52</v>
      </c>
      <c r="E103" s="16">
        <v>0.150767476988035</v>
      </c>
      <c r="F103">
        <v>52</v>
      </c>
      <c r="G103" s="16">
        <v>0.20537247651645901</v>
      </c>
      <c r="H103">
        <v>21</v>
      </c>
      <c r="I103" s="16">
        <v>7.2816074913440207E-2</v>
      </c>
      <c r="J103">
        <v>21</v>
      </c>
      <c r="K103" s="16">
        <v>0.66896229621733405</v>
      </c>
      <c r="L103">
        <v>31</v>
      </c>
      <c r="M103" s="16">
        <v>0.19820585621158801</v>
      </c>
      <c r="N103" s="11">
        <v>31</v>
      </c>
    </row>
    <row r="104" spans="1:14" outlineLevel="1" x14ac:dyDescent="0.25">
      <c r="A104" s="6" t="s">
        <v>15</v>
      </c>
      <c r="B104" t="s">
        <v>110</v>
      </c>
      <c r="C104" s="16">
        <v>0.651493212876046</v>
      </c>
      <c r="D104">
        <v>16</v>
      </c>
      <c r="E104" s="16">
        <v>0.64093610701297099</v>
      </c>
      <c r="F104">
        <v>16</v>
      </c>
      <c r="G104" s="16">
        <v>0.57580244085591203</v>
      </c>
      <c r="H104">
        <v>10</v>
      </c>
      <c r="I104" s="16">
        <v>0.55355740670508702</v>
      </c>
      <c r="J104">
        <v>10</v>
      </c>
      <c r="K104" s="16">
        <v>0.71986080321384405</v>
      </c>
      <c r="L104">
        <v>6</v>
      </c>
      <c r="M104" s="16">
        <v>0.71986080321384405</v>
      </c>
      <c r="N104" s="11">
        <v>6</v>
      </c>
    </row>
    <row r="105" spans="1:14" outlineLevel="1" x14ac:dyDescent="0.25">
      <c r="A105" s="6" t="s">
        <v>15</v>
      </c>
      <c r="B105" t="s">
        <v>112</v>
      </c>
      <c r="C105" s="16">
        <v>0.78041617185785495</v>
      </c>
      <c r="D105">
        <v>14</v>
      </c>
      <c r="E105" s="16">
        <v>0.47738343645415099</v>
      </c>
      <c r="F105">
        <v>14</v>
      </c>
      <c r="G105" s="16">
        <v>0.85457735134592605</v>
      </c>
      <c r="H105">
        <v>7</v>
      </c>
      <c r="I105" s="16">
        <v>0.63789370931321898</v>
      </c>
      <c r="J105">
        <v>7</v>
      </c>
      <c r="K105" s="16">
        <v>0.67562612176751902</v>
      </c>
      <c r="L105">
        <v>7</v>
      </c>
      <c r="M105" s="16">
        <v>0.25058176408295502</v>
      </c>
      <c r="N105" s="11">
        <v>7</v>
      </c>
    </row>
    <row r="106" spans="1:14" outlineLevel="1" x14ac:dyDescent="0.25">
      <c r="A106" s="6" t="s">
        <v>15</v>
      </c>
      <c r="B106" t="s">
        <v>113</v>
      </c>
      <c r="C106" s="16">
        <v>0.78350901251100602</v>
      </c>
      <c r="D106">
        <v>26</v>
      </c>
      <c r="E106" s="16">
        <v>0.72675602076870405</v>
      </c>
      <c r="F106">
        <v>26</v>
      </c>
      <c r="G106" s="16">
        <v>1</v>
      </c>
      <c r="H106">
        <v>14</v>
      </c>
      <c r="I106" s="16">
        <v>0.92346654561960695</v>
      </c>
      <c r="J106">
        <v>14</v>
      </c>
      <c r="K106" s="16">
        <v>0.56950188241001998</v>
      </c>
      <c r="L106">
        <v>12</v>
      </c>
      <c r="M106" s="16">
        <v>0.532302406914959</v>
      </c>
      <c r="N106" s="11">
        <v>12</v>
      </c>
    </row>
    <row r="107" spans="1:14" outlineLevel="1" x14ac:dyDescent="0.25">
      <c r="A107" s="6" t="s">
        <v>15</v>
      </c>
      <c r="B107" t="s">
        <v>114</v>
      </c>
      <c r="C107" s="16">
        <v>0.794747534001497</v>
      </c>
      <c r="D107">
        <v>50</v>
      </c>
      <c r="E107" s="16">
        <v>0.57167347963398496</v>
      </c>
      <c r="F107">
        <v>50</v>
      </c>
      <c r="G107" s="16">
        <v>0.88748904997727895</v>
      </c>
      <c r="H107">
        <v>21</v>
      </c>
      <c r="I107" s="16">
        <v>0.491514786782975</v>
      </c>
      <c r="J107">
        <v>21</v>
      </c>
      <c r="K107" s="16">
        <v>0.73102212509689701</v>
      </c>
      <c r="L107">
        <v>29</v>
      </c>
      <c r="M107" s="16">
        <v>0.62675286264215901</v>
      </c>
      <c r="N107" s="11">
        <v>29</v>
      </c>
    </row>
    <row r="108" spans="1:14" outlineLevel="1" x14ac:dyDescent="0.25">
      <c r="A108" s="6" t="s">
        <v>15</v>
      </c>
      <c r="B108" t="s">
        <v>116</v>
      </c>
      <c r="C108" s="16">
        <v>0.72026747295987503</v>
      </c>
      <c r="D108">
        <v>3</v>
      </c>
      <c r="E108" s="16">
        <v>0.26049382926563802</v>
      </c>
      <c r="F108">
        <v>3</v>
      </c>
      <c r="G108" s="16">
        <v>0.72026747295987503</v>
      </c>
      <c r="H108">
        <v>3</v>
      </c>
      <c r="I108" s="16">
        <v>0.26049382926563802</v>
      </c>
      <c r="J108">
        <v>3</v>
      </c>
      <c r="K108" s="16"/>
      <c r="M108" s="16"/>
      <c r="N108" s="11"/>
    </row>
    <row r="109" spans="1:14" outlineLevel="1" x14ac:dyDescent="0.25">
      <c r="A109" s="7" t="s">
        <v>15</v>
      </c>
      <c r="B109" s="9" t="s">
        <v>15</v>
      </c>
      <c r="C109" s="15">
        <v>0.750545485140935</v>
      </c>
      <c r="D109" s="9">
        <v>1312</v>
      </c>
      <c r="E109" s="15">
        <v>0.554911047834594</v>
      </c>
      <c r="F109" s="9">
        <v>1312</v>
      </c>
      <c r="G109" s="15"/>
      <c r="H109" s="9"/>
      <c r="I109" s="15"/>
      <c r="J109" s="9"/>
      <c r="K109" s="15"/>
      <c r="L109" s="9"/>
      <c r="M109" s="15"/>
      <c r="N109" s="12"/>
    </row>
    <row r="110" spans="1:14" x14ac:dyDescent="0.25">
      <c r="C110" s="16"/>
      <c r="E110" s="16"/>
      <c r="G110" s="16"/>
      <c r="I110" s="16"/>
      <c r="K110" s="16"/>
      <c r="M110" s="16"/>
    </row>
    <row r="111" spans="1:14" x14ac:dyDescent="0.25">
      <c r="A111" s="19" t="s">
        <v>117</v>
      </c>
      <c r="B111" s="19"/>
      <c r="C111" s="20"/>
      <c r="D111" s="19"/>
      <c r="E111" s="20"/>
      <c r="F111" s="19"/>
      <c r="G111" s="20"/>
      <c r="H111" s="19"/>
      <c r="I111" s="20"/>
      <c r="J111" s="19"/>
      <c r="K111" s="20"/>
      <c r="L111" s="19"/>
      <c r="M111" s="20"/>
      <c r="N111" s="19"/>
    </row>
    <row r="112" spans="1:14" outlineLevel="1" x14ac:dyDescent="0.25">
      <c r="A112" s="5" t="s">
        <v>15</v>
      </c>
      <c r="B112" s="8" t="s">
        <v>101</v>
      </c>
      <c r="C112" s="14"/>
      <c r="D112" s="8"/>
      <c r="E112" s="14"/>
      <c r="F112" s="8"/>
      <c r="G112" s="14">
        <v>0.96409249446765299</v>
      </c>
      <c r="H112" s="8">
        <v>15</v>
      </c>
      <c r="I112" s="14">
        <v>0.88316460101123695</v>
      </c>
      <c r="J112" s="8">
        <v>15</v>
      </c>
      <c r="K112" s="14">
        <v>0.36237097933278101</v>
      </c>
      <c r="L112" s="8">
        <v>14</v>
      </c>
      <c r="M112" s="14">
        <v>0.27227204529948801</v>
      </c>
      <c r="N112" s="10">
        <v>14</v>
      </c>
    </row>
    <row r="113" spans="1:14" outlineLevel="1" x14ac:dyDescent="0.25">
      <c r="A113" s="6" t="s">
        <v>15</v>
      </c>
      <c r="B113" t="s">
        <v>118</v>
      </c>
      <c r="C113" s="16">
        <v>0.753178339071502</v>
      </c>
      <c r="D113">
        <v>1912</v>
      </c>
      <c r="E113" s="16">
        <v>0.57339726622473597</v>
      </c>
      <c r="F113">
        <v>1912</v>
      </c>
      <c r="G113" s="16">
        <v>0.75000221518218602</v>
      </c>
      <c r="H113">
        <v>1015</v>
      </c>
      <c r="I113" s="16">
        <v>0.55199659541488499</v>
      </c>
      <c r="J113">
        <v>1015</v>
      </c>
      <c r="K113" s="16">
        <v>0.75650212497037095</v>
      </c>
      <c r="L113">
        <v>895</v>
      </c>
      <c r="M113" s="16">
        <v>0.59794626113659599</v>
      </c>
      <c r="N113" s="11">
        <v>895</v>
      </c>
    </row>
    <row r="114" spans="1:14" outlineLevel="1" x14ac:dyDescent="0.25">
      <c r="A114" s="6" t="s">
        <v>15</v>
      </c>
      <c r="B114" t="s">
        <v>119</v>
      </c>
      <c r="C114" s="16">
        <v>0.59773720234982597</v>
      </c>
      <c r="D114">
        <v>727</v>
      </c>
      <c r="E114" s="16">
        <v>0.328142876254297</v>
      </c>
      <c r="F114">
        <v>727</v>
      </c>
      <c r="G114" s="16">
        <v>0.62852368470518505</v>
      </c>
      <c r="H114">
        <v>348</v>
      </c>
      <c r="I114" s="16">
        <v>0.37148038625013302</v>
      </c>
      <c r="J114">
        <v>348</v>
      </c>
      <c r="K114" s="16">
        <v>0.56316697336781996</v>
      </c>
      <c r="L114">
        <v>378</v>
      </c>
      <c r="M114" s="16">
        <v>0.28052734881770802</v>
      </c>
      <c r="N114" s="11">
        <v>378</v>
      </c>
    </row>
    <row r="115" spans="1:14" outlineLevel="1" x14ac:dyDescent="0.25">
      <c r="A115" s="6" t="s">
        <v>15</v>
      </c>
      <c r="B115" t="s">
        <v>120</v>
      </c>
      <c r="C115" s="16">
        <v>0.71601517559740702</v>
      </c>
      <c r="D115">
        <v>107</v>
      </c>
      <c r="E115" s="16">
        <v>0.54153899865506605</v>
      </c>
      <c r="F115">
        <v>107</v>
      </c>
      <c r="G115" s="16">
        <v>0.60797639793118696</v>
      </c>
      <c r="H115">
        <v>56</v>
      </c>
      <c r="I115" s="16">
        <v>0.47760562551083102</v>
      </c>
      <c r="J115">
        <v>56</v>
      </c>
      <c r="K115" s="16">
        <v>0.84898893602066905</v>
      </c>
      <c r="L115">
        <v>51</v>
      </c>
      <c r="M115" s="16">
        <v>0.62022797706795896</v>
      </c>
      <c r="N115" s="11">
        <v>51</v>
      </c>
    </row>
    <row r="116" spans="1:14" outlineLevel="1" x14ac:dyDescent="0.25">
      <c r="A116" s="7" t="s">
        <v>15</v>
      </c>
      <c r="B116" s="9" t="s">
        <v>15</v>
      </c>
      <c r="C116" s="15">
        <v>0.680559272217097</v>
      </c>
      <c r="D116" s="9">
        <v>29</v>
      </c>
      <c r="E116" s="15">
        <v>0.59530995328270098</v>
      </c>
      <c r="F116" s="9">
        <v>29</v>
      </c>
      <c r="G116" s="15"/>
      <c r="H116" s="9"/>
      <c r="I116" s="15"/>
      <c r="J116" s="9"/>
      <c r="K116" s="15"/>
      <c r="L116" s="9"/>
      <c r="M116" s="15"/>
      <c r="N116" s="12"/>
    </row>
    <row r="117" spans="1:14" x14ac:dyDescent="0.25">
      <c r="C117" s="16"/>
      <c r="E117" s="16"/>
      <c r="G117" s="16"/>
      <c r="I117" s="16"/>
      <c r="K117" s="16"/>
      <c r="M117" s="16"/>
    </row>
    <row r="118" spans="1:14" x14ac:dyDescent="0.25">
      <c r="A118" s="19" t="s">
        <v>121</v>
      </c>
      <c r="B118" s="19"/>
      <c r="C118" s="20"/>
      <c r="D118" s="19"/>
      <c r="E118" s="20"/>
      <c r="F118" s="19"/>
      <c r="G118" s="20"/>
      <c r="H118" s="19"/>
      <c r="I118" s="20"/>
      <c r="J118" s="19"/>
      <c r="K118" s="20"/>
      <c r="L118" s="19"/>
      <c r="M118" s="20"/>
      <c r="N118" s="19"/>
    </row>
    <row r="119" spans="1:14" outlineLevel="1" x14ac:dyDescent="0.25">
      <c r="A119" s="5" t="s">
        <v>15</v>
      </c>
      <c r="B119" s="8" t="s">
        <v>101</v>
      </c>
      <c r="C119" s="14"/>
      <c r="D119" s="8"/>
      <c r="E119" s="14"/>
      <c r="F119" s="8"/>
      <c r="G119" s="14">
        <v>0.162155544667516</v>
      </c>
      <c r="H119" s="8">
        <v>19</v>
      </c>
      <c r="I119" s="14">
        <v>7.0067953872401098E-2</v>
      </c>
      <c r="J119" s="8">
        <v>19</v>
      </c>
      <c r="K119" s="14">
        <v>0.61928119561894202</v>
      </c>
      <c r="L119" s="8">
        <v>17</v>
      </c>
      <c r="M119" s="14">
        <v>0.39138133130012098</v>
      </c>
      <c r="N119" s="10">
        <v>17</v>
      </c>
    </row>
    <row r="120" spans="1:14" outlineLevel="1" x14ac:dyDescent="0.25">
      <c r="A120" s="6" t="s">
        <v>15</v>
      </c>
      <c r="B120" t="s">
        <v>122</v>
      </c>
      <c r="C120" s="16">
        <v>0.56849445661158005</v>
      </c>
      <c r="D120">
        <v>200</v>
      </c>
      <c r="E120" s="16">
        <v>0.26589117053519101</v>
      </c>
      <c r="F120">
        <v>200</v>
      </c>
      <c r="G120" s="16">
        <v>0.52920803429313701</v>
      </c>
      <c r="H120">
        <v>94</v>
      </c>
      <c r="I120" s="16">
        <v>0.19654940857098799</v>
      </c>
      <c r="J120">
        <v>94</v>
      </c>
      <c r="K120" s="16">
        <v>0.61887492080653905</v>
      </c>
      <c r="L120">
        <v>106</v>
      </c>
      <c r="M120" s="16">
        <v>0.35481426278156503</v>
      </c>
      <c r="N120" s="11">
        <v>106</v>
      </c>
    </row>
    <row r="121" spans="1:14" outlineLevel="1" x14ac:dyDescent="0.25">
      <c r="A121" s="6" t="s">
        <v>15</v>
      </c>
      <c r="B121" t="s">
        <v>123</v>
      </c>
      <c r="C121" s="16">
        <v>0.54167550688006005</v>
      </c>
      <c r="D121">
        <v>987</v>
      </c>
      <c r="E121" s="16">
        <v>0.35650241331712101</v>
      </c>
      <c r="F121">
        <v>987</v>
      </c>
      <c r="G121" s="16">
        <v>0.61274660252656099</v>
      </c>
      <c r="H121">
        <v>498</v>
      </c>
      <c r="I121" s="16">
        <v>0.43870266065397501</v>
      </c>
      <c r="J121">
        <v>498</v>
      </c>
      <c r="K121" s="16">
        <v>0.46456027896734797</v>
      </c>
      <c r="L121">
        <v>488</v>
      </c>
      <c r="M121" s="16">
        <v>0.26811519309050003</v>
      </c>
      <c r="N121" s="11">
        <v>488</v>
      </c>
    </row>
    <row r="122" spans="1:14" outlineLevel="1" x14ac:dyDescent="0.25">
      <c r="A122" s="6" t="s">
        <v>15</v>
      </c>
      <c r="B122" t="s">
        <v>124</v>
      </c>
      <c r="C122" s="16">
        <v>0.78491144235211996</v>
      </c>
      <c r="D122">
        <v>1552</v>
      </c>
      <c r="E122" s="16">
        <v>0.59752548697585595</v>
      </c>
      <c r="F122">
        <v>1552</v>
      </c>
      <c r="G122" s="16">
        <v>0.77222516878372804</v>
      </c>
      <c r="H122">
        <v>823</v>
      </c>
      <c r="I122" s="16">
        <v>0.56751050570795902</v>
      </c>
      <c r="J122">
        <v>823</v>
      </c>
      <c r="K122" s="16">
        <v>0.79888500129017304</v>
      </c>
      <c r="L122">
        <v>727</v>
      </c>
      <c r="M122" s="16">
        <v>0.63191524903323104</v>
      </c>
      <c r="N122" s="11">
        <v>727</v>
      </c>
    </row>
    <row r="123" spans="1:14" outlineLevel="1" x14ac:dyDescent="0.25">
      <c r="A123" s="7" t="s">
        <v>15</v>
      </c>
      <c r="B123" s="9" t="s">
        <v>15</v>
      </c>
      <c r="C123" s="15">
        <v>0.51416564962600098</v>
      </c>
      <c r="D123" s="9">
        <v>36</v>
      </c>
      <c r="E123" s="15">
        <v>0.31749566981327598</v>
      </c>
      <c r="F123" s="9">
        <v>36</v>
      </c>
      <c r="G123" s="15"/>
      <c r="H123" s="9"/>
      <c r="I123" s="15"/>
      <c r="J123" s="9"/>
      <c r="K123" s="15"/>
      <c r="L123" s="9"/>
      <c r="M123" s="15"/>
      <c r="N123" s="12"/>
    </row>
    <row r="124" spans="1:14" x14ac:dyDescent="0.25">
      <c r="C124" s="16"/>
      <c r="E124" s="16"/>
      <c r="G124" s="16"/>
      <c r="I124" s="16"/>
      <c r="K124" s="16"/>
      <c r="M124" s="16"/>
    </row>
    <row r="125" spans="1:14" x14ac:dyDescent="0.25">
      <c r="A125" s="19" t="s">
        <v>125</v>
      </c>
      <c r="B125" s="19"/>
      <c r="C125" s="20"/>
      <c r="D125" s="19"/>
      <c r="E125" s="20"/>
      <c r="F125" s="19"/>
      <c r="G125" s="20"/>
      <c r="H125" s="19"/>
      <c r="I125" s="20"/>
      <c r="J125" s="19"/>
      <c r="K125" s="20"/>
      <c r="L125" s="19"/>
      <c r="M125" s="20"/>
      <c r="N125" s="19"/>
    </row>
    <row r="126" spans="1:14" outlineLevel="1" x14ac:dyDescent="0.25">
      <c r="A126" s="5" t="s">
        <v>15</v>
      </c>
      <c r="B126" s="8" t="s">
        <v>101</v>
      </c>
      <c r="C126" s="14"/>
      <c r="D126" s="8"/>
      <c r="E126" s="14"/>
      <c r="F126" s="8"/>
      <c r="G126" s="14">
        <v>0.63598225745283599</v>
      </c>
      <c r="H126" s="8">
        <v>10</v>
      </c>
      <c r="I126" s="14">
        <v>0.63598225745283599</v>
      </c>
      <c r="J126" s="8">
        <v>10</v>
      </c>
      <c r="K126" s="14">
        <v>9.7698788939519901E-2</v>
      </c>
      <c r="L126" s="8">
        <v>14</v>
      </c>
      <c r="M126" s="14">
        <v>3.2821925263186801E-2</v>
      </c>
      <c r="N126" s="10">
        <v>14</v>
      </c>
    </row>
    <row r="127" spans="1:14" outlineLevel="1" x14ac:dyDescent="0.25">
      <c r="A127" s="6" t="s">
        <v>15</v>
      </c>
      <c r="B127" t="s">
        <v>126</v>
      </c>
      <c r="C127" s="16">
        <v>0.54377191213117304</v>
      </c>
      <c r="D127">
        <v>366</v>
      </c>
      <c r="E127" s="16">
        <v>0.31221816299274502</v>
      </c>
      <c r="F127">
        <v>366</v>
      </c>
      <c r="G127" s="16">
        <v>0.58594856609019996</v>
      </c>
      <c r="H127">
        <v>171</v>
      </c>
      <c r="I127" s="16">
        <v>0.33501681814595502</v>
      </c>
      <c r="J127">
        <v>171</v>
      </c>
      <c r="K127" s="16">
        <v>0.48641384450887898</v>
      </c>
      <c r="L127">
        <v>195</v>
      </c>
      <c r="M127" s="16">
        <v>0.28121317133917401</v>
      </c>
      <c r="N127" s="11">
        <v>195</v>
      </c>
    </row>
    <row r="128" spans="1:14" outlineLevel="1" x14ac:dyDescent="0.25">
      <c r="A128" s="6" t="s">
        <v>15</v>
      </c>
      <c r="B128" t="s">
        <v>127</v>
      </c>
      <c r="C128" s="16">
        <v>0.56439247196527997</v>
      </c>
      <c r="D128">
        <v>376</v>
      </c>
      <c r="E128" s="16">
        <v>0.29534984721201202</v>
      </c>
      <c r="F128">
        <v>376</v>
      </c>
      <c r="G128" s="16">
        <v>0.60702502725818097</v>
      </c>
      <c r="H128">
        <v>189</v>
      </c>
      <c r="I128" s="16">
        <v>0.339648533377998</v>
      </c>
      <c r="J128">
        <v>189</v>
      </c>
      <c r="K128" s="16">
        <v>0.51939488588288496</v>
      </c>
      <c r="L128">
        <v>187</v>
      </c>
      <c r="M128" s="16">
        <v>0.24859370204557599</v>
      </c>
      <c r="N128" s="11">
        <v>187</v>
      </c>
    </row>
    <row r="129" spans="1:14" outlineLevel="1" x14ac:dyDescent="0.25">
      <c r="A129" s="6" t="s">
        <v>15</v>
      </c>
      <c r="B129" t="s">
        <v>128</v>
      </c>
      <c r="C129" s="16">
        <v>0.81880595720332405</v>
      </c>
      <c r="D129">
        <v>970</v>
      </c>
      <c r="E129" s="16">
        <v>0.63362217067056503</v>
      </c>
      <c r="F129">
        <v>970</v>
      </c>
      <c r="G129" s="16">
        <v>0.81567367449697503</v>
      </c>
      <c r="H129">
        <v>529</v>
      </c>
      <c r="I129" s="16">
        <v>0.61218547238121301</v>
      </c>
      <c r="J129">
        <v>529</v>
      </c>
      <c r="K129" s="16">
        <v>0.822093518695732</v>
      </c>
      <c r="L129">
        <v>440</v>
      </c>
      <c r="M129" s="16">
        <v>0.65936690455482305</v>
      </c>
      <c r="N129" s="11">
        <v>440</v>
      </c>
    </row>
    <row r="130" spans="1:14" outlineLevel="1" x14ac:dyDescent="0.25">
      <c r="A130" s="6" t="s">
        <v>15</v>
      </c>
      <c r="B130" t="s">
        <v>129</v>
      </c>
      <c r="C130" s="16">
        <v>0.60350621781441505</v>
      </c>
      <c r="D130">
        <v>1039</v>
      </c>
      <c r="E130" s="16">
        <v>0.42859059828727403</v>
      </c>
      <c r="F130">
        <v>1039</v>
      </c>
      <c r="G130" s="16">
        <v>0.56974691836567004</v>
      </c>
      <c r="H130">
        <v>535</v>
      </c>
      <c r="I130" s="16">
        <v>0.39762469191913102</v>
      </c>
      <c r="J130">
        <v>535</v>
      </c>
      <c r="K130" s="16">
        <v>0.63630490890825597</v>
      </c>
      <c r="L130">
        <v>502</v>
      </c>
      <c r="M130" s="16">
        <v>0.459166120633974</v>
      </c>
      <c r="N130" s="11">
        <v>502</v>
      </c>
    </row>
    <row r="131" spans="1:14" outlineLevel="1" x14ac:dyDescent="0.25">
      <c r="A131" s="7" t="s">
        <v>15</v>
      </c>
      <c r="B131" s="9" t="s">
        <v>15</v>
      </c>
      <c r="C131" s="15">
        <v>0.250646975858624</v>
      </c>
      <c r="D131" s="9">
        <v>24</v>
      </c>
      <c r="E131" s="15">
        <v>0.20420426305766301</v>
      </c>
      <c r="F131" s="9">
        <v>24</v>
      </c>
      <c r="G131" s="15"/>
      <c r="H131" s="9"/>
      <c r="I131" s="15"/>
      <c r="J131" s="9"/>
      <c r="K131" s="15"/>
      <c r="L131" s="9"/>
      <c r="M131" s="15"/>
      <c r="N131" s="12"/>
    </row>
    <row r="132" spans="1:14" x14ac:dyDescent="0.25">
      <c r="C132" s="16"/>
      <c r="E132" s="16"/>
      <c r="G132" s="16"/>
      <c r="I132" s="16"/>
      <c r="K132" s="16"/>
      <c r="M132" s="16"/>
    </row>
    <row r="133" spans="1:14" x14ac:dyDescent="0.25">
      <c r="A133" s="19" t="s">
        <v>130</v>
      </c>
      <c r="B133" s="19"/>
      <c r="C133" s="20"/>
      <c r="D133" s="19"/>
      <c r="E133" s="20"/>
      <c r="F133" s="19"/>
      <c r="G133" s="20"/>
      <c r="H133" s="19"/>
      <c r="I133" s="20"/>
      <c r="J133" s="19"/>
      <c r="K133" s="20"/>
      <c r="L133" s="19"/>
      <c r="M133" s="20"/>
      <c r="N133" s="19"/>
    </row>
    <row r="134" spans="1:14" outlineLevel="1" x14ac:dyDescent="0.25">
      <c r="A134" s="5" t="s">
        <v>15</v>
      </c>
      <c r="B134" s="8" t="s">
        <v>101</v>
      </c>
      <c r="C134" s="14"/>
      <c r="D134" s="8"/>
      <c r="E134" s="14"/>
      <c r="F134" s="8"/>
      <c r="G134" s="14">
        <v>0.77681027134115399</v>
      </c>
      <c r="H134" s="8">
        <v>359</v>
      </c>
      <c r="I134" s="14">
        <v>0.50033011204812905</v>
      </c>
      <c r="J134" s="8">
        <v>359</v>
      </c>
      <c r="K134" s="14">
        <v>0.80360317122596803</v>
      </c>
      <c r="L134" s="8">
        <v>299</v>
      </c>
      <c r="M134" s="14">
        <v>0.56552559346829101</v>
      </c>
      <c r="N134" s="10">
        <v>299</v>
      </c>
    </row>
    <row r="135" spans="1:14" outlineLevel="1" x14ac:dyDescent="0.25">
      <c r="A135" s="6" t="s">
        <v>15</v>
      </c>
      <c r="B135" t="s">
        <v>131</v>
      </c>
      <c r="C135" s="16">
        <v>0.71776588521247298</v>
      </c>
      <c r="D135">
        <v>2084</v>
      </c>
      <c r="E135" s="16">
        <v>0.54632164198689703</v>
      </c>
      <c r="F135">
        <v>2084</v>
      </c>
      <c r="G135" s="16">
        <v>0.719349059138367</v>
      </c>
      <c r="H135">
        <v>1063</v>
      </c>
      <c r="I135" s="16">
        <v>0.53844778173045604</v>
      </c>
      <c r="J135">
        <v>1063</v>
      </c>
      <c r="K135" s="16">
        <v>0.71580566457634498</v>
      </c>
      <c r="L135">
        <v>1019</v>
      </c>
      <c r="M135" s="16">
        <v>0.55555848702671895</v>
      </c>
      <c r="N135" s="11">
        <v>1019</v>
      </c>
    </row>
    <row r="136" spans="1:14" outlineLevel="1" x14ac:dyDescent="0.25">
      <c r="A136" s="6" t="s">
        <v>15</v>
      </c>
      <c r="B136" t="s">
        <v>132</v>
      </c>
      <c r="C136" s="16">
        <v>3.2904000254124301E-2</v>
      </c>
      <c r="D136">
        <v>32</v>
      </c>
      <c r="E136" s="16">
        <v>9.4962378973915598E-3</v>
      </c>
      <c r="F136">
        <v>32</v>
      </c>
      <c r="G136" s="16">
        <v>2.0737674793613499E-2</v>
      </c>
      <c r="H136">
        <v>12</v>
      </c>
      <c r="I136" s="16">
        <v>1.7685347509688299E-2</v>
      </c>
      <c r="J136">
        <v>12</v>
      </c>
      <c r="K136" s="16">
        <v>3.9175628444895298E-2</v>
      </c>
      <c r="L136">
        <v>20</v>
      </c>
      <c r="M136" s="16">
        <v>5.2748276722177001E-3</v>
      </c>
      <c r="N136" s="11">
        <v>20</v>
      </c>
    </row>
    <row r="137" spans="1:14" outlineLevel="1" x14ac:dyDescent="0.25">
      <c r="A137" s="7" t="s">
        <v>15</v>
      </c>
      <c r="B137" s="9" t="s">
        <v>15</v>
      </c>
      <c r="C137" s="15">
        <v>0.78857974450742296</v>
      </c>
      <c r="D137" s="9">
        <v>659</v>
      </c>
      <c r="E137" s="15">
        <v>0.528635888042149</v>
      </c>
      <c r="F137" s="9">
        <v>659</v>
      </c>
      <c r="G137" s="15"/>
      <c r="H137" s="9"/>
      <c r="I137" s="15"/>
      <c r="J137" s="9"/>
      <c r="K137" s="15"/>
      <c r="L137" s="9"/>
      <c r="M137" s="15"/>
      <c r="N137" s="12"/>
    </row>
    <row r="138" spans="1:14" x14ac:dyDescent="0.25">
      <c r="C138" s="16"/>
      <c r="E138" s="16"/>
      <c r="G138" s="16"/>
      <c r="I138" s="16"/>
      <c r="K138" s="16"/>
      <c r="M138" s="16"/>
    </row>
    <row r="139" spans="1:14" x14ac:dyDescent="0.25">
      <c r="A139" s="19" t="s">
        <v>133</v>
      </c>
      <c r="B139" s="19"/>
      <c r="C139" s="20"/>
      <c r="D139" s="19"/>
      <c r="E139" s="20"/>
      <c r="F139" s="19"/>
      <c r="G139" s="20"/>
      <c r="H139" s="19"/>
      <c r="I139" s="20"/>
      <c r="J139" s="19"/>
      <c r="K139" s="20"/>
      <c r="L139" s="19"/>
      <c r="M139" s="20"/>
      <c r="N139" s="19"/>
    </row>
    <row r="140" spans="1:14" outlineLevel="1" x14ac:dyDescent="0.25">
      <c r="A140" s="5" t="s">
        <v>15</v>
      </c>
      <c r="B140" s="8" t="s">
        <v>101</v>
      </c>
      <c r="C140" s="14"/>
      <c r="D140" s="8"/>
      <c r="E140" s="14"/>
      <c r="F140" s="8"/>
      <c r="G140" s="14">
        <v>0.77681027134115399</v>
      </c>
      <c r="H140" s="8">
        <v>359</v>
      </c>
      <c r="I140" s="14">
        <v>0.50033011204812905</v>
      </c>
      <c r="J140" s="8">
        <v>359</v>
      </c>
      <c r="K140" s="14">
        <v>0.80360317122596803</v>
      </c>
      <c r="L140" s="8">
        <v>299</v>
      </c>
      <c r="M140" s="14">
        <v>0.56552559346829101</v>
      </c>
      <c r="N140" s="10">
        <v>299</v>
      </c>
    </row>
    <row r="141" spans="1:14" outlineLevel="1" x14ac:dyDescent="0.25">
      <c r="A141" s="6" t="s">
        <v>15</v>
      </c>
      <c r="B141" t="s">
        <v>131</v>
      </c>
      <c r="C141" s="16">
        <v>0.71710443444745098</v>
      </c>
      <c r="D141">
        <v>2071</v>
      </c>
      <c r="E141" s="16">
        <v>0.54511308293947902</v>
      </c>
      <c r="F141">
        <v>2071</v>
      </c>
      <c r="G141" s="16">
        <v>0.71869969060515004</v>
      </c>
      <c r="H141">
        <v>1055</v>
      </c>
      <c r="I141" s="16">
        <v>0.53732329464623496</v>
      </c>
      <c r="J141">
        <v>1055</v>
      </c>
      <c r="K141" s="16">
        <v>0.71512792691237004</v>
      </c>
      <c r="L141">
        <v>1014</v>
      </c>
      <c r="M141" s="16">
        <v>0.55426833281657895</v>
      </c>
      <c r="N141" s="11">
        <v>1014</v>
      </c>
    </row>
    <row r="142" spans="1:14" outlineLevel="1" x14ac:dyDescent="0.25">
      <c r="A142" s="6" t="s">
        <v>15</v>
      </c>
      <c r="B142" t="s">
        <v>132</v>
      </c>
      <c r="C142" s="16">
        <v>0.28692596747948601</v>
      </c>
      <c r="D142">
        <v>45</v>
      </c>
      <c r="E142" s="16">
        <v>0.26707259700445402</v>
      </c>
      <c r="F142">
        <v>45</v>
      </c>
      <c r="G142" s="16">
        <v>0.34371541864378102</v>
      </c>
      <c r="H142">
        <v>20</v>
      </c>
      <c r="I142" s="16">
        <v>0.33315938655044602</v>
      </c>
      <c r="J142">
        <v>20</v>
      </c>
      <c r="K142" s="16">
        <v>0.252961072799257</v>
      </c>
      <c r="L142">
        <v>25</v>
      </c>
      <c r="M142" s="16">
        <v>0.22754710766330399</v>
      </c>
      <c r="N142" s="11">
        <v>25</v>
      </c>
    </row>
    <row r="143" spans="1:14" outlineLevel="1" x14ac:dyDescent="0.25">
      <c r="A143" s="7" t="s">
        <v>15</v>
      </c>
      <c r="B143" s="9" t="s">
        <v>15</v>
      </c>
      <c r="C143" s="15">
        <v>0.78857974450742296</v>
      </c>
      <c r="D143" s="9">
        <v>659</v>
      </c>
      <c r="E143" s="15">
        <v>0.528635888042149</v>
      </c>
      <c r="F143" s="9">
        <v>659</v>
      </c>
      <c r="G143" s="15"/>
      <c r="H143" s="9"/>
      <c r="I143" s="15"/>
      <c r="J143" s="9"/>
      <c r="K143" s="15"/>
      <c r="L143" s="9"/>
      <c r="M143" s="15"/>
      <c r="N143" s="12"/>
    </row>
    <row r="144" spans="1:14" x14ac:dyDescent="0.25">
      <c r="C144" s="16"/>
      <c r="E144" s="16"/>
      <c r="G144" s="16"/>
      <c r="I144" s="16"/>
      <c r="K144" s="16"/>
      <c r="M144" s="16"/>
    </row>
    <row r="145" spans="1:14" x14ac:dyDescent="0.25">
      <c r="A145" s="19" t="s">
        <v>134</v>
      </c>
      <c r="B145" s="19"/>
      <c r="C145" s="20"/>
      <c r="D145" s="19"/>
      <c r="E145" s="20"/>
      <c r="F145" s="19"/>
      <c r="G145" s="20"/>
      <c r="H145" s="19"/>
      <c r="I145" s="20"/>
      <c r="J145" s="19"/>
      <c r="K145" s="20"/>
      <c r="L145" s="19"/>
      <c r="M145" s="20"/>
      <c r="N145" s="19"/>
    </row>
    <row r="146" spans="1:14" outlineLevel="1" x14ac:dyDescent="0.25">
      <c r="A146" s="5" t="s">
        <v>15</v>
      </c>
      <c r="B146" s="8" t="s">
        <v>135</v>
      </c>
      <c r="C146" s="14">
        <v>0.39719897163434398</v>
      </c>
      <c r="D146" s="8">
        <v>743</v>
      </c>
      <c r="E146" s="14">
        <v>0.26936696129438398</v>
      </c>
      <c r="F146" s="8">
        <v>743</v>
      </c>
      <c r="G146" s="14">
        <v>0.35551316700472402</v>
      </c>
      <c r="H146" s="8">
        <v>367</v>
      </c>
      <c r="I146" s="14">
        <v>0.249245626483692</v>
      </c>
      <c r="J146" s="8">
        <v>367</v>
      </c>
      <c r="K146" s="14">
        <v>0.43455108728625702</v>
      </c>
      <c r="L146" s="8">
        <v>374</v>
      </c>
      <c r="M146" s="14">
        <v>0.28926094075557202</v>
      </c>
      <c r="N146" s="10">
        <v>374</v>
      </c>
    </row>
    <row r="147" spans="1:14" outlineLevel="1" x14ac:dyDescent="0.25">
      <c r="A147" s="6" t="s">
        <v>15</v>
      </c>
      <c r="B147" t="s">
        <v>136</v>
      </c>
      <c r="C147" s="16">
        <v>0.79459079689087997</v>
      </c>
      <c r="D147">
        <v>63</v>
      </c>
      <c r="E147" s="16">
        <v>0.49633661110753502</v>
      </c>
      <c r="F147">
        <v>63</v>
      </c>
      <c r="G147" s="16">
        <v>0.77621612784966498</v>
      </c>
      <c r="H147">
        <v>39</v>
      </c>
      <c r="I147" s="16">
        <v>0.51838487593388505</v>
      </c>
      <c r="J147">
        <v>39</v>
      </c>
      <c r="K147" s="16">
        <v>0.81928801703771903</v>
      </c>
      <c r="L147">
        <v>24</v>
      </c>
      <c r="M147" s="16">
        <v>0.46670174535562498</v>
      </c>
      <c r="N147" s="11">
        <v>24</v>
      </c>
    </row>
    <row r="148" spans="1:14" outlineLevel="1" x14ac:dyDescent="0.25">
      <c r="A148" s="6" t="s">
        <v>15</v>
      </c>
      <c r="B148" t="s">
        <v>137</v>
      </c>
      <c r="C148" s="16">
        <v>0.34523809523809501</v>
      </c>
      <c r="D148">
        <v>84</v>
      </c>
      <c r="E148" s="16">
        <v>0.26190476190476197</v>
      </c>
      <c r="F148">
        <v>84</v>
      </c>
      <c r="G148" s="16">
        <v>0.38636363636363602</v>
      </c>
      <c r="H148">
        <v>44</v>
      </c>
      <c r="I148" s="16">
        <v>0.31818181818181801</v>
      </c>
      <c r="J148">
        <v>44</v>
      </c>
      <c r="K148" s="16">
        <v>0.3</v>
      </c>
      <c r="L148">
        <v>40</v>
      </c>
      <c r="M148" s="16">
        <v>0.2</v>
      </c>
      <c r="N148" s="11">
        <v>40</v>
      </c>
    </row>
    <row r="149" spans="1:14" outlineLevel="1" x14ac:dyDescent="0.25">
      <c r="A149" s="6" t="s">
        <v>15</v>
      </c>
      <c r="B149" t="s">
        <v>138</v>
      </c>
      <c r="C149" s="16">
        <v>0.52777777777777801</v>
      </c>
      <c r="D149">
        <v>36</v>
      </c>
      <c r="E149" s="16">
        <v>0.36111111111111099</v>
      </c>
      <c r="F149">
        <v>36</v>
      </c>
      <c r="G149" s="16">
        <v>0.52631578947368396</v>
      </c>
      <c r="H149">
        <v>19</v>
      </c>
      <c r="I149" s="16">
        <v>0.47368421052631599</v>
      </c>
      <c r="J149">
        <v>19</v>
      </c>
      <c r="K149" s="16">
        <v>0.52941176470588203</v>
      </c>
      <c r="L149">
        <v>17</v>
      </c>
      <c r="M149" s="16">
        <v>0.23529411764705899</v>
      </c>
      <c r="N149" s="11">
        <v>17</v>
      </c>
    </row>
    <row r="150" spans="1:14" outlineLevel="1" x14ac:dyDescent="0.25">
      <c r="A150" s="6" t="s">
        <v>15</v>
      </c>
      <c r="B150" t="s">
        <v>139</v>
      </c>
      <c r="C150" s="16">
        <v>0.41440028986601901</v>
      </c>
      <c r="D150">
        <v>382</v>
      </c>
      <c r="E150" s="16">
        <v>0.27135849105807203</v>
      </c>
      <c r="F150">
        <v>382</v>
      </c>
      <c r="G150" s="16">
        <v>0.42624321913031998</v>
      </c>
      <c r="H150">
        <v>208</v>
      </c>
      <c r="I150" s="16">
        <v>0.26099310008495402</v>
      </c>
      <c r="J150">
        <v>208</v>
      </c>
      <c r="K150" s="16">
        <v>0.40047455615750599</v>
      </c>
      <c r="L150">
        <v>174</v>
      </c>
      <c r="M150" s="16">
        <v>0.28354683325406699</v>
      </c>
      <c r="N150" s="11">
        <v>174</v>
      </c>
    </row>
    <row r="151" spans="1:14" outlineLevel="1" x14ac:dyDescent="0.25">
      <c r="A151" s="6" t="s">
        <v>15</v>
      </c>
      <c r="B151" t="s">
        <v>140</v>
      </c>
      <c r="C151" s="16">
        <v>0.86594120187636303</v>
      </c>
      <c r="D151">
        <v>807</v>
      </c>
      <c r="E151" s="16">
        <v>0.65149738565463799</v>
      </c>
      <c r="F151">
        <v>807</v>
      </c>
      <c r="G151" s="16">
        <v>0.86621120181268396</v>
      </c>
      <c r="H151">
        <v>416</v>
      </c>
      <c r="I151" s="16">
        <v>0.63780498585131495</v>
      </c>
      <c r="J151">
        <v>416</v>
      </c>
      <c r="K151" s="16">
        <v>0.86543873043009301</v>
      </c>
      <c r="L151">
        <v>390</v>
      </c>
      <c r="M151" s="16">
        <v>0.66760655837894101</v>
      </c>
      <c r="N151" s="11">
        <v>390</v>
      </c>
    </row>
    <row r="152" spans="1:14" outlineLevel="1" x14ac:dyDescent="0.25">
      <c r="A152" s="6" t="s">
        <v>15</v>
      </c>
      <c r="B152" t="s">
        <v>141</v>
      </c>
      <c r="C152" s="16">
        <v>0.33595417166269198</v>
      </c>
      <c r="D152">
        <v>603</v>
      </c>
      <c r="E152" s="16">
        <v>0.21192196029562901</v>
      </c>
      <c r="F152">
        <v>603</v>
      </c>
      <c r="G152" s="16">
        <v>0.353993474194082</v>
      </c>
      <c r="H152">
        <v>316</v>
      </c>
      <c r="I152" s="16">
        <v>0.227658397903999</v>
      </c>
      <c r="J152">
        <v>316</v>
      </c>
      <c r="K152" s="16">
        <v>0.31428612487399998</v>
      </c>
      <c r="L152">
        <v>287</v>
      </c>
      <c r="M152" s="16">
        <v>0.193020017396664</v>
      </c>
      <c r="N152" s="11">
        <v>287</v>
      </c>
    </row>
    <row r="153" spans="1:14" outlineLevel="1" x14ac:dyDescent="0.25">
      <c r="A153" s="7" t="s">
        <v>15</v>
      </c>
      <c r="B153" s="9" t="s">
        <v>142</v>
      </c>
      <c r="C153" s="15">
        <v>0.80424855349225399</v>
      </c>
      <c r="D153" s="9">
        <v>57</v>
      </c>
      <c r="E153" s="15">
        <v>0.73224443844548304</v>
      </c>
      <c r="F153" s="9">
        <v>57</v>
      </c>
      <c r="G153" s="15">
        <v>0.82789290457311404</v>
      </c>
      <c r="H153" s="9">
        <v>25</v>
      </c>
      <c r="I153" s="15">
        <v>0.69526149463045595</v>
      </c>
      <c r="J153" s="9">
        <v>25</v>
      </c>
      <c r="K153" s="15">
        <v>0.79079047698455096</v>
      </c>
      <c r="L153" s="9">
        <v>32</v>
      </c>
      <c r="M153" s="15">
        <v>0.75329467939481498</v>
      </c>
      <c r="N153" s="12">
        <v>32</v>
      </c>
    </row>
    <row r="154" spans="1:14" x14ac:dyDescent="0.25">
      <c r="C154" s="16"/>
      <c r="E154" s="16"/>
      <c r="G154" s="16"/>
      <c r="I154" s="16"/>
      <c r="K154" s="16"/>
      <c r="M154" s="16"/>
    </row>
    <row r="155" spans="1:14" x14ac:dyDescent="0.25">
      <c r="A155" s="19" t="s">
        <v>143</v>
      </c>
      <c r="B155" s="19"/>
      <c r="C155" s="20"/>
      <c r="D155" s="19"/>
      <c r="E155" s="20"/>
      <c r="F155" s="19"/>
      <c r="G155" s="20"/>
      <c r="H155" s="19"/>
      <c r="I155" s="20"/>
      <c r="J155" s="19"/>
      <c r="K155" s="20"/>
      <c r="L155" s="19"/>
      <c r="M155" s="20"/>
      <c r="N155" s="19"/>
    </row>
    <row r="156" spans="1:14" outlineLevel="1" x14ac:dyDescent="0.25">
      <c r="A156" s="5" t="s">
        <v>15</v>
      </c>
      <c r="B156" s="8" t="s">
        <v>144</v>
      </c>
      <c r="C156" s="14">
        <v>0.33915683288506698</v>
      </c>
      <c r="D156" s="8">
        <v>153</v>
      </c>
      <c r="E156" s="14">
        <v>0.21505235513272</v>
      </c>
      <c r="F156" s="8">
        <v>153</v>
      </c>
      <c r="G156" s="14">
        <v>0.378453011528322</v>
      </c>
      <c r="H156" s="8">
        <v>77</v>
      </c>
      <c r="I156" s="14">
        <v>0.23256233848346999</v>
      </c>
      <c r="J156" s="8">
        <v>77</v>
      </c>
      <c r="K156" s="14">
        <v>0.29238742187696598</v>
      </c>
      <c r="L156" s="8">
        <v>75</v>
      </c>
      <c r="M156" s="14">
        <v>0.201532116134267</v>
      </c>
      <c r="N156" s="10">
        <v>75</v>
      </c>
    </row>
    <row r="157" spans="1:14" outlineLevel="1" x14ac:dyDescent="0.25">
      <c r="A157" s="6" t="s">
        <v>15</v>
      </c>
      <c r="B157" t="s">
        <v>145</v>
      </c>
      <c r="C157" s="16">
        <v>0.44058300165189301</v>
      </c>
      <c r="D157">
        <v>653</v>
      </c>
      <c r="E157" s="16">
        <v>0.29947442146499098</v>
      </c>
      <c r="F157">
        <v>653</v>
      </c>
      <c r="G157" s="16">
        <v>0.38592327354664102</v>
      </c>
      <c r="H157">
        <v>329</v>
      </c>
      <c r="I157" s="16">
        <v>0.27660780757729703</v>
      </c>
      <c r="J157">
        <v>329</v>
      </c>
      <c r="K157" s="16">
        <v>0.49291169347817598</v>
      </c>
      <c r="L157">
        <v>323</v>
      </c>
      <c r="M157" s="16">
        <v>0.32168551680579399</v>
      </c>
      <c r="N157" s="11">
        <v>323</v>
      </c>
    </row>
    <row r="158" spans="1:14" outlineLevel="1" x14ac:dyDescent="0.25">
      <c r="A158" s="6" t="s">
        <v>15</v>
      </c>
      <c r="B158" t="s">
        <v>146</v>
      </c>
      <c r="C158" s="16">
        <v>0.49425287356321801</v>
      </c>
      <c r="D158">
        <v>87</v>
      </c>
      <c r="E158" s="16">
        <v>0.36781609195402298</v>
      </c>
      <c r="F158">
        <v>87</v>
      </c>
      <c r="G158" s="16">
        <v>0.51063829787234005</v>
      </c>
      <c r="H158">
        <v>47</v>
      </c>
      <c r="I158" s="16">
        <v>0.44680851063829802</v>
      </c>
      <c r="J158">
        <v>47</v>
      </c>
      <c r="K158" s="16">
        <v>0.47499999999999998</v>
      </c>
      <c r="L158">
        <v>40</v>
      </c>
      <c r="M158" s="16">
        <v>0.27500000000000002</v>
      </c>
      <c r="N158" s="11">
        <v>40</v>
      </c>
    </row>
    <row r="159" spans="1:14" outlineLevel="1" x14ac:dyDescent="0.25">
      <c r="A159" s="6" t="s">
        <v>15</v>
      </c>
      <c r="B159" t="s">
        <v>147</v>
      </c>
      <c r="C159" s="16">
        <v>0.15151515151515199</v>
      </c>
      <c r="D159">
        <v>33</v>
      </c>
      <c r="E159" s="16">
        <v>9.0909090909090898E-2</v>
      </c>
      <c r="F159">
        <v>33</v>
      </c>
      <c r="G159" s="16">
        <v>0.1875</v>
      </c>
      <c r="H159">
        <v>16</v>
      </c>
      <c r="I159" s="16">
        <v>0.125</v>
      </c>
      <c r="J159">
        <v>16</v>
      </c>
      <c r="K159" s="16">
        <v>0.11764705882352899</v>
      </c>
      <c r="L159">
        <v>17</v>
      </c>
      <c r="M159" s="16">
        <v>5.8823529411764698E-2</v>
      </c>
      <c r="N159" s="11">
        <v>17</v>
      </c>
    </row>
    <row r="160" spans="1:14" outlineLevel="1" x14ac:dyDescent="0.25">
      <c r="A160" s="6" t="s">
        <v>15</v>
      </c>
      <c r="B160" t="s">
        <v>148</v>
      </c>
      <c r="C160" s="16">
        <v>0.72636034918812697</v>
      </c>
      <c r="D160">
        <v>346</v>
      </c>
      <c r="E160" s="16">
        <v>0.51679760150100396</v>
      </c>
      <c r="F160">
        <v>346</v>
      </c>
      <c r="G160" s="16">
        <v>0.73624419161633203</v>
      </c>
      <c r="H160">
        <v>202</v>
      </c>
      <c r="I160" s="16">
        <v>0.51762229540441795</v>
      </c>
      <c r="J160">
        <v>202</v>
      </c>
      <c r="K160" s="16">
        <v>0.71334407918782505</v>
      </c>
      <c r="L160">
        <v>144</v>
      </c>
      <c r="M160" s="16">
        <v>0.51571154224900695</v>
      </c>
      <c r="N160" s="11">
        <v>144</v>
      </c>
    </row>
    <row r="161" spans="1:14" outlineLevel="1" x14ac:dyDescent="0.25">
      <c r="A161" s="6" t="s">
        <v>15</v>
      </c>
      <c r="B161" t="s">
        <v>149</v>
      </c>
      <c r="C161" s="16">
        <v>0.767421770978711</v>
      </c>
      <c r="D161">
        <v>843</v>
      </c>
      <c r="E161" s="16">
        <v>0.57469804297642502</v>
      </c>
      <c r="F161">
        <v>843</v>
      </c>
      <c r="G161" s="16">
        <v>0.76551832242656803</v>
      </c>
      <c r="H161">
        <v>422</v>
      </c>
      <c r="I161" s="16">
        <v>0.55507201965796504</v>
      </c>
      <c r="J161">
        <v>422</v>
      </c>
      <c r="K161" s="16">
        <v>0.76907998887564299</v>
      </c>
      <c r="L161">
        <v>420</v>
      </c>
      <c r="M161" s="16">
        <v>0.59635770670760901</v>
      </c>
      <c r="N161" s="11">
        <v>420</v>
      </c>
    </row>
    <row r="162" spans="1:14" outlineLevel="1" x14ac:dyDescent="0.25">
      <c r="A162" s="6" t="s">
        <v>15</v>
      </c>
      <c r="B162" t="s">
        <v>150</v>
      </c>
      <c r="C162" s="16">
        <v>0.39803720820989102</v>
      </c>
      <c r="D162">
        <v>203</v>
      </c>
      <c r="E162" s="16">
        <v>0.28867439668914002</v>
      </c>
      <c r="F162">
        <v>203</v>
      </c>
      <c r="G162" s="16">
        <v>0.45489869545203798</v>
      </c>
      <c r="H162">
        <v>100</v>
      </c>
      <c r="I162" s="16">
        <v>0.31466241358368902</v>
      </c>
      <c r="J162">
        <v>100</v>
      </c>
      <c r="K162" s="16">
        <v>0.340854780551817</v>
      </c>
      <c r="L162">
        <v>103</v>
      </c>
      <c r="M162" s="16">
        <v>0.26253969694551699</v>
      </c>
      <c r="N162" s="11">
        <v>103</v>
      </c>
    </row>
    <row r="163" spans="1:14" outlineLevel="1" x14ac:dyDescent="0.25">
      <c r="A163" s="7" t="s">
        <v>15</v>
      </c>
      <c r="B163" s="9" t="s">
        <v>151</v>
      </c>
      <c r="C163" s="15">
        <v>0.34754306511682698</v>
      </c>
      <c r="D163" s="9">
        <v>457</v>
      </c>
      <c r="E163" s="15">
        <v>0.22196783112339799</v>
      </c>
      <c r="F163" s="9">
        <v>457</v>
      </c>
      <c r="G163" s="15">
        <v>0.34328515398301701</v>
      </c>
      <c r="H163" s="9">
        <v>241</v>
      </c>
      <c r="I163" s="15">
        <v>0.221274500653831</v>
      </c>
      <c r="J163" s="9">
        <v>241</v>
      </c>
      <c r="K163" s="15">
        <v>0.352714925912195</v>
      </c>
      <c r="L163" s="9">
        <v>216</v>
      </c>
      <c r="M163" s="15">
        <v>0.222809983193062</v>
      </c>
      <c r="N163" s="12">
        <v>216</v>
      </c>
    </row>
    <row r="164" spans="1:14" x14ac:dyDescent="0.25">
      <c r="C164" s="16"/>
      <c r="E164" s="16"/>
      <c r="G164" s="16"/>
      <c r="I164" s="16"/>
      <c r="K164" s="16"/>
      <c r="M164" s="16"/>
    </row>
    <row r="165" spans="1:14" x14ac:dyDescent="0.25">
      <c r="A165" s="19" t="s">
        <v>152</v>
      </c>
      <c r="B165" s="19"/>
      <c r="C165" s="20"/>
      <c r="D165" s="19"/>
      <c r="E165" s="20"/>
      <c r="F165" s="19"/>
      <c r="G165" s="20"/>
      <c r="H165" s="19"/>
      <c r="I165" s="20"/>
      <c r="J165" s="19"/>
      <c r="K165" s="20"/>
      <c r="L165" s="19"/>
      <c r="M165" s="20"/>
      <c r="N165" s="19"/>
    </row>
    <row r="166" spans="1:14" outlineLevel="1" x14ac:dyDescent="0.25">
      <c r="A166" s="5" t="s">
        <v>15</v>
      </c>
      <c r="B166" s="8" t="s">
        <v>186</v>
      </c>
      <c r="C166" s="14">
        <v>0.42018211170278003</v>
      </c>
      <c r="D166" s="8">
        <v>806</v>
      </c>
      <c r="E166" s="14">
        <v>0.28249374176998199</v>
      </c>
      <c r="F166" s="8">
        <v>806</v>
      </c>
      <c r="G166" s="14"/>
      <c r="H166" s="8"/>
      <c r="I166" s="14"/>
      <c r="J166" s="8"/>
      <c r="K166" s="14"/>
      <c r="L166" s="8"/>
      <c r="M166" s="14"/>
      <c r="N166" s="10"/>
    </row>
    <row r="167" spans="1:14" outlineLevel="1" x14ac:dyDescent="0.25">
      <c r="A167" s="6" t="s">
        <v>15</v>
      </c>
      <c r="B167" t="s">
        <v>187</v>
      </c>
      <c r="C167" s="16">
        <v>0.4</v>
      </c>
      <c r="D167">
        <v>120</v>
      </c>
      <c r="E167" s="16">
        <v>0.29166666666666702</v>
      </c>
      <c r="F167">
        <v>120</v>
      </c>
      <c r="G167" s="16"/>
      <c r="I167" s="16"/>
      <c r="K167" s="16"/>
      <c r="M167" s="16"/>
      <c r="N167" s="11"/>
    </row>
    <row r="168" spans="1:14" outlineLevel="1" x14ac:dyDescent="0.25">
      <c r="A168" s="6" t="s">
        <v>15</v>
      </c>
      <c r="B168" t="s">
        <v>188</v>
      </c>
      <c r="C168" s="16">
        <v>0.75661396936570002</v>
      </c>
      <c r="D168">
        <v>1189</v>
      </c>
      <c r="E168" s="16">
        <v>0.55945803282861295</v>
      </c>
      <c r="F168">
        <v>1189</v>
      </c>
      <c r="G168" s="16"/>
      <c r="I168" s="16"/>
      <c r="K168" s="16"/>
      <c r="M168" s="16"/>
      <c r="N168" s="11"/>
    </row>
    <row r="169" spans="1:14" outlineLevel="1" x14ac:dyDescent="0.25">
      <c r="A169" s="6" t="s">
        <v>15</v>
      </c>
      <c r="B169" t="s">
        <v>189</v>
      </c>
      <c r="C169" s="16">
        <v>0.36102360407675299</v>
      </c>
      <c r="D169">
        <v>660</v>
      </c>
      <c r="E169" s="16">
        <v>0.239776638262366</v>
      </c>
      <c r="F169">
        <v>660</v>
      </c>
      <c r="G169" s="16"/>
      <c r="I169" s="16"/>
      <c r="K169" s="16"/>
      <c r="M169" s="16"/>
      <c r="N169" s="11"/>
    </row>
    <row r="170" spans="1:14" outlineLevel="1" x14ac:dyDescent="0.25">
      <c r="A170" s="6" t="s">
        <v>15</v>
      </c>
      <c r="B170" t="s">
        <v>190</v>
      </c>
      <c r="C170" s="16">
        <v>0.45299280939091302</v>
      </c>
      <c r="D170">
        <v>398</v>
      </c>
      <c r="E170" s="16">
        <v>0.29776626934613598</v>
      </c>
      <c r="F170">
        <v>398</v>
      </c>
      <c r="G170" s="16"/>
      <c r="I170" s="16"/>
      <c r="K170" s="16"/>
      <c r="M170" s="16"/>
      <c r="N170" s="11"/>
    </row>
    <row r="171" spans="1:14" outlineLevel="1" x14ac:dyDescent="0.25">
      <c r="A171" s="6" t="s">
        <v>15</v>
      </c>
      <c r="B171" t="s">
        <v>191</v>
      </c>
      <c r="C171" s="16">
        <v>0.38441886845018203</v>
      </c>
      <c r="D171">
        <v>406</v>
      </c>
      <c r="E171" s="16">
        <v>0.26773767316726499</v>
      </c>
      <c r="F171">
        <v>406</v>
      </c>
      <c r="G171" s="16"/>
      <c r="I171" s="16"/>
      <c r="K171" s="16"/>
      <c r="M171" s="16"/>
      <c r="N171" s="11"/>
    </row>
    <row r="172" spans="1:14" outlineLevel="1" x14ac:dyDescent="0.25">
      <c r="A172" s="6" t="s">
        <v>15</v>
      </c>
      <c r="B172" t="s">
        <v>203</v>
      </c>
      <c r="C172" s="16">
        <v>0.56262554070794502</v>
      </c>
      <c r="D172">
        <v>2</v>
      </c>
      <c r="E172" s="16"/>
      <c r="G172" s="16"/>
      <c r="I172" s="16"/>
      <c r="K172" s="16"/>
      <c r="M172" s="16"/>
      <c r="N172" s="11"/>
    </row>
    <row r="173" spans="1:14" outlineLevel="1" x14ac:dyDescent="0.25">
      <c r="A173" s="6" t="s">
        <v>15</v>
      </c>
      <c r="B173" t="s">
        <v>192</v>
      </c>
      <c r="C173" s="16">
        <v>0.36842105263157898</v>
      </c>
      <c r="D173">
        <v>57</v>
      </c>
      <c r="E173" s="16">
        <v>0.21052631578947401</v>
      </c>
      <c r="F173">
        <v>57</v>
      </c>
      <c r="G173" s="16"/>
      <c r="I173" s="16"/>
      <c r="K173" s="16"/>
      <c r="M173" s="16"/>
      <c r="N173" s="11"/>
    </row>
    <row r="174" spans="1:14" outlineLevel="1" x14ac:dyDescent="0.25">
      <c r="A174" s="6" t="s">
        <v>15</v>
      </c>
      <c r="B174" t="s">
        <v>193</v>
      </c>
      <c r="C174" s="16">
        <v>0.42857142857142899</v>
      </c>
      <c r="D174">
        <v>63</v>
      </c>
      <c r="E174" s="16">
        <v>0.365079365079365</v>
      </c>
      <c r="F174">
        <v>63</v>
      </c>
      <c r="G174" s="16"/>
      <c r="I174" s="16"/>
      <c r="K174" s="16"/>
      <c r="M174" s="16"/>
      <c r="N174" s="11"/>
    </row>
    <row r="175" spans="1:14" outlineLevel="1" x14ac:dyDescent="0.25">
      <c r="A175" s="6" t="s">
        <v>15</v>
      </c>
      <c r="B175" t="s">
        <v>194</v>
      </c>
      <c r="C175" s="16">
        <v>0.75564327576041701</v>
      </c>
      <c r="D175">
        <v>564</v>
      </c>
      <c r="E175" s="16">
        <v>0.57691567406217303</v>
      </c>
      <c r="F175">
        <v>564</v>
      </c>
      <c r="G175" s="16"/>
      <c r="I175" s="16"/>
      <c r="K175" s="16"/>
      <c r="M175" s="16"/>
      <c r="N175" s="11"/>
    </row>
    <row r="176" spans="1:14" outlineLevel="1" x14ac:dyDescent="0.25">
      <c r="A176" s="6" t="s">
        <v>15</v>
      </c>
      <c r="B176" t="s">
        <v>195</v>
      </c>
      <c r="C176" s="16">
        <v>0.75722705071902097</v>
      </c>
      <c r="D176">
        <v>624</v>
      </c>
      <c r="E176" s="16">
        <v>0.54446518589160497</v>
      </c>
      <c r="F176">
        <v>624</v>
      </c>
      <c r="G176" s="16"/>
      <c r="I176" s="16"/>
      <c r="K176" s="16"/>
      <c r="M176" s="16"/>
      <c r="N176" s="11"/>
    </row>
    <row r="177" spans="1:14" outlineLevel="1" x14ac:dyDescent="0.25">
      <c r="A177" s="6" t="s">
        <v>15</v>
      </c>
      <c r="B177" t="s">
        <v>204</v>
      </c>
      <c r="C177" s="16">
        <v>1</v>
      </c>
      <c r="D177">
        <v>1</v>
      </c>
      <c r="E177" s="16"/>
      <c r="G177" s="16"/>
      <c r="I177" s="16"/>
      <c r="K177" s="16"/>
      <c r="M177" s="16"/>
      <c r="N177" s="11"/>
    </row>
    <row r="178" spans="1:14" outlineLevel="1" x14ac:dyDescent="0.25">
      <c r="A178" s="6" t="s">
        <v>15</v>
      </c>
      <c r="B178" t="s">
        <v>196</v>
      </c>
      <c r="C178" s="16">
        <v>0.34931327556473901</v>
      </c>
      <c r="D178">
        <v>319</v>
      </c>
      <c r="E178" s="16">
        <v>0.23420500327788099</v>
      </c>
      <c r="F178">
        <v>319</v>
      </c>
      <c r="G178" s="16"/>
      <c r="I178" s="16"/>
      <c r="K178" s="16"/>
      <c r="M178" s="16"/>
      <c r="N178" s="11"/>
    </row>
    <row r="179" spans="1:14" outlineLevel="1" x14ac:dyDescent="0.25">
      <c r="A179" s="7" t="s">
        <v>15</v>
      </c>
      <c r="B179" s="9" t="s">
        <v>197</v>
      </c>
      <c r="C179" s="15">
        <v>0.37116502897389703</v>
      </c>
      <c r="D179" s="9">
        <v>341</v>
      </c>
      <c r="E179" s="15">
        <v>0.24460180757264399</v>
      </c>
      <c r="F179" s="9">
        <v>341</v>
      </c>
      <c r="G179" s="15"/>
      <c r="H179" s="9"/>
      <c r="I179" s="15"/>
      <c r="J179" s="9"/>
      <c r="K179" s="15"/>
      <c r="L179" s="9"/>
      <c r="M179" s="15"/>
      <c r="N179" s="12"/>
    </row>
    <row r="180" spans="1:14" x14ac:dyDescent="0.25">
      <c r="C180" s="16"/>
      <c r="E180" s="16"/>
      <c r="G180" s="16"/>
      <c r="I180" s="16"/>
      <c r="K180" s="16"/>
      <c r="M180" s="16"/>
    </row>
    <row r="181" spans="1:14" x14ac:dyDescent="0.25">
      <c r="C181" s="16"/>
      <c r="E181" s="16"/>
      <c r="G181" s="16"/>
      <c r="I181" s="16"/>
      <c r="K181" s="16"/>
      <c r="M181" s="16"/>
    </row>
  </sheetData>
  <mergeCells count="28">
    <mergeCell ref="A133:N133"/>
    <mergeCell ref="A139:N139"/>
    <mergeCell ref="A145:N145"/>
    <mergeCell ref="A155:N155"/>
    <mergeCell ref="A165:N165"/>
    <mergeCell ref="A90:N90"/>
    <mergeCell ref="A96:N96"/>
    <mergeCell ref="A111:N111"/>
    <mergeCell ref="A118:N118"/>
    <mergeCell ref="A125:N125"/>
    <mergeCell ref="A6:N6"/>
    <mergeCell ref="A9:N9"/>
    <mergeCell ref="A29:N29"/>
    <mergeCell ref="A74:N74"/>
    <mergeCell ref="A80:N80"/>
    <mergeCell ref="E4:F4"/>
    <mergeCell ref="C4:D4"/>
    <mergeCell ref="I4:J4"/>
    <mergeCell ref="G4:H4"/>
    <mergeCell ref="M4:N4"/>
    <mergeCell ref="K4:L4"/>
    <mergeCell ref="A1:N1"/>
    <mergeCell ref="C2:F2"/>
    <mergeCell ref="G2:J2"/>
    <mergeCell ref="K2:N2"/>
    <mergeCell ref="E3:F3"/>
    <mergeCell ref="I3:J3"/>
    <mergeCell ref="M3:N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79"/>
  <sheetViews>
    <sheetView showGridLines="0" workbookViewId="0">
      <selection sqref="A1:N1"/>
    </sheetView>
  </sheetViews>
  <sheetFormatPr defaultColWidth="11.42578125" defaultRowHeight="15" outlineLevelRow="1" x14ac:dyDescent="0.25"/>
  <sheetData>
    <row r="1" spans="1:14" x14ac:dyDescent="0.25">
      <c r="A1" s="18" t="s">
        <v>205</v>
      </c>
      <c r="B1" s="18"/>
      <c r="C1" s="18"/>
      <c r="D1" s="18"/>
      <c r="E1" s="18"/>
      <c r="F1" s="18"/>
      <c r="G1" s="18"/>
      <c r="H1" s="18"/>
      <c r="I1" s="18"/>
      <c r="J1" s="18"/>
      <c r="K1" s="18"/>
      <c r="L1" s="18"/>
      <c r="M1" s="18"/>
      <c r="N1" s="18"/>
    </row>
    <row r="2" spans="1:14" x14ac:dyDescent="0.25">
      <c r="C2" s="19" t="s">
        <v>2</v>
      </c>
      <c r="D2" s="19"/>
      <c r="E2" s="19"/>
      <c r="F2" s="19"/>
      <c r="G2" s="19" t="s">
        <v>3</v>
      </c>
      <c r="H2" s="19"/>
      <c r="I2" s="19"/>
      <c r="J2" s="19"/>
      <c r="K2" s="19" t="s">
        <v>4</v>
      </c>
      <c r="L2" s="19"/>
      <c r="M2" s="19"/>
      <c r="N2" s="19"/>
    </row>
    <row r="3" spans="1:14" x14ac:dyDescent="0.25">
      <c r="E3" s="19" t="s">
        <v>183</v>
      </c>
      <c r="F3" s="19"/>
      <c r="I3" s="19" t="s">
        <v>183</v>
      </c>
      <c r="J3" s="19"/>
      <c r="M3" s="19" t="s">
        <v>183</v>
      </c>
      <c r="N3" s="19"/>
    </row>
    <row r="4" spans="1:14" x14ac:dyDescent="0.25">
      <c r="C4" s="19" t="s">
        <v>10</v>
      </c>
      <c r="D4" s="19"/>
      <c r="E4" s="19" t="s">
        <v>206</v>
      </c>
      <c r="F4" s="19"/>
      <c r="G4" s="19" t="s">
        <v>10</v>
      </c>
      <c r="H4" s="19"/>
      <c r="I4" s="19" t="s">
        <v>206</v>
      </c>
      <c r="J4" s="19"/>
      <c r="K4" s="19" t="s">
        <v>10</v>
      </c>
      <c r="L4" s="19"/>
      <c r="M4" s="19" t="s">
        <v>206</v>
      </c>
      <c r="N4" s="19"/>
    </row>
    <row r="5" spans="1:14" x14ac:dyDescent="0.25">
      <c r="A5" s="1" t="s">
        <v>11</v>
      </c>
      <c r="B5" s="1" t="s">
        <v>12</v>
      </c>
      <c r="C5" s="1" t="s">
        <v>13</v>
      </c>
      <c r="D5" s="1" t="s">
        <v>14</v>
      </c>
      <c r="E5" s="1" t="s">
        <v>13</v>
      </c>
      <c r="F5" s="1" t="s">
        <v>14</v>
      </c>
      <c r="G5" s="1" t="s">
        <v>13</v>
      </c>
      <c r="H5" s="1" t="s">
        <v>14</v>
      </c>
      <c r="I5" s="1" t="s">
        <v>13</v>
      </c>
      <c r="J5" s="1" t="s">
        <v>14</v>
      </c>
      <c r="K5" s="1" t="s">
        <v>13</v>
      </c>
      <c r="L5" s="1" t="s">
        <v>14</v>
      </c>
      <c r="M5" s="1" t="s">
        <v>13</v>
      </c>
      <c r="N5" s="1" t="s">
        <v>14</v>
      </c>
    </row>
    <row r="6" spans="1:14" x14ac:dyDescent="0.25">
      <c r="A6" s="19" t="s">
        <v>16</v>
      </c>
      <c r="B6" s="19"/>
      <c r="C6" s="20"/>
      <c r="D6" s="19"/>
      <c r="E6" s="20"/>
      <c r="F6" s="19"/>
      <c r="G6" s="20"/>
      <c r="H6" s="19"/>
      <c r="I6" s="20"/>
      <c r="J6" s="19"/>
      <c r="K6" s="20"/>
      <c r="L6" s="19"/>
      <c r="M6" s="20"/>
      <c r="N6" s="19"/>
    </row>
    <row r="7" spans="1:14" outlineLevel="1" x14ac:dyDescent="0.25">
      <c r="A7" s="2" t="s">
        <v>15</v>
      </c>
      <c r="B7" s="3" t="s">
        <v>20</v>
      </c>
      <c r="C7" s="13">
        <v>0.51574120968256099</v>
      </c>
      <c r="D7" s="3">
        <v>1872</v>
      </c>
      <c r="E7" s="13">
        <v>0.38111184168711498</v>
      </c>
      <c r="F7" s="3">
        <v>1872</v>
      </c>
      <c r="G7" s="13">
        <v>0.53201425373586697</v>
      </c>
      <c r="H7" s="3">
        <v>984</v>
      </c>
      <c r="I7" s="13">
        <v>0.39637488318731501</v>
      </c>
      <c r="J7" s="3">
        <v>984</v>
      </c>
      <c r="K7" s="13">
        <v>0.49810077781642598</v>
      </c>
      <c r="L7" s="3">
        <v>887</v>
      </c>
      <c r="M7" s="13">
        <v>0.36456621197998601</v>
      </c>
      <c r="N7" s="4">
        <v>887</v>
      </c>
    </row>
    <row r="8" spans="1:14" x14ac:dyDescent="0.25">
      <c r="C8" s="16"/>
      <c r="E8" s="16"/>
      <c r="G8" s="16"/>
      <c r="I8" s="16"/>
      <c r="K8" s="16"/>
      <c r="M8" s="16"/>
    </row>
    <row r="9" spans="1:14" x14ac:dyDescent="0.25">
      <c r="A9" s="19" t="s">
        <v>21</v>
      </c>
      <c r="B9" s="19"/>
      <c r="C9" s="20"/>
      <c r="D9" s="19"/>
      <c r="E9" s="20"/>
      <c r="F9" s="19"/>
      <c r="G9" s="20"/>
      <c r="H9" s="19"/>
      <c r="I9" s="20"/>
      <c r="J9" s="19"/>
      <c r="K9" s="20"/>
      <c r="L9" s="19"/>
      <c r="M9" s="20"/>
      <c r="N9" s="19"/>
    </row>
    <row r="10" spans="1:14" outlineLevel="1" x14ac:dyDescent="0.25">
      <c r="A10" s="5" t="s">
        <v>15</v>
      </c>
      <c r="B10" s="8" t="s">
        <v>22</v>
      </c>
      <c r="C10" s="14">
        <v>0.69888719903724905</v>
      </c>
      <c r="D10" s="8">
        <v>26</v>
      </c>
      <c r="E10" s="14">
        <v>0.65986946374010702</v>
      </c>
      <c r="F10" s="8">
        <v>26</v>
      </c>
      <c r="G10" s="14">
        <v>0.67977099970520005</v>
      </c>
      <c r="H10" s="8">
        <v>12</v>
      </c>
      <c r="I10" s="14">
        <v>0.59535539723594999</v>
      </c>
      <c r="J10" s="8">
        <v>12</v>
      </c>
      <c r="K10" s="14">
        <v>0.71531684324492895</v>
      </c>
      <c r="L10" s="8">
        <v>14</v>
      </c>
      <c r="M10" s="14">
        <v>0.71531684324492895</v>
      </c>
      <c r="N10" s="10">
        <v>14</v>
      </c>
    </row>
    <row r="11" spans="1:14" outlineLevel="1" x14ac:dyDescent="0.25">
      <c r="A11" s="6" t="s">
        <v>15</v>
      </c>
      <c r="B11" t="s">
        <v>23</v>
      </c>
      <c r="C11" s="16">
        <v>0.461912938812578</v>
      </c>
      <c r="D11">
        <v>128</v>
      </c>
      <c r="E11" s="16">
        <v>0.32708381221690802</v>
      </c>
      <c r="F11">
        <v>128</v>
      </c>
      <c r="G11" s="16">
        <v>0.55400084225996105</v>
      </c>
      <c r="H11">
        <v>70</v>
      </c>
      <c r="I11" s="16">
        <v>0.38197405808986601</v>
      </c>
      <c r="J11">
        <v>70</v>
      </c>
      <c r="K11" s="16">
        <v>0.31100661091881099</v>
      </c>
      <c r="L11">
        <v>58</v>
      </c>
      <c r="M11" s="16">
        <v>0.23713404539865099</v>
      </c>
      <c r="N11" s="11">
        <v>58</v>
      </c>
    </row>
    <row r="12" spans="1:14" outlineLevel="1" x14ac:dyDescent="0.25">
      <c r="A12" s="6" t="s">
        <v>15</v>
      </c>
      <c r="B12" t="s">
        <v>24</v>
      </c>
      <c r="C12" s="16">
        <v>0.57890755494744495</v>
      </c>
      <c r="D12">
        <v>24</v>
      </c>
      <c r="E12" s="16">
        <v>0.49659595945511897</v>
      </c>
      <c r="F12">
        <v>24</v>
      </c>
      <c r="G12" s="16">
        <v>0.59577933959370399</v>
      </c>
      <c r="H12">
        <v>10</v>
      </c>
      <c r="I12" s="16">
        <v>0.49618066589403398</v>
      </c>
      <c r="J12">
        <v>10</v>
      </c>
      <c r="K12" s="16">
        <v>0.56662917671767299</v>
      </c>
      <c r="L12">
        <v>14</v>
      </c>
      <c r="M12" s="16">
        <v>0.49689818779232803</v>
      </c>
      <c r="N12" s="11">
        <v>14</v>
      </c>
    </row>
    <row r="13" spans="1:14" outlineLevel="1" x14ac:dyDescent="0.25">
      <c r="A13" s="6" t="s">
        <v>15</v>
      </c>
      <c r="B13" t="s">
        <v>25</v>
      </c>
      <c r="C13" s="16">
        <v>0.26621743676090398</v>
      </c>
      <c r="D13">
        <v>165</v>
      </c>
      <c r="E13" s="16">
        <v>0.149957645507068</v>
      </c>
      <c r="F13">
        <v>165</v>
      </c>
      <c r="G13" s="16">
        <v>0.25441616510638099</v>
      </c>
      <c r="H13">
        <v>88</v>
      </c>
      <c r="I13" s="16">
        <v>0.16697940441143799</v>
      </c>
      <c r="J13">
        <v>88</v>
      </c>
      <c r="K13" s="16">
        <v>0.27746009205990602</v>
      </c>
      <c r="L13">
        <v>77</v>
      </c>
      <c r="M13" s="16">
        <v>0.13374161612084401</v>
      </c>
      <c r="N13" s="11">
        <v>77</v>
      </c>
    </row>
    <row r="14" spans="1:14" outlineLevel="1" x14ac:dyDescent="0.25">
      <c r="A14" s="6" t="s">
        <v>15</v>
      </c>
      <c r="B14" t="s">
        <v>26</v>
      </c>
      <c r="C14" s="16">
        <v>0.58678025191528904</v>
      </c>
      <c r="D14">
        <v>144</v>
      </c>
      <c r="E14" s="16">
        <v>0.352550912207792</v>
      </c>
      <c r="F14">
        <v>144</v>
      </c>
      <c r="G14" s="16">
        <v>0.73736338793033795</v>
      </c>
      <c r="H14">
        <v>82</v>
      </c>
      <c r="I14" s="16">
        <v>0.52734187148169898</v>
      </c>
      <c r="J14">
        <v>82</v>
      </c>
      <c r="K14" s="16">
        <v>0.385086875407537</v>
      </c>
      <c r="L14">
        <v>62</v>
      </c>
      <c r="M14" s="16">
        <v>0.11843320359891001</v>
      </c>
      <c r="N14" s="11">
        <v>62</v>
      </c>
    </row>
    <row r="15" spans="1:14" outlineLevel="1" x14ac:dyDescent="0.25">
      <c r="A15" s="6" t="s">
        <v>15</v>
      </c>
      <c r="B15" t="s">
        <v>27</v>
      </c>
      <c r="C15" s="16">
        <v>0.29681014191022298</v>
      </c>
      <c r="D15">
        <v>177</v>
      </c>
      <c r="E15" s="16">
        <v>0.24976602660598901</v>
      </c>
      <c r="F15">
        <v>177</v>
      </c>
      <c r="G15" s="16">
        <v>0.32916033839300701</v>
      </c>
      <c r="H15">
        <v>85</v>
      </c>
      <c r="I15" s="16">
        <v>0.24890502209725901</v>
      </c>
      <c r="J15">
        <v>85</v>
      </c>
      <c r="K15" s="16">
        <v>0.26169552855617401</v>
      </c>
      <c r="L15">
        <v>91</v>
      </c>
      <c r="M15" s="16">
        <v>0.25071725590687699</v>
      </c>
      <c r="N15" s="11">
        <v>91</v>
      </c>
    </row>
    <row r="16" spans="1:14" outlineLevel="1" x14ac:dyDescent="0.25">
      <c r="A16" s="6" t="s">
        <v>15</v>
      </c>
      <c r="B16" t="s">
        <v>28</v>
      </c>
      <c r="C16" s="16">
        <v>0.28465560880741297</v>
      </c>
      <c r="D16">
        <v>100</v>
      </c>
      <c r="E16" s="16">
        <v>0.15446779490722901</v>
      </c>
      <c r="F16">
        <v>100</v>
      </c>
      <c r="G16" s="16">
        <v>0.22820009361150401</v>
      </c>
      <c r="H16">
        <v>58</v>
      </c>
      <c r="I16" s="16">
        <v>0.127214635420976</v>
      </c>
      <c r="J16">
        <v>58</v>
      </c>
      <c r="K16" s="16">
        <v>0.40860403134038198</v>
      </c>
      <c r="L16">
        <v>42</v>
      </c>
      <c r="M16" s="16">
        <v>0.214302270168649</v>
      </c>
      <c r="N16" s="11">
        <v>42</v>
      </c>
    </row>
    <row r="17" spans="1:14" outlineLevel="1" x14ac:dyDescent="0.25">
      <c r="A17" s="6" t="s">
        <v>15</v>
      </c>
      <c r="B17" t="s">
        <v>29</v>
      </c>
      <c r="C17" s="16">
        <v>0.63294117122077698</v>
      </c>
      <c r="D17">
        <v>111</v>
      </c>
      <c r="E17" s="16">
        <v>0.36726621307212998</v>
      </c>
      <c r="F17">
        <v>111</v>
      </c>
      <c r="G17" s="16">
        <v>0.71636790922762705</v>
      </c>
      <c r="H17">
        <v>54</v>
      </c>
      <c r="I17" s="16">
        <v>0.45327168728467898</v>
      </c>
      <c r="J17">
        <v>54</v>
      </c>
      <c r="K17" s="16">
        <v>0.56787268852092998</v>
      </c>
      <c r="L17">
        <v>57</v>
      </c>
      <c r="M17" s="16">
        <v>0.300186451300407</v>
      </c>
      <c r="N17" s="11">
        <v>57</v>
      </c>
    </row>
    <row r="18" spans="1:14" outlineLevel="1" x14ac:dyDescent="0.25">
      <c r="A18" s="6" t="s">
        <v>15</v>
      </c>
      <c r="B18" t="s">
        <v>30</v>
      </c>
      <c r="C18" s="16">
        <v>0.60526315789473695</v>
      </c>
      <c r="D18">
        <v>38</v>
      </c>
      <c r="E18" s="16">
        <v>0.42105263157894701</v>
      </c>
      <c r="F18">
        <v>38</v>
      </c>
      <c r="G18" s="16">
        <v>0.61904761904761896</v>
      </c>
      <c r="H18">
        <v>21</v>
      </c>
      <c r="I18" s="16">
        <v>0.476190476190476</v>
      </c>
      <c r="J18">
        <v>21</v>
      </c>
      <c r="K18" s="16">
        <v>0.58823529411764697</v>
      </c>
      <c r="L18">
        <v>17</v>
      </c>
      <c r="M18" s="16">
        <v>0.35294117647058798</v>
      </c>
      <c r="N18" s="11">
        <v>17</v>
      </c>
    </row>
    <row r="19" spans="1:14" outlineLevel="1" x14ac:dyDescent="0.25">
      <c r="A19" s="6" t="s">
        <v>15</v>
      </c>
      <c r="B19" t="s">
        <v>31</v>
      </c>
      <c r="C19" s="16">
        <v>0.55685882584685698</v>
      </c>
      <c r="D19">
        <v>128</v>
      </c>
      <c r="E19" s="16">
        <v>0.50392565572002901</v>
      </c>
      <c r="F19">
        <v>128</v>
      </c>
      <c r="G19" s="16">
        <v>0.57337177867437505</v>
      </c>
      <c r="H19">
        <v>74</v>
      </c>
      <c r="I19" s="16">
        <v>0.49132559071604898</v>
      </c>
      <c r="J19">
        <v>74</v>
      </c>
      <c r="K19" s="16">
        <v>0.53036221506161796</v>
      </c>
      <c r="L19">
        <v>54</v>
      </c>
      <c r="M19" s="16">
        <v>0.52414366407785395</v>
      </c>
      <c r="N19" s="11">
        <v>54</v>
      </c>
    </row>
    <row r="20" spans="1:14" outlineLevel="1" x14ac:dyDescent="0.25">
      <c r="A20" s="6" t="s">
        <v>15</v>
      </c>
      <c r="B20" t="s">
        <v>32</v>
      </c>
      <c r="C20" s="16">
        <v>0.64516129032258096</v>
      </c>
      <c r="D20">
        <v>31</v>
      </c>
      <c r="E20" s="16">
        <v>0.483870967741935</v>
      </c>
      <c r="F20">
        <v>31</v>
      </c>
      <c r="G20" s="16">
        <v>0.46153846153846201</v>
      </c>
      <c r="H20">
        <v>13</v>
      </c>
      <c r="I20" s="16">
        <v>0.38461538461538503</v>
      </c>
      <c r="J20">
        <v>13</v>
      </c>
      <c r="K20" s="16">
        <v>0.77777777777777801</v>
      </c>
      <c r="L20">
        <v>18</v>
      </c>
      <c r="M20" s="16">
        <v>0.55555555555555602</v>
      </c>
      <c r="N20" s="11">
        <v>18</v>
      </c>
    </row>
    <row r="21" spans="1:14" outlineLevel="1" x14ac:dyDescent="0.25">
      <c r="A21" s="6" t="s">
        <v>15</v>
      </c>
      <c r="B21" t="s">
        <v>33</v>
      </c>
      <c r="C21" s="16">
        <v>0.49252861485479099</v>
      </c>
      <c r="D21">
        <v>287</v>
      </c>
      <c r="E21" s="16">
        <v>0.39304246443639801</v>
      </c>
      <c r="F21">
        <v>287</v>
      </c>
      <c r="G21" s="16">
        <v>0.56348804109608097</v>
      </c>
      <c r="H21">
        <v>156</v>
      </c>
      <c r="I21" s="16">
        <v>0.476273746511995</v>
      </c>
      <c r="J21">
        <v>156</v>
      </c>
      <c r="K21" s="16">
        <v>0.40498781082026297</v>
      </c>
      <c r="L21">
        <v>131</v>
      </c>
      <c r="M21" s="16">
        <v>0.29036219009276598</v>
      </c>
      <c r="N21" s="11">
        <v>131</v>
      </c>
    </row>
    <row r="22" spans="1:14" outlineLevel="1" x14ac:dyDescent="0.25">
      <c r="A22" s="6" t="s">
        <v>15</v>
      </c>
      <c r="B22" t="s">
        <v>34</v>
      </c>
      <c r="C22" s="16">
        <v>0.17725314187934799</v>
      </c>
      <c r="D22">
        <v>108</v>
      </c>
      <c r="E22" s="16">
        <v>7.5424722894623097E-2</v>
      </c>
      <c r="F22">
        <v>108</v>
      </c>
      <c r="G22" s="16">
        <v>0.19680100721819299</v>
      </c>
      <c r="H22">
        <v>54</v>
      </c>
      <c r="I22" s="16">
        <v>0.117944425756287</v>
      </c>
      <c r="J22">
        <v>54</v>
      </c>
      <c r="K22" s="16">
        <v>0.15918627946594399</v>
      </c>
      <c r="L22">
        <v>54</v>
      </c>
      <c r="M22" s="16">
        <v>3.61264359387563E-2</v>
      </c>
      <c r="N22" s="11">
        <v>54</v>
      </c>
    </row>
    <row r="23" spans="1:14" outlineLevel="1" x14ac:dyDescent="0.25">
      <c r="A23" s="6" t="s">
        <v>15</v>
      </c>
      <c r="B23" t="s">
        <v>35</v>
      </c>
      <c r="C23" s="16">
        <v>0.483870967741935</v>
      </c>
      <c r="D23">
        <v>31</v>
      </c>
      <c r="E23" s="16">
        <v>0.38709677419354799</v>
      </c>
      <c r="F23">
        <v>31</v>
      </c>
      <c r="G23" s="16">
        <v>0.53333333333333299</v>
      </c>
      <c r="H23">
        <v>15</v>
      </c>
      <c r="I23" s="16">
        <v>0.4</v>
      </c>
      <c r="J23">
        <v>15</v>
      </c>
      <c r="K23" s="16">
        <v>0.4375</v>
      </c>
      <c r="L23">
        <v>16</v>
      </c>
      <c r="M23" s="16">
        <v>0.375</v>
      </c>
      <c r="N23" s="11">
        <v>16</v>
      </c>
    </row>
    <row r="24" spans="1:14" outlineLevel="1" x14ac:dyDescent="0.25">
      <c r="A24" s="6" t="s">
        <v>15</v>
      </c>
      <c r="B24" t="s">
        <v>36</v>
      </c>
      <c r="C24" s="16">
        <v>0.31878361699184299</v>
      </c>
      <c r="D24">
        <v>104</v>
      </c>
      <c r="E24" s="16">
        <v>0.19595285313033101</v>
      </c>
      <c r="F24">
        <v>104</v>
      </c>
      <c r="G24" s="16">
        <v>0.33969559568180702</v>
      </c>
      <c r="H24">
        <v>62</v>
      </c>
      <c r="I24" s="16">
        <v>0.21361269874420899</v>
      </c>
      <c r="J24">
        <v>62</v>
      </c>
      <c r="K24" s="16">
        <v>0.29044680288865199</v>
      </c>
      <c r="L24">
        <v>42</v>
      </c>
      <c r="M24" s="16">
        <v>0.172022847764952</v>
      </c>
      <c r="N24" s="11">
        <v>42</v>
      </c>
    </row>
    <row r="25" spans="1:14" outlineLevel="1" x14ac:dyDescent="0.25">
      <c r="A25" s="6" t="s">
        <v>15</v>
      </c>
      <c r="B25" t="s">
        <v>37</v>
      </c>
      <c r="C25" s="16">
        <v>0.69808976728138294</v>
      </c>
      <c r="D25">
        <v>103</v>
      </c>
      <c r="E25" s="16">
        <v>0.50577601101743996</v>
      </c>
      <c r="F25">
        <v>103</v>
      </c>
      <c r="G25" s="16">
        <v>0.72483973075326602</v>
      </c>
      <c r="H25">
        <v>45</v>
      </c>
      <c r="I25" s="16">
        <v>0.416369573673257</v>
      </c>
      <c r="J25">
        <v>45</v>
      </c>
      <c r="K25" s="16">
        <v>0.67511100827569803</v>
      </c>
      <c r="L25">
        <v>58</v>
      </c>
      <c r="M25" s="16">
        <v>0.58257794682001396</v>
      </c>
      <c r="N25" s="11">
        <v>58</v>
      </c>
    </row>
    <row r="26" spans="1:14" outlineLevel="1" x14ac:dyDescent="0.25">
      <c r="A26" s="6" t="s">
        <v>15</v>
      </c>
      <c r="B26" t="s">
        <v>38</v>
      </c>
      <c r="C26" s="16">
        <v>0.49210241220272299</v>
      </c>
      <c r="D26">
        <v>62</v>
      </c>
      <c r="E26" s="16">
        <v>0.26657290329187799</v>
      </c>
      <c r="F26">
        <v>62</v>
      </c>
      <c r="G26" s="16">
        <v>0.412092295808483</v>
      </c>
      <c r="H26">
        <v>37</v>
      </c>
      <c r="I26" s="16">
        <v>0.23948279983260801</v>
      </c>
      <c r="J26">
        <v>37</v>
      </c>
      <c r="K26" s="16">
        <v>0.61923745945213404</v>
      </c>
      <c r="L26">
        <v>25</v>
      </c>
      <c r="M26" s="16">
        <v>0.30961872972606702</v>
      </c>
      <c r="N26" s="11">
        <v>25</v>
      </c>
    </row>
    <row r="27" spans="1:14" outlineLevel="1" x14ac:dyDescent="0.25">
      <c r="A27" s="7" t="s">
        <v>15</v>
      </c>
      <c r="B27" s="9" t="s">
        <v>39</v>
      </c>
      <c r="C27" s="15">
        <v>0.64212873524473102</v>
      </c>
      <c r="D27" s="9">
        <v>105</v>
      </c>
      <c r="E27" s="15">
        <v>0.53290617944750196</v>
      </c>
      <c r="F27" s="9">
        <v>105</v>
      </c>
      <c r="G27" s="15">
        <v>0.63169752347949204</v>
      </c>
      <c r="H27" s="9">
        <v>48</v>
      </c>
      <c r="I27" s="15">
        <v>0.51338057959566397</v>
      </c>
      <c r="J27" s="9">
        <v>48</v>
      </c>
      <c r="K27" s="15">
        <v>0.65142155315285799</v>
      </c>
      <c r="L27" s="9">
        <v>57</v>
      </c>
      <c r="M27" s="15">
        <v>0.55030088373054098</v>
      </c>
      <c r="N27" s="12">
        <v>57</v>
      </c>
    </row>
    <row r="28" spans="1:14" x14ac:dyDescent="0.25">
      <c r="C28" s="16"/>
      <c r="E28" s="16"/>
      <c r="G28" s="16"/>
      <c r="I28" s="16"/>
      <c r="K28" s="16"/>
      <c r="M28" s="16"/>
    </row>
    <row r="29" spans="1:14" x14ac:dyDescent="0.25">
      <c r="A29" s="19" t="s">
        <v>40</v>
      </c>
      <c r="B29" s="19"/>
      <c r="C29" s="20"/>
      <c r="D29" s="19"/>
      <c r="E29" s="20"/>
      <c r="F29" s="19"/>
      <c r="G29" s="20"/>
      <c r="H29" s="19"/>
      <c r="I29" s="20"/>
      <c r="J29" s="19"/>
      <c r="K29" s="20"/>
      <c r="L29" s="19"/>
      <c r="M29" s="20"/>
      <c r="N29" s="19"/>
    </row>
    <row r="30" spans="1:14" outlineLevel="1" x14ac:dyDescent="0.25">
      <c r="A30" s="5" t="s">
        <v>15</v>
      </c>
      <c r="B30" s="8" t="s">
        <v>41</v>
      </c>
      <c r="C30" s="14">
        <v>0.69888719903724905</v>
      </c>
      <c r="D30" s="8">
        <v>26</v>
      </c>
      <c r="E30" s="14">
        <v>0.65986946374010702</v>
      </c>
      <c r="F30" s="8">
        <v>26</v>
      </c>
      <c r="G30" s="14">
        <v>0.67977099970520005</v>
      </c>
      <c r="H30" s="8">
        <v>12</v>
      </c>
      <c r="I30" s="14">
        <v>0.59535539723594999</v>
      </c>
      <c r="J30" s="8">
        <v>12</v>
      </c>
      <c r="K30" s="14">
        <v>0.71531684324492895</v>
      </c>
      <c r="L30" s="8">
        <v>14</v>
      </c>
      <c r="M30" s="14">
        <v>0.71531684324492895</v>
      </c>
      <c r="N30" s="10">
        <v>14</v>
      </c>
    </row>
    <row r="31" spans="1:14" outlineLevel="1" x14ac:dyDescent="0.25">
      <c r="A31" s="6" t="s">
        <v>15</v>
      </c>
      <c r="B31" t="s">
        <v>42</v>
      </c>
      <c r="C31" s="16">
        <v>0.54098360655737698</v>
      </c>
      <c r="D31">
        <v>61</v>
      </c>
      <c r="E31" s="16">
        <v>0.34426229508196698</v>
      </c>
      <c r="F31">
        <v>61</v>
      </c>
      <c r="G31" s="16">
        <v>0.6</v>
      </c>
      <c r="H31">
        <v>30</v>
      </c>
      <c r="I31" s="16">
        <v>0.43333333333333302</v>
      </c>
      <c r="J31">
        <v>30</v>
      </c>
      <c r="K31" s="16">
        <v>0.483870967741935</v>
      </c>
      <c r="L31">
        <v>31</v>
      </c>
      <c r="M31" s="16">
        <v>0.25806451612903197</v>
      </c>
      <c r="N31" s="11">
        <v>31</v>
      </c>
    </row>
    <row r="32" spans="1:14" outlineLevel="1" x14ac:dyDescent="0.25">
      <c r="A32" s="6" t="s">
        <v>15</v>
      </c>
      <c r="B32" t="s">
        <v>43</v>
      </c>
      <c r="C32" s="16">
        <v>0.45652173913043498</v>
      </c>
      <c r="D32">
        <v>46</v>
      </c>
      <c r="E32" s="16">
        <v>0.32608695652173902</v>
      </c>
      <c r="F32">
        <v>46</v>
      </c>
      <c r="G32" s="16">
        <v>0.55172413793103403</v>
      </c>
      <c r="H32">
        <v>29</v>
      </c>
      <c r="I32" s="16">
        <v>0.37931034482758602</v>
      </c>
      <c r="J32">
        <v>29</v>
      </c>
      <c r="K32" s="16">
        <v>0.29411764705882398</v>
      </c>
      <c r="L32">
        <v>17</v>
      </c>
      <c r="M32" s="16">
        <v>0.23529411764705899</v>
      </c>
      <c r="N32" s="11">
        <v>17</v>
      </c>
    </row>
    <row r="33" spans="1:14" outlineLevel="1" x14ac:dyDescent="0.25">
      <c r="A33" s="6" t="s">
        <v>15</v>
      </c>
      <c r="B33" t="s">
        <v>44</v>
      </c>
      <c r="C33" s="16">
        <v>0.238095238095238</v>
      </c>
      <c r="D33">
        <v>21</v>
      </c>
      <c r="E33" s="16">
        <v>0.14285714285714299</v>
      </c>
      <c r="F33">
        <v>21</v>
      </c>
      <c r="G33" s="16">
        <v>0.27272727272727298</v>
      </c>
      <c r="H33">
        <v>11</v>
      </c>
      <c r="I33" s="16">
        <v>0.18181818181818199</v>
      </c>
      <c r="J33">
        <v>11</v>
      </c>
      <c r="K33" s="16">
        <v>0.2</v>
      </c>
      <c r="L33">
        <v>10</v>
      </c>
      <c r="M33" s="16">
        <v>0.1</v>
      </c>
      <c r="N33" s="11">
        <v>10</v>
      </c>
    </row>
    <row r="34" spans="1:14" outlineLevel="1" x14ac:dyDescent="0.25">
      <c r="A34" s="6" t="s">
        <v>15</v>
      </c>
      <c r="B34" t="s">
        <v>45</v>
      </c>
      <c r="C34" s="16">
        <v>0.57890755494744495</v>
      </c>
      <c r="D34">
        <v>24</v>
      </c>
      <c r="E34" s="16">
        <v>0.49659595945511897</v>
      </c>
      <c r="F34">
        <v>24</v>
      </c>
      <c r="G34" s="16">
        <v>0.59577933959370399</v>
      </c>
      <c r="H34">
        <v>10</v>
      </c>
      <c r="I34" s="16">
        <v>0.49618066589403398</v>
      </c>
      <c r="J34">
        <v>10</v>
      </c>
      <c r="K34" s="16">
        <v>0.56662917671767299</v>
      </c>
      <c r="L34">
        <v>14</v>
      </c>
      <c r="M34" s="16">
        <v>0.49689818779232803</v>
      </c>
      <c r="N34" s="11">
        <v>14</v>
      </c>
    </row>
    <row r="35" spans="1:14" outlineLevel="1" x14ac:dyDescent="0.25">
      <c r="A35" s="6" t="s">
        <v>15</v>
      </c>
      <c r="B35" t="s">
        <v>46</v>
      </c>
      <c r="C35" s="16">
        <v>0.25</v>
      </c>
      <c r="D35">
        <v>56</v>
      </c>
      <c r="E35" s="16">
        <v>0.107142857142857</v>
      </c>
      <c r="F35">
        <v>56</v>
      </c>
      <c r="G35" s="16">
        <v>0.16129032258064499</v>
      </c>
      <c r="H35">
        <v>31</v>
      </c>
      <c r="I35" s="16">
        <v>9.6774193548387094E-2</v>
      </c>
      <c r="J35">
        <v>31</v>
      </c>
      <c r="K35" s="16">
        <v>0.36</v>
      </c>
      <c r="L35">
        <v>25</v>
      </c>
      <c r="M35" s="16">
        <v>0.12</v>
      </c>
      <c r="N35" s="11">
        <v>25</v>
      </c>
    </row>
    <row r="36" spans="1:14" outlineLevel="1" x14ac:dyDescent="0.25">
      <c r="A36" s="6" t="s">
        <v>15</v>
      </c>
      <c r="B36" t="s">
        <v>47</v>
      </c>
      <c r="C36" s="16">
        <v>0.26760563380281699</v>
      </c>
      <c r="D36">
        <v>71</v>
      </c>
      <c r="E36" s="16">
        <v>0.154929577464789</v>
      </c>
      <c r="F36">
        <v>71</v>
      </c>
      <c r="G36" s="16">
        <v>0.26470588235294101</v>
      </c>
      <c r="H36">
        <v>34</v>
      </c>
      <c r="I36" s="16">
        <v>0.17647058823529399</v>
      </c>
      <c r="J36">
        <v>34</v>
      </c>
      <c r="K36" s="16">
        <v>0.27027027027027001</v>
      </c>
      <c r="L36">
        <v>37</v>
      </c>
      <c r="M36" s="16">
        <v>0.135135135135135</v>
      </c>
      <c r="N36" s="11">
        <v>37</v>
      </c>
    </row>
    <row r="37" spans="1:14" outlineLevel="1" x14ac:dyDescent="0.25">
      <c r="A37" s="6" t="s">
        <v>15</v>
      </c>
      <c r="B37" t="s">
        <v>48</v>
      </c>
      <c r="C37" s="16">
        <v>0.31578947368421101</v>
      </c>
      <c r="D37">
        <v>38</v>
      </c>
      <c r="E37" s="16">
        <v>0.157894736842105</v>
      </c>
      <c r="F37">
        <v>38</v>
      </c>
      <c r="G37" s="16">
        <v>0.434782608695652</v>
      </c>
      <c r="H37">
        <v>23</v>
      </c>
      <c r="I37" s="16">
        <v>0.173913043478261</v>
      </c>
      <c r="J37">
        <v>23</v>
      </c>
      <c r="K37" s="16">
        <v>0.133333333333333</v>
      </c>
      <c r="L37">
        <v>15</v>
      </c>
      <c r="M37" s="16">
        <v>0.133333333333333</v>
      </c>
      <c r="N37" s="11">
        <v>15</v>
      </c>
    </row>
    <row r="38" spans="1:14" outlineLevel="1" x14ac:dyDescent="0.25">
      <c r="A38" s="6" t="s">
        <v>15</v>
      </c>
      <c r="B38" t="s">
        <v>49</v>
      </c>
      <c r="C38" s="16">
        <v>0.52307692307692299</v>
      </c>
      <c r="D38">
        <v>65</v>
      </c>
      <c r="E38" s="16">
        <v>0.32307692307692298</v>
      </c>
      <c r="F38">
        <v>65</v>
      </c>
      <c r="G38" s="16">
        <v>0.64102564102564097</v>
      </c>
      <c r="H38">
        <v>39</v>
      </c>
      <c r="I38" s="16">
        <v>0.41025641025641002</v>
      </c>
      <c r="J38">
        <v>39</v>
      </c>
      <c r="K38" s="16">
        <v>0.34615384615384598</v>
      </c>
      <c r="L38">
        <v>26</v>
      </c>
      <c r="M38" s="16">
        <v>0.19230769230769201</v>
      </c>
      <c r="N38" s="11">
        <v>26</v>
      </c>
    </row>
    <row r="39" spans="1:14" outlineLevel="1" x14ac:dyDescent="0.25">
      <c r="A39" s="6" t="s">
        <v>15</v>
      </c>
      <c r="B39" t="s">
        <v>50</v>
      </c>
      <c r="C39" s="16">
        <v>0.59523809523809501</v>
      </c>
      <c r="D39">
        <v>42</v>
      </c>
      <c r="E39" s="16">
        <v>0.35714285714285698</v>
      </c>
      <c r="F39">
        <v>42</v>
      </c>
      <c r="G39" s="16">
        <v>0.75</v>
      </c>
      <c r="H39">
        <v>24</v>
      </c>
      <c r="I39" s="16">
        <v>0.54166666666666696</v>
      </c>
      <c r="J39">
        <v>24</v>
      </c>
      <c r="K39" s="16">
        <v>0.38888888888888901</v>
      </c>
      <c r="L39">
        <v>18</v>
      </c>
      <c r="M39" s="16">
        <v>0.11111111111111099</v>
      </c>
      <c r="N39" s="11">
        <v>18</v>
      </c>
    </row>
    <row r="40" spans="1:14" outlineLevel="1" x14ac:dyDescent="0.25">
      <c r="A40" s="6" t="s">
        <v>15</v>
      </c>
      <c r="B40" t="s">
        <v>51</v>
      </c>
      <c r="C40" s="16">
        <v>0.37837837837837801</v>
      </c>
      <c r="D40">
        <v>37</v>
      </c>
      <c r="E40" s="16">
        <v>0.21621621621621601</v>
      </c>
      <c r="F40">
        <v>37</v>
      </c>
      <c r="G40" s="16">
        <v>0.42105263157894701</v>
      </c>
      <c r="H40">
        <v>19</v>
      </c>
      <c r="I40" s="16">
        <v>0.21052631578947401</v>
      </c>
      <c r="J40">
        <v>19</v>
      </c>
      <c r="K40" s="16">
        <v>0.33333333333333298</v>
      </c>
      <c r="L40">
        <v>18</v>
      </c>
      <c r="M40" s="16">
        <v>0.22222222222222199</v>
      </c>
      <c r="N40" s="11">
        <v>18</v>
      </c>
    </row>
    <row r="41" spans="1:14" outlineLevel="1" x14ac:dyDescent="0.25">
      <c r="A41" s="6" t="s">
        <v>15</v>
      </c>
      <c r="B41" t="s">
        <v>52</v>
      </c>
      <c r="C41" s="16">
        <v>0.34874388541887602</v>
      </c>
      <c r="D41">
        <v>56</v>
      </c>
      <c r="E41" s="16">
        <v>0.275123832440131</v>
      </c>
      <c r="F41">
        <v>56</v>
      </c>
      <c r="G41" s="16">
        <v>0.43204723428902198</v>
      </c>
      <c r="H41">
        <v>24</v>
      </c>
      <c r="I41" s="16">
        <v>0.30422586462548001</v>
      </c>
      <c r="J41">
        <v>24</v>
      </c>
      <c r="K41" s="16">
        <v>0.28729082257335398</v>
      </c>
      <c r="L41">
        <v>32</v>
      </c>
      <c r="M41" s="16">
        <v>0.25365519958112698</v>
      </c>
      <c r="N41" s="11">
        <v>32</v>
      </c>
    </row>
    <row r="42" spans="1:14" outlineLevel="1" x14ac:dyDescent="0.25">
      <c r="A42" s="6" t="s">
        <v>15</v>
      </c>
      <c r="B42" t="s">
        <v>53</v>
      </c>
      <c r="C42" s="16">
        <v>0.27777777777777801</v>
      </c>
      <c r="D42">
        <v>54</v>
      </c>
      <c r="E42" s="16">
        <v>0.240740740740741</v>
      </c>
      <c r="F42">
        <v>54</v>
      </c>
      <c r="G42" s="16">
        <v>0.3</v>
      </c>
      <c r="H42">
        <v>30</v>
      </c>
      <c r="I42" s="16">
        <v>0.233333333333333</v>
      </c>
      <c r="J42">
        <v>30</v>
      </c>
      <c r="K42" s="16">
        <v>0.25</v>
      </c>
      <c r="L42">
        <v>24</v>
      </c>
      <c r="M42" s="16">
        <v>0.25</v>
      </c>
      <c r="N42" s="11">
        <v>24</v>
      </c>
    </row>
    <row r="43" spans="1:14" outlineLevel="1" x14ac:dyDescent="0.25">
      <c r="A43" s="6" t="s">
        <v>15</v>
      </c>
      <c r="B43" t="s">
        <v>54</v>
      </c>
      <c r="C43" s="16">
        <v>0.37541088036692599</v>
      </c>
      <c r="D43">
        <v>67</v>
      </c>
      <c r="E43" s="16">
        <v>0.196509109440693</v>
      </c>
      <c r="F43">
        <v>67</v>
      </c>
      <c r="G43" s="16">
        <v>0.61333771353482303</v>
      </c>
      <c r="H43">
        <v>31</v>
      </c>
      <c r="I43" s="16">
        <v>0.35780770915462101</v>
      </c>
      <c r="J43">
        <v>31</v>
      </c>
      <c r="K43" s="16">
        <v>0.172978004213002</v>
      </c>
      <c r="L43">
        <v>35</v>
      </c>
      <c r="M43" s="16">
        <v>5.7659334737667198E-2</v>
      </c>
      <c r="N43" s="11">
        <v>35</v>
      </c>
    </row>
    <row r="44" spans="1:14" outlineLevel="1" x14ac:dyDescent="0.25">
      <c r="A44" s="6" t="s">
        <v>15</v>
      </c>
      <c r="B44" t="s">
        <v>55</v>
      </c>
      <c r="C44" s="16">
        <v>0.43549145255106397</v>
      </c>
      <c r="D44">
        <v>41</v>
      </c>
      <c r="E44" s="16">
        <v>0.30111537401472599</v>
      </c>
      <c r="F44">
        <v>41</v>
      </c>
      <c r="G44" s="16">
        <v>0.61242856062273598</v>
      </c>
      <c r="H44">
        <v>22</v>
      </c>
      <c r="I44" s="16">
        <v>0.41150459354248398</v>
      </c>
      <c r="J44">
        <v>22</v>
      </c>
      <c r="K44" s="16">
        <v>0.20815525736782001</v>
      </c>
      <c r="L44">
        <v>19</v>
      </c>
      <c r="M44" s="16">
        <v>0.15928268877312499</v>
      </c>
      <c r="N44" s="11">
        <v>19</v>
      </c>
    </row>
    <row r="45" spans="1:14" outlineLevel="1" x14ac:dyDescent="0.25">
      <c r="A45" s="6" t="s">
        <v>15</v>
      </c>
      <c r="B45" t="s">
        <v>56</v>
      </c>
      <c r="C45" s="16">
        <v>0.260847288267676</v>
      </c>
      <c r="D45">
        <v>31</v>
      </c>
      <c r="E45" s="16">
        <v>0.131431010585878</v>
      </c>
      <c r="F45">
        <v>31</v>
      </c>
      <c r="G45" s="16">
        <v>0.18008999858670599</v>
      </c>
      <c r="H45">
        <v>22</v>
      </c>
      <c r="I45" s="16">
        <v>9.1553973100895802E-2</v>
      </c>
      <c r="J45">
        <v>22</v>
      </c>
      <c r="K45" s="16">
        <v>0.45670031732178301</v>
      </c>
      <c r="L45">
        <v>9</v>
      </c>
      <c r="M45" s="16">
        <v>0.22814102415853801</v>
      </c>
      <c r="N45" s="11">
        <v>9</v>
      </c>
    </row>
    <row r="46" spans="1:14" outlineLevel="1" x14ac:dyDescent="0.25">
      <c r="A46" s="6" t="s">
        <v>15</v>
      </c>
      <c r="B46" t="s">
        <v>57</v>
      </c>
      <c r="C46" s="16">
        <v>0.35573639754065101</v>
      </c>
      <c r="D46">
        <v>28</v>
      </c>
      <c r="E46" s="16">
        <v>0.21265709035463101</v>
      </c>
      <c r="F46">
        <v>28</v>
      </c>
      <c r="G46" s="16">
        <v>0.42398225485330998</v>
      </c>
      <c r="H46">
        <v>14</v>
      </c>
      <c r="I46" s="16">
        <v>0.28104653317947798</v>
      </c>
      <c r="J46">
        <v>14</v>
      </c>
      <c r="K46" s="16">
        <v>0.28752038136179903</v>
      </c>
      <c r="L46">
        <v>14</v>
      </c>
      <c r="M46" s="16">
        <v>0.14429755144768699</v>
      </c>
      <c r="N46" s="11">
        <v>14</v>
      </c>
    </row>
    <row r="47" spans="1:14" outlineLevel="1" x14ac:dyDescent="0.25">
      <c r="A47" s="6" t="s">
        <v>15</v>
      </c>
      <c r="B47" t="s">
        <v>58</v>
      </c>
      <c r="C47" s="16">
        <v>0.48079218841378002</v>
      </c>
      <c r="D47">
        <v>36</v>
      </c>
      <c r="E47" s="16">
        <v>0.18283065244638499</v>
      </c>
      <c r="F47">
        <v>36</v>
      </c>
      <c r="G47" s="16">
        <v>0.52842886435740499</v>
      </c>
      <c r="H47">
        <v>14</v>
      </c>
      <c r="I47" s="16">
        <v>0.29285760089354801</v>
      </c>
      <c r="J47">
        <v>14</v>
      </c>
      <c r="K47" s="16">
        <v>0.45372676194481798</v>
      </c>
      <c r="L47">
        <v>22</v>
      </c>
      <c r="M47" s="16">
        <v>0.120317342610807</v>
      </c>
      <c r="N47" s="11">
        <v>22</v>
      </c>
    </row>
    <row r="48" spans="1:14" outlineLevel="1" x14ac:dyDescent="0.25">
      <c r="A48" s="6" t="s">
        <v>15</v>
      </c>
      <c r="B48" t="s">
        <v>59</v>
      </c>
      <c r="C48" s="16">
        <v>0.64705882352941202</v>
      </c>
      <c r="D48">
        <v>34</v>
      </c>
      <c r="E48" s="16">
        <v>0.38235294117647101</v>
      </c>
      <c r="F48">
        <v>34</v>
      </c>
      <c r="G48" s="16">
        <v>0.73333333333333295</v>
      </c>
      <c r="H48">
        <v>15</v>
      </c>
      <c r="I48" s="16">
        <v>0.46666666666666701</v>
      </c>
      <c r="J48">
        <v>15</v>
      </c>
      <c r="K48" s="16">
        <v>0.57894736842105299</v>
      </c>
      <c r="L48">
        <v>19</v>
      </c>
      <c r="M48" s="16">
        <v>0.31578947368421101</v>
      </c>
      <c r="N48" s="11">
        <v>19</v>
      </c>
    </row>
    <row r="49" spans="1:14" outlineLevel="1" x14ac:dyDescent="0.25">
      <c r="A49" s="6" t="s">
        <v>15</v>
      </c>
      <c r="B49" t="s">
        <v>60</v>
      </c>
      <c r="C49" s="16">
        <v>0.39024390243902402</v>
      </c>
      <c r="D49">
        <v>41</v>
      </c>
      <c r="E49" s="16">
        <v>0.219512195121951</v>
      </c>
      <c r="F49">
        <v>41</v>
      </c>
      <c r="G49" s="16">
        <v>0.4</v>
      </c>
      <c r="H49">
        <v>25</v>
      </c>
      <c r="I49" s="16">
        <v>0.24</v>
      </c>
      <c r="J49">
        <v>25</v>
      </c>
      <c r="K49" s="16">
        <v>0.375</v>
      </c>
      <c r="L49">
        <v>16</v>
      </c>
      <c r="M49" s="16">
        <v>0.1875</v>
      </c>
      <c r="N49" s="11">
        <v>16</v>
      </c>
    </row>
    <row r="50" spans="1:14" outlineLevel="1" x14ac:dyDescent="0.25">
      <c r="A50" s="6" t="s">
        <v>15</v>
      </c>
      <c r="B50" t="s">
        <v>61</v>
      </c>
      <c r="C50" s="16">
        <v>0.60526315789473695</v>
      </c>
      <c r="D50">
        <v>38</v>
      </c>
      <c r="E50" s="16">
        <v>0.42105263157894701</v>
      </c>
      <c r="F50">
        <v>38</v>
      </c>
      <c r="G50" s="16">
        <v>0.61904761904761896</v>
      </c>
      <c r="H50">
        <v>21</v>
      </c>
      <c r="I50" s="16">
        <v>0.476190476190476</v>
      </c>
      <c r="J50">
        <v>21</v>
      </c>
      <c r="K50" s="16">
        <v>0.58823529411764697</v>
      </c>
      <c r="L50">
        <v>17</v>
      </c>
      <c r="M50" s="16">
        <v>0.35294117647058798</v>
      </c>
      <c r="N50" s="11">
        <v>17</v>
      </c>
    </row>
    <row r="51" spans="1:14" outlineLevel="1" x14ac:dyDescent="0.25">
      <c r="A51" s="6" t="s">
        <v>15</v>
      </c>
      <c r="B51" t="s">
        <v>62</v>
      </c>
      <c r="C51" s="16">
        <v>0.232026437145536</v>
      </c>
      <c r="D51">
        <v>37</v>
      </c>
      <c r="E51" s="16">
        <v>0.15765630575202499</v>
      </c>
      <c r="F51">
        <v>37</v>
      </c>
      <c r="G51" s="16">
        <v>0.265910717221639</v>
      </c>
      <c r="H51">
        <v>18</v>
      </c>
      <c r="I51" s="16">
        <v>0.265910717221639</v>
      </c>
      <c r="J51">
        <v>18</v>
      </c>
      <c r="K51" s="16">
        <v>0.19818754003651801</v>
      </c>
      <c r="L51">
        <v>19</v>
      </c>
      <c r="M51" s="16">
        <v>4.9546885009129599E-2</v>
      </c>
      <c r="N51" s="11">
        <v>19</v>
      </c>
    </row>
    <row r="52" spans="1:14" outlineLevel="1" x14ac:dyDescent="0.25">
      <c r="A52" s="6" t="s">
        <v>15</v>
      </c>
      <c r="B52" t="s">
        <v>63</v>
      </c>
      <c r="C52" s="16">
        <v>0.56989779053454903</v>
      </c>
      <c r="D52">
        <v>40</v>
      </c>
      <c r="E52" s="16">
        <v>0.51767966789917397</v>
      </c>
      <c r="F52">
        <v>40</v>
      </c>
      <c r="G52" s="16">
        <v>0.58401984702090404</v>
      </c>
      <c r="H52">
        <v>25</v>
      </c>
      <c r="I52" s="16">
        <v>0.499767970630974</v>
      </c>
      <c r="J52">
        <v>25</v>
      </c>
      <c r="K52" s="16">
        <v>0.54687747005888998</v>
      </c>
      <c r="L52">
        <v>15</v>
      </c>
      <c r="M52" s="16">
        <v>0.54687747005888998</v>
      </c>
      <c r="N52" s="11">
        <v>15</v>
      </c>
    </row>
    <row r="53" spans="1:14" outlineLevel="1" x14ac:dyDescent="0.25">
      <c r="A53" s="6" t="s">
        <v>15</v>
      </c>
      <c r="B53" t="s">
        <v>64</v>
      </c>
      <c r="C53" s="16">
        <v>0.15688695098382599</v>
      </c>
      <c r="D53">
        <v>51</v>
      </c>
      <c r="E53" s="16">
        <v>9.8253542093760998E-2</v>
      </c>
      <c r="F53">
        <v>51</v>
      </c>
      <c r="G53" s="16">
        <v>0.16086246412796301</v>
      </c>
      <c r="H53">
        <v>31</v>
      </c>
      <c r="I53" s="16">
        <v>9.6658767203338505E-2</v>
      </c>
      <c r="J53">
        <v>31</v>
      </c>
      <c r="K53" s="16">
        <v>0.15072427506515201</v>
      </c>
      <c r="L53">
        <v>20</v>
      </c>
      <c r="M53" s="16">
        <v>0.10072569611679801</v>
      </c>
      <c r="N53" s="11">
        <v>20</v>
      </c>
    </row>
    <row r="54" spans="1:14" outlineLevel="1" x14ac:dyDescent="0.25">
      <c r="A54" s="6" t="s">
        <v>15</v>
      </c>
      <c r="B54" t="s">
        <v>65</v>
      </c>
      <c r="C54" s="16">
        <v>0.64516129032258096</v>
      </c>
      <c r="D54">
        <v>31</v>
      </c>
      <c r="E54" s="16">
        <v>0.483870967741935</v>
      </c>
      <c r="F54">
        <v>31</v>
      </c>
      <c r="G54" s="16">
        <v>0.46153846153846201</v>
      </c>
      <c r="H54">
        <v>13</v>
      </c>
      <c r="I54" s="16">
        <v>0.38461538461538503</v>
      </c>
      <c r="J54">
        <v>13</v>
      </c>
      <c r="K54" s="16">
        <v>0.77777777777777801</v>
      </c>
      <c r="L54">
        <v>18</v>
      </c>
      <c r="M54" s="16">
        <v>0.55555555555555602</v>
      </c>
      <c r="N54" s="11">
        <v>18</v>
      </c>
    </row>
    <row r="55" spans="1:14" outlineLevel="1" x14ac:dyDescent="0.25">
      <c r="A55" s="6" t="s">
        <v>15</v>
      </c>
      <c r="B55" t="s">
        <v>66</v>
      </c>
      <c r="C55" s="16">
        <v>0.375</v>
      </c>
      <c r="D55">
        <v>80</v>
      </c>
      <c r="E55" s="16">
        <v>0.22500000000000001</v>
      </c>
      <c r="F55">
        <v>80</v>
      </c>
      <c r="G55" s="16">
        <v>0.31111111111111101</v>
      </c>
      <c r="H55">
        <v>45</v>
      </c>
      <c r="I55" s="16">
        <v>0.22222222222222199</v>
      </c>
      <c r="J55">
        <v>45</v>
      </c>
      <c r="K55" s="16">
        <v>0.45714285714285702</v>
      </c>
      <c r="L55">
        <v>35</v>
      </c>
      <c r="M55" s="16">
        <v>0.22857142857142901</v>
      </c>
      <c r="N55" s="11">
        <v>35</v>
      </c>
    </row>
    <row r="56" spans="1:14" outlineLevel="1" x14ac:dyDescent="0.25">
      <c r="A56" s="6" t="s">
        <v>15</v>
      </c>
      <c r="B56" t="s">
        <v>67</v>
      </c>
      <c r="C56" s="16">
        <v>0.371428571428571</v>
      </c>
      <c r="D56">
        <v>70</v>
      </c>
      <c r="E56" s="16">
        <v>0.27142857142857102</v>
      </c>
      <c r="F56">
        <v>70</v>
      </c>
      <c r="G56" s="16">
        <v>0.32352941176470601</v>
      </c>
      <c r="H56">
        <v>34</v>
      </c>
      <c r="I56" s="16">
        <v>0.26470588235294101</v>
      </c>
      <c r="J56">
        <v>34</v>
      </c>
      <c r="K56" s="16">
        <v>0.41666666666666702</v>
      </c>
      <c r="L56">
        <v>36</v>
      </c>
      <c r="M56" s="16">
        <v>0.27777777777777801</v>
      </c>
      <c r="N56" s="11">
        <v>36</v>
      </c>
    </row>
    <row r="57" spans="1:14" outlineLevel="1" x14ac:dyDescent="0.25">
      <c r="A57" s="6" t="s">
        <v>15</v>
      </c>
      <c r="B57" t="s">
        <v>68</v>
      </c>
      <c r="C57" s="16">
        <v>0.53947368421052599</v>
      </c>
      <c r="D57">
        <v>76</v>
      </c>
      <c r="E57" s="16">
        <v>0.44736842105263203</v>
      </c>
      <c r="F57">
        <v>76</v>
      </c>
      <c r="G57" s="16">
        <v>0.65116279069767402</v>
      </c>
      <c r="H57">
        <v>43</v>
      </c>
      <c r="I57" s="16">
        <v>0.55813953488372103</v>
      </c>
      <c r="J57">
        <v>43</v>
      </c>
      <c r="K57" s="16">
        <v>0.39393939393939398</v>
      </c>
      <c r="L57">
        <v>33</v>
      </c>
      <c r="M57" s="16">
        <v>0.30303030303030298</v>
      </c>
      <c r="N57" s="11">
        <v>33</v>
      </c>
    </row>
    <row r="58" spans="1:14" outlineLevel="1" x14ac:dyDescent="0.25">
      <c r="A58" s="6" t="s">
        <v>15</v>
      </c>
      <c r="B58" t="s">
        <v>69</v>
      </c>
      <c r="C58" s="16">
        <v>0.29508196721311503</v>
      </c>
      <c r="D58">
        <v>61</v>
      </c>
      <c r="E58" s="16">
        <v>0.22950819672131101</v>
      </c>
      <c r="F58">
        <v>61</v>
      </c>
      <c r="G58" s="16">
        <v>0.20588235294117599</v>
      </c>
      <c r="H58">
        <v>34</v>
      </c>
      <c r="I58" s="16">
        <v>0.17647058823529399</v>
      </c>
      <c r="J58">
        <v>34</v>
      </c>
      <c r="K58" s="16">
        <v>0.407407407407407</v>
      </c>
      <c r="L58">
        <v>27</v>
      </c>
      <c r="M58" s="16">
        <v>0.296296296296296</v>
      </c>
      <c r="N58" s="11">
        <v>27</v>
      </c>
    </row>
    <row r="59" spans="1:14" outlineLevel="1" x14ac:dyDescent="0.25">
      <c r="A59" s="6" t="s">
        <v>15</v>
      </c>
      <c r="B59" t="s">
        <v>70</v>
      </c>
      <c r="C59" s="16">
        <v>7.1428571428571397E-2</v>
      </c>
      <c r="D59">
        <v>28</v>
      </c>
      <c r="E59" s="16"/>
      <c r="G59" s="16"/>
      <c r="I59" s="16"/>
      <c r="K59" s="16">
        <v>0.11764705882352899</v>
      </c>
      <c r="L59">
        <v>17</v>
      </c>
      <c r="M59" s="16"/>
      <c r="N59" s="11"/>
    </row>
    <row r="60" spans="1:14" outlineLevel="1" x14ac:dyDescent="0.25">
      <c r="A60" s="6" t="s">
        <v>15</v>
      </c>
      <c r="B60" t="s">
        <v>71</v>
      </c>
      <c r="C60" s="16">
        <v>0.19148936170212799</v>
      </c>
      <c r="D60">
        <v>47</v>
      </c>
      <c r="E60" s="16">
        <v>8.5106382978723402E-2</v>
      </c>
      <c r="F60">
        <v>47</v>
      </c>
      <c r="G60" s="16">
        <v>0.217391304347826</v>
      </c>
      <c r="H60">
        <v>23</v>
      </c>
      <c r="I60" s="16">
        <v>0.13043478260869601</v>
      </c>
      <c r="J60">
        <v>23</v>
      </c>
      <c r="K60" s="16">
        <v>0.16666666666666699</v>
      </c>
      <c r="L60">
        <v>24</v>
      </c>
      <c r="M60" s="16">
        <v>4.1666666666666699E-2</v>
      </c>
      <c r="N60" s="11">
        <v>24</v>
      </c>
    </row>
    <row r="61" spans="1:14" outlineLevel="1" x14ac:dyDescent="0.25">
      <c r="A61" s="6" t="s">
        <v>15</v>
      </c>
      <c r="B61" t="s">
        <v>72</v>
      </c>
      <c r="C61" s="16">
        <v>6.0606060606060601E-2</v>
      </c>
      <c r="D61">
        <v>33</v>
      </c>
      <c r="E61" s="16">
        <v>3.03030303030303E-2</v>
      </c>
      <c r="F61">
        <v>33</v>
      </c>
      <c r="G61" s="16">
        <v>0.1</v>
      </c>
      <c r="H61">
        <v>20</v>
      </c>
      <c r="I61" s="16">
        <v>0.05</v>
      </c>
      <c r="J61">
        <v>20</v>
      </c>
      <c r="K61" s="16"/>
      <c r="M61" s="16"/>
      <c r="N61" s="11"/>
    </row>
    <row r="62" spans="1:14" outlineLevel="1" x14ac:dyDescent="0.25">
      <c r="A62" s="6" t="s">
        <v>15</v>
      </c>
      <c r="B62" t="s">
        <v>73</v>
      </c>
      <c r="C62" s="16">
        <v>0.483870967741935</v>
      </c>
      <c r="D62">
        <v>31</v>
      </c>
      <c r="E62" s="16">
        <v>0.38709677419354799</v>
      </c>
      <c r="F62">
        <v>31</v>
      </c>
      <c r="G62" s="16">
        <v>0.53333333333333299</v>
      </c>
      <c r="H62">
        <v>15</v>
      </c>
      <c r="I62" s="16">
        <v>0.4</v>
      </c>
      <c r="J62">
        <v>15</v>
      </c>
      <c r="K62" s="16">
        <v>0.4375</v>
      </c>
      <c r="L62">
        <v>16</v>
      </c>
      <c r="M62" s="16">
        <v>0.375</v>
      </c>
      <c r="N62" s="11">
        <v>16</v>
      </c>
    </row>
    <row r="63" spans="1:14" outlineLevel="1" x14ac:dyDescent="0.25">
      <c r="A63" s="6" t="s">
        <v>15</v>
      </c>
      <c r="B63" t="s">
        <v>74</v>
      </c>
      <c r="C63" s="16">
        <v>0.1</v>
      </c>
      <c r="D63">
        <v>30</v>
      </c>
      <c r="E63" s="16">
        <v>3.3333333333333298E-2</v>
      </c>
      <c r="F63">
        <v>30</v>
      </c>
      <c r="G63" s="16">
        <v>5.8823529411764698E-2</v>
      </c>
      <c r="H63">
        <v>17</v>
      </c>
      <c r="I63" s="16">
        <v>5.8823529411764698E-2</v>
      </c>
      <c r="J63">
        <v>17</v>
      </c>
      <c r="K63" s="16">
        <v>0.15384615384615399</v>
      </c>
      <c r="L63">
        <v>13</v>
      </c>
      <c r="M63" s="16"/>
      <c r="N63" s="11"/>
    </row>
    <row r="64" spans="1:14" outlineLevel="1" x14ac:dyDescent="0.25">
      <c r="A64" s="6" t="s">
        <v>15</v>
      </c>
      <c r="B64" t="s">
        <v>75</v>
      </c>
      <c r="C64" s="16">
        <v>0.32500000000000001</v>
      </c>
      <c r="D64">
        <v>40</v>
      </c>
      <c r="E64" s="16">
        <v>0.2</v>
      </c>
      <c r="F64">
        <v>40</v>
      </c>
      <c r="G64" s="16">
        <v>0.34782608695652201</v>
      </c>
      <c r="H64">
        <v>23</v>
      </c>
      <c r="I64" s="16">
        <v>0.217391304347826</v>
      </c>
      <c r="J64">
        <v>23</v>
      </c>
      <c r="K64" s="16">
        <v>0.29411764705882398</v>
      </c>
      <c r="L64">
        <v>17</v>
      </c>
      <c r="M64" s="16">
        <v>0.17647058823529399</v>
      </c>
      <c r="N64" s="11">
        <v>17</v>
      </c>
    </row>
    <row r="65" spans="1:14" outlineLevel="1" x14ac:dyDescent="0.25">
      <c r="A65" s="6" t="s">
        <v>15</v>
      </c>
      <c r="B65" t="s">
        <v>76</v>
      </c>
      <c r="C65" s="16">
        <v>0.32352941176470601</v>
      </c>
      <c r="D65">
        <v>34</v>
      </c>
      <c r="E65" s="16">
        <v>0.26470588235294101</v>
      </c>
      <c r="F65">
        <v>34</v>
      </c>
      <c r="G65" s="16">
        <v>0.31818181818181801</v>
      </c>
      <c r="H65">
        <v>22</v>
      </c>
      <c r="I65" s="16">
        <v>0.27272727272727298</v>
      </c>
      <c r="J65">
        <v>22</v>
      </c>
      <c r="K65" s="16">
        <v>0.33333333333333298</v>
      </c>
      <c r="L65">
        <v>12</v>
      </c>
      <c r="M65" s="16">
        <v>0.25</v>
      </c>
      <c r="N65" s="11">
        <v>12</v>
      </c>
    </row>
    <row r="66" spans="1:14" outlineLevel="1" x14ac:dyDescent="0.25">
      <c r="A66" s="6" t="s">
        <v>15</v>
      </c>
      <c r="B66" t="s">
        <v>77</v>
      </c>
      <c r="C66" s="16">
        <v>0.35294117647058798</v>
      </c>
      <c r="D66">
        <v>34</v>
      </c>
      <c r="E66" s="16">
        <v>0.26470588235294101</v>
      </c>
      <c r="F66">
        <v>34</v>
      </c>
      <c r="G66" s="16">
        <v>0.214285714285714</v>
      </c>
      <c r="H66">
        <v>14</v>
      </c>
      <c r="I66" s="16">
        <v>0.214285714285714</v>
      </c>
      <c r="J66">
        <v>14</v>
      </c>
      <c r="K66" s="16">
        <v>0.45</v>
      </c>
      <c r="L66">
        <v>20</v>
      </c>
      <c r="M66" s="16">
        <v>0.3</v>
      </c>
      <c r="N66" s="11">
        <v>20</v>
      </c>
    </row>
    <row r="67" spans="1:14" outlineLevel="1" x14ac:dyDescent="0.25">
      <c r="A67" s="6" t="s">
        <v>15</v>
      </c>
      <c r="B67" t="s">
        <v>78</v>
      </c>
      <c r="C67" s="16">
        <v>0.707317073170732</v>
      </c>
      <c r="D67">
        <v>41</v>
      </c>
      <c r="E67" s="16">
        <v>0.51219512195121997</v>
      </c>
      <c r="F67">
        <v>41</v>
      </c>
      <c r="G67" s="16">
        <v>0.73684210526315796</v>
      </c>
      <c r="H67">
        <v>19</v>
      </c>
      <c r="I67" s="16">
        <v>0.42105263157894701</v>
      </c>
      <c r="J67">
        <v>19</v>
      </c>
      <c r="K67" s="16">
        <v>0.68181818181818199</v>
      </c>
      <c r="L67">
        <v>22</v>
      </c>
      <c r="M67" s="16">
        <v>0.59090909090909105</v>
      </c>
      <c r="N67" s="11">
        <v>22</v>
      </c>
    </row>
    <row r="68" spans="1:14" outlineLevel="1" x14ac:dyDescent="0.25">
      <c r="A68" s="6" t="s">
        <v>15</v>
      </c>
      <c r="B68" t="s">
        <v>79</v>
      </c>
      <c r="C68" s="16">
        <v>0.32142857142857101</v>
      </c>
      <c r="D68">
        <v>28</v>
      </c>
      <c r="E68" s="16">
        <v>0.28571428571428598</v>
      </c>
      <c r="F68">
        <v>28</v>
      </c>
      <c r="G68" s="16">
        <v>0.41666666666666702</v>
      </c>
      <c r="H68">
        <v>12</v>
      </c>
      <c r="I68" s="16">
        <v>0.41666666666666702</v>
      </c>
      <c r="J68">
        <v>12</v>
      </c>
      <c r="K68" s="16">
        <v>0.25</v>
      </c>
      <c r="L68">
        <v>16</v>
      </c>
      <c r="M68" s="16">
        <v>0.1875</v>
      </c>
      <c r="N68" s="11">
        <v>16</v>
      </c>
    </row>
    <row r="69" spans="1:14" outlineLevel="1" x14ac:dyDescent="0.25">
      <c r="A69" s="6" t="s">
        <v>15</v>
      </c>
      <c r="B69" t="s">
        <v>80</v>
      </c>
      <c r="C69" s="16">
        <v>0.1875</v>
      </c>
      <c r="D69">
        <v>16</v>
      </c>
      <c r="E69" s="16">
        <v>6.25E-2</v>
      </c>
      <c r="F69">
        <v>16</v>
      </c>
      <c r="G69" s="16">
        <v>0.3</v>
      </c>
      <c r="H69">
        <v>10</v>
      </c>
      <c r="I69" s="16">
        <v>0.1</v>
      </c>
      <c r="J69">
        <v>10</v>
      </c>
      <c r="K69" s="16"/>
      <c r="M69" s="16"/>
      <c r="N69" s="11"/>
    </row>
    <row r="70" spans="1:14" outlineLevel="1" x14ac:dyDescent="0.25">
      <c r="A70" s="6" t="s">
        <v>15</v>
      </c>
      <c r="B70" t="s">
        <v>81</v>
      </c>
      <c r="C70" s="16">
        <v>0.512820512820513</v>
      </c>
      <c r="D70">
        <v>39</v>
      </c>
      <c r="E70" s="16">
        <v>0.28205128205128199</v>
      </c>
      <c r="F70">
        <v>39</v>
      </c>
      <c r="G70" s="16">
        <v>0.41666666666666702</v>
      </c>
      <c r="H70">
        <v>24</v>
      </c>
      <c r="I70" s="16">
        <v>0.25</v>
      </c>
      <c r="J70">
        <v>24</v>
      </c>
      <c r="K70" s="16">
        <v>0.66666666666666696</v>
      </c>
      <c r="L70">
        <v>15</v>
      </c>
      <c r="M70" s="16">
        <v>0.33333333333333298</v>
      </c>
      <c r="N70" s="11">
        <v>15</v>
      </c>
    </row>
    <row r="71" spans="1:14" outlineLevel="1" x14ac:dyDescent="0.25">
      <c r="A71" s="6" t="s">
        <v>15</v>
      </c>
      <c r="B71" t="s">
        <v>82</v>
      </c>
      <c r="C71" s="16">
        <v>0.28571428571428598</v>
      </c>
      <c r="D71">
        <v>7</v>
      </c>
      <c r="E71" s="16"/>
      <c r="G71" s="16">
        <v>0.66666666666666696</v>
      </c>
      <c r="H71">
        <v>3</v>
      </c>
      <c r="I71" s="16"/>
      <c r="K71" s="16"/>
      <c r="M71" s="16"/>
      <c r="N71" s="11"/>
    </row>
    <row r="72" spans="1:14" outlineLevel="1" x14ac:dyDescent="0.25">
      <c r="A72" s="7" t="s">
        <v>15</v>
      </c>
      <c r="B72" s="9" t="s">
        <v>83</v>
      </c>
      <c r="C72" s="15">
        <v>0.64212873524473102</v>
      </c>
      <c r="D72" s="9">
        <v>105</v>
      </c>
      <c r="E72" s="15">
        <v>0.53290617944750196</v>
      </c>
      <c r="F72" s="9">
        <v>105</v>
      </c>
      <c r="G72" s="15">
        <v>0.63169752347949204</v>
      </c>
      <c r="H72" s="9">
        <v>48</v>
      </c>
      <c r="I72" s="15">
        <v>0.51338057959566397</v>
      </c>
      <c r="J72" s="9">
        <v>48</v>
      </c>
      <c r="K72" s="15">
        <v>0.65142155315285799</v>
      </c>
      <c r="L72" s="9">
        <v>57</v>
      </c>
      <c r="M72" s="15">
        <v>0.55030088373054098</v>
      </c>
      <c r="N72" s="12">
        <v>57</v>
      </c>
    </row>
    <row r="73" spans="1:14" x14ac:dyDescent="0.25">
      <c r="C73" s="16"/>
      <c r="E73" s="16"/>
      <c r="G73" s="16"/>
      <c r="I73" s="16"/>
      <c r="K73" s="16"/>
      <c r="M73" s="16"/>
    </row>
    <row r="74" spans="1:14" x14ac:dyDescent="0.25">
      <c r="A74" s="19" t="s">
        <v>84</v>
      </c>
      <c r="B74" s="19"/>
      <c r="C74" s="20"/>
      <c r="D74" s="19"/>
      <c r="E74" s="20"/>
      <c r="F74" s="19"/>
      <c r="G74" s="20"/>
      <c r="H74" s="19"/>
      <c r="I74" s="20"/>
      <c r="J74" s="19"/>
      <c r="K74" s="20"/>
      <c r="L74" s="19"/>
      <c r="M74" s="20"/>
      <c r="N74" s="19"/>
    </row>
    <row r="75" spans="1:14" outlineLevel="1" x14ac:dyDescent="0.25">
      <c r="A75" s="5" t="s">
        <v>15</v>
      </c>
      <c r="B75" s="8" t="s">
        <v>85</v>
      </c>
      <c r="C75" s="14">
        <v>0.30739041589402299</v>
      </c>
      <c r="D75" s="8">
        <v>540</v>
      </c>
      <c r="E75" s="14">
        <v>0.17118743809533299</v>
      </c>
      <c r="F75" s="8">
        <v>540</v>
      </c>
      <c r="G75" s="14">
        <v>0.32636017947364798</v>
      </c>
      <c r="H75" s="8">
        <v>275</v>
      </c>
      <c r="I75" s="14">
        <v>0.21947875044316001</v>
      </c>
      <c r="J75" s="8">
        <v>275</v>
      </c>
      <c r="K75" s="14">
        <v>0.28959702431460899</v>
      </c>
      <c r="L75" s="8">
        <v>265</v>
      </c>
      <c r="M75" s="14">
        <v>0.12589081503084701</v>
      </c>
      <c r="N75" s="10">
        <v>265</v>
      </c>
    </row>
    <row r="76" spans="1:14" outlineLevel="1" x14ac:dyDescent="0.25">
      <c r="A76" s="6" t="s">
        <v>15</v>
      </c>
      <c r="B76" t="s">
        <v>86</v>
      </c>
      <c r="C76" s="16">
        <v>0.371428571428571</v>
      </c>
      <c r="D76">
        <v>70</v>
      </c>
      <c r="E76" s="16">
        <v>0.27142857142857102</v>
      </c>
      <c r="F76">
        <v>70</v>
      </c>
      <c r="G76" s="16">
        <v>0.32352941176470601</v>
      </c>
      <c r="H76">
        <v>34</v>
      </c>
      <c r="I76" s="16">
        <v>0.26470588235294101</v>
      </c>
      <c r="J76">
        <v>34</v>
      </c>
      <c r="K76" s="16">
        <v>0.41666666666666702</v>
      </c>
      <c r="L76">
        <v>36</v>
      </c>
      <c r="M76" s="16">
        <v>0.27777777777777801</v>
      </c>
      <c r="N76" s="11">
        <v>36</v>
      </c>
    </row>
    <row r="77" spans="1:14" outlineLevel="1" x14ac:dyDescent="0.25">
      <c r="A77" s="6" t="s">
        <v>15</v>
      </c>
      <c r="B77" t="s">
        <v>87</v>
      </c>
      <c r="C77" s="16">
        <v>0.52940830448201504</v>
      </c>
      <c r="D77">
        <v>816</v>
      </c>
      <c r="E77" s="16">
        <v>0.39423942775463799</v>
      </c>
      <c r="F77">
        <v>816</v>
      </c>
      <c r="G77" s="16">
        <v>0.54552949235389903</v>
      </c>
      <c r="H77">
        <v>430</v>
      </c>
      <c r="I77" s="16">
        <v>0.40755337024431398</v>
      </c>
      <c r="J77">
        <v>430</v>
      </c>
      <c r="K77" s="16">
        <v>0.51179054650711997</v>
      </c>
      <c r="L77">
        <v>386</v>
      </c>
      <c r="M77" s="16">
        <v>0.37968951875668799</v>
      </c>
      <c r="N77" s="11">
        <v>386</v>
      </c>
    </row>
    <row r="78" spans="1:14" outlineLevel="1" x14ac:dyDescent="0.25">
      <c r="A78" s="7" t="s">
        <v>15</v>
      </c>
      <c r="B78" s="9" t="s">
        <v>88</v>
      </c>
      <c r="C78" s="15">
        <v>0.259433931018905</v>
      </c>
      <c r="D78" s="9">
        <v>446</v>
      </c>
      <c r="E78" s="15">
        <v>0.149628452627765</v>
      </c>
      <c r="F78" s="9">
        <v>446</v>
      </c>
      <c r="G78" s="15">
        <v>0.29309941419734897</v>
      </c>
      <c r="H78" s="9">
        <v>245</v>
      </c>
      <c r="I78" s="15">
        <v>0.159180316317765</v>
      </c>
      <c r="J78" s="9">
        <v>245</v>
      </c>
      <c r="K78" s="15">
        <v>0.214732727221185</v>
      </c>
      <c r="L78" s="9">
        <v>200</v>
      </c>
      <c r="M78" s="15">
        <v>0.136957184883885</v>
      </c>
      <c r="N78" s="12">
        <v>200</v>
      </c>
    </row>
    <row r="79" spans="1:14" x14ac:dyDescent="0.25">
      <c r="C79" s="16"/>
      <c r="E79" s="16"/>
      <c r="G79" s="16"/>
      <c r="I79" s="16"/>
      <c r="K79" s="16"/>
      <c r="M79" s="16"/>
    </row>
    <row r="80" spans="1:14" x14ac:dyDescent="0.25">
      <c r="A80" s="19" t="s">
        <v>89</v>
      </c>
      <c r="B80" s="19"/>
      <c r="C80" s="20"/>
      <c r="D80" s="19"/>
      <c r="E80" s="20"/>
      <c r="F80" s="19"/>
      <c r="G80" s="20"/>
      <c r="H80" s="19"/>
      <c r="I80" s="20"/>
      <c r="J80" s="19"/>
      <c r="K80" s="20"/>
      <c r="L80" s="19"/>
      <c r="M80" s="20"/>
      <c r="N80" s="19"/>
    </row>
    <row r="81" spans="1:14" outlineLevel="1" x14ac:dyDescent="0.25">
      <c r="A81" s="5" t="s">
        <v>15</v>
      </c>
      <c r="B81" s="8" t="s">
        <v>90</v>
      </c>
      <c r="C81" s="14">
        <v>0.25073178588517397</v>
      </c>
      <c r="D81" s="8">
        <v>409</v>
      </c>
      <c r="E81" s="14">
        <v>0.13952353112468999</v>
      </c>
      <c r="F81" s="8">
        <v>409</v>
      </c>
      <c r="G81" s="14">
        <v>0.26519333310870802</v>
      </c>
      <c r="H81" s="8">
        <v>210</v>
      </c>
      <c r="I81" s="14">
        <v>0.167957679086599</v>
      </c>
      <c r="J81" s="8">
        <v>210</v>
      </c>
      <c r="K81" s="14">
        <v>0.23715165624185799</v>
      </c>
      <c r="L81" s="8">
        <v>199</v>
      </c>
      <c r="M81" s="14">
        <v>0.11282241749892299</v>
      </c>
      <c r="N81" s="10">
        <v>199</v>
      </c>
    </row>
    <row r="82" spans="1:14" outlineLevel="1" x14ac:dyDescent="0.25">
      <c r="A82" s="6" t="s">
        <v>15</v>
      </c>
      <c r="B82" t="s">
        <v>91</v>
      </c>
      <c r="C82" s="16">
        <v>0.54806716490697704</v>
      </c>
      <c r="D82">
        <v>131</v>
      </c>
      <c r="E82" s="16">
        <v>0.30569062303914102</v>
      </c>
      <c r="F82">
        <v>131</v>
      </c>
      <c r="G82" s="16">
        <v>0.58698672179021205</v>
      </c>
      <c r="H82">
        <v>65</v>
      </c>
      <c r="I82" s="16">
        <v>0.43900549543817702</v>
      </c>
      <c r="J82">
        <v>65</v>
      </c>
      <c r="K82" s="16">
        <v>0.51173651805898701</v>
      </c>
      <c r="L82">
        <v>66</v>
      </c>
      <c r="M82" s="16">
        <v>0.18124379125106899</v>
      </c>
      <c r="N82" s="11">
        <v>66</v>
      </c>
    </row>
    <row r="83" spans="1:14" outlineLevel="1" x14ac:dyDescent="0.25">
      <c r="A83" s="6" t="s">
        <v>15</v>
      </c>
      <c r="B83" t="s">
        <v>92</v>
      </c>
      <c r="C83" s="16">
        <v>0.27083333333333298</v>
      </c>
      <c r="D83">
        <v>48</v>
      </c>
      <c r="E83" s="16">
        <v>0.1875</v>
      </c>
      <c r="F83">
        <v>48</v>
      </c>
      <c r="G83" s="16">
        <v>0.173913043478261</v>
      </c>
      <c r="H83">
        <v>23</v>
      </c>
      <c r="I83" s="16">
        <v>0.13043478260869601</v>
      </c>
      <c r="J83">
        <v>23</v>
      </c>
      <c r="K83" s="16">
        <v>0.36</v>
      </c>
      <c r="L83">
        <v>25</v>
      </c>
      <c r="M83" s="16">
        <v>0.24</v>
      </c>
      <c r="N83" s="11">
        <v>25</v>
      </c>
    </row>
    <row r="84" spans="1:14" outlineLevel="1" x14ac:dyDescent="0.25">
      <c r="A84" s="6" t="s">
        <v>15</v>
      </c>
      <c r="B84" t="s">
        <v>93</v>
      </c>
      <c r="C84" s="16">
        <v>0.59090909090909105</v>
      </c>
      <c r="D84">
        <v>22</v>
      </c>
      <c r="E84" s="16">
        <v>0.45454545454545497</v>
      </c>
      <c r="F84">
        <v>22</v>
      </c>
      <c r="G84" s="16">
        <v>0.63636363636363602</v>
      </c>
      <c r="H84">
        <v>11</v>
      </c>
      <c r="I84" s="16">
        <v>0.54545454545454497</v>
      </c>
      <c r="J84">
        <v>11</v>
      </c>
      <c r="K84" s="16">
        <v>0.54545454545454497</v>
      </c>
      <c r="L84">
        <v>11</v>
      </c>
      <c r="M84" s="16">
        <v>0.36363636363636398</v>
      </c>
      <c r="N84" s="11">
        <v>11</v>
      </c>
    </row>
    <row r="85" spans="1:14" outlineLevel="1" x14ac:dyDescent="0.25">
      <c r="A85" s="6" t="s">
        <v>15</v>
      </c>
      <c r="B85" t="s">
        <v>94</v>
      </c>
      <c r="C85" s="16">
        <v>0.51307545975738</v>
      </c>
      <c r="D85">
        <v>583</v>
      </c>
      <c r="E85" s="16">
        <v>0.39965371959453899</v>
      </c>
      <c r="F85">
        <v>583</v>
      </c>
      <c r="G85" s="16">
        <v>0.52201228484516005</v>
      </c>
      <c r="H85">
        <v>312</v>
      </c>
      <c r="I85" s="16">
        <v>0.40839858828590297</v>
      </c>
      <c r="J85">
        <v>312</v>
      </c>
      <c r="K85" s="16">
        <v>0.503299756962163</v>
      </c>
      <c r="L85">
        <v>271</v>
      </c>
      <c r="M85" s="16">
        <v>0.39008799166876101</v>
      </c>
      <c r="N85" s="11">
        <v>271</v>
      </c>
    </row>
    <row r="86" spans="1:14" outlineLevel="1" x14ac:dyDescent="0.25">
      <c r="A86" s="6" t="s">
        <v>15</v>
      </c>
      <c r="B86" t="s">
        <v>95</v>
      </c>
      <c r="C86" s="16">
        <v>0.57502655814166603</v>
      </c>
      <c r="D86">
        <v>233</v>
      </c>
      <c r="E86" s="16">
        <v>0.37911710566658902</v>
      </c>
      <c r="F86">
        <v>233</v>
      </c>
      <c r="G86" s="16">
        <v>0.61132678018073205</v>
      </c>
      <c r="H86">
        <v>118</v>
      </c>
      <c r="I86" s="16">
        <v>0.40518858885017101</v>
      </c>
      <c r="J86">
        <v>118</v>
      </c>
      <c r="K86" s="16">
        <v>0.53546123948165203</v>
      </c>
      <c r="L86">
        <v>115</v>
      </c>
      <c r="M86" s="16">
        <v>0.350700570390649</v>
      </c>
      <c r="N86" s="11">
        <v>115</v>
      </c>
    </row>
    <row r="87" spans="1:14" outlineLevel="1" x14ac:dyDescent="0.25">
      <c r="A87" s="6" t="s">
        <v>15</v>
      </c>
      <c r="B87" t="s">
        <v>96</v>
      </c>
      <c r="C87" s="16">
        <v>0.21611213708358301</v>
      </c>
      <c r="D87">
        <v>348</v>
      </c>
      <c r="E87" s="16">
        <v>0.13713238760636101</v>
      </c>
      <c r="F87">
        <v>348</v>
      </c>
      <c r="G87" s="16">
        <v>0.24006547141048501</v>
      </c>
      <c r="H87">
        <v>189</v>
      </c>
      <c r="I87" s="16">
        <v>0.14145056200381201</v>
      </c>
      <c r="J87">
        <v>189</v>
      </c>
      <c r="K87" s="16">
        <v>0.184570512061312</v>
      </c>
      <c r="L87">
        <v>158</v>
      </c>
      <c r="M87" s="16">
        <v>0.13146615419660801</v>
      </c>
      <c r="N87" s="11">
        <v>158</v>
      </c>
    </row>
    <row r="88" spans="1:14" outlineLevel="1" x14ac:dyDescent="0.25">
      <c r="A88" s="7" t="s">
        <v>15</v>
      </c>
      <c r="B88" s="9" t="s">
        <v>97</v>
      </c>
      <c r="C88" s="15">
        <v>0.39535714765114399</v>
      </c>
      <c r="D88" s="9">
        <v>98</v>
      </c>
      <c r="E88" s="15">
        <v>0.18883517050954601</v>
      </c>
      <c r="F88" s="9">
        <v>98</v>
      </c>
      <c r="G88" s="15">
        <v>0.45718764799266598</v>
      </c>
      <c r="H88" s="9">
        <v>56</v>
      </c>
      <c r="I88" s="15">
        <v>0.21403658228866301</v>
      </c>
      <c r="J88" s="9">
        <v>56</v>
      </c>
      <c r="K88" s="15">
        <v>0.31113517706190602</v>
      </c>
      <c r="L88" s="9">
        <v>42</v>
      </c>
      <c r="M88" s="15">
        <v>0.15450724901539201</v>
      </c>
      <c r="N88" s="12">
        <v>42</v>
      </c>
    </row>
    <row r="89" spans="1:14" x14ac:dyDescent="0.25">
      <c r="C89" s="16"/>
      <c r="E89" s="16"/>
      <c r="G89" s="16"/>
      <c r="I89" s="16"/>
      <c r="K89" s="16"/>
      <c r="M89" s="16"/>
    </row>
    <row r="90" spans="1:14" x14ac:dyDescent="0.25">
      <c r="A90" s="19" t="s">
        <v>98</v>
      </c>
      <c r="B90" s="19"/>
      <c r="C90" s="20"/>
      <c r="D90" s="19"/>
      <c r="E90" s="20"/>
      <c r="F90" s="19"/>
      <c r="G90" s="20"/>
      <c r="H90" s="19"/>
      <c r="I90" s="20"/>
      <c r="J90" s="19"/>
      <c r="K90" s="20"/>
      <c r="L90" s="19"/>
      <c r="M90" s="20"/>
      <c r="N90" s="19"/>
    </row>
    <row r="91" spans="1:14" outlineLevel="1" x14ac:dyDescent="0.25">
      <c r="A91" s="5" t="s">
        <v>15</v>
      </c>
      <c r="B91" s="8" t="s">
        <v>99</v>
      </c>
      <c r="C91" s="14">
        <v>0.29725999155844901</v>
      </c>
      <c r="D91" s="8">
        <v>210</v>
      </c>
      <c r="E91" s="14">
        <v>0.131500060632572</v>
      </c>
      <c r="F91" s="8">
        <v>210</v>
      </c>
      <c r="G91" s="14">
        <v>0.246734632012582</v>
      </c>
      <c r="H91" s="8">
        <v>106</v>
      </c>
      <c r="I91" s="14">
        <v>0.154273910802391</v>
      </c>
      <c r="J91" s="8">
        <v>106</v>
      </c>
      <c r="K91" s="14">
        <v>0.34232277599125099</v>
      </c>
      <c r="L91" s="8">
        <v>104</v>
      </c>
      <c r="M91" s="14">
        <v>0.11118841693262201</v>
      </c>
      <c r="N91" s="10">
        <v>104</v>
      </c>
    </row>
    <row r="92" spans="1:14" outlineLevel="1" x14ac:dyDescent="0.25">
      <c r="A92" s="6" t="s">
        <v>15</v>
      </c>
      <c r="B92" t="s">
        <v>100</v>
      </c>
      <c r="C92" s="16">
        <v>0.31488124589311201</v>
      </c>
      <c r="D92">
        <v>330</v>
      </c>
      <c r="E92" s="16">
        <v>0.20053382950356299</v>
      </c>
      <c r="F92">
        <v>330</v>
      </c>
      <c r="G92" s="16">
        <v>0.38262785082057099</v>
      </c>
      <c r="H92">
        <v>169</v>
      </c>
      <c r="I92" s="16">
        <v>0.26555597821895099</v>
      </c>
      <c r="J92">
        <v>169</v>
      </c>
      <c r="K92" s="16">
        <v>0.24892664056713401</v>
      </c>
      <c r="L92">
        <v>161</v>
      </c>
      <c r="M92" s="16">
        <v>0.13723161442485199</v>
      </c>
      <c r="N92" s="11">
        <v>161</v>
      </c>
    </row>
    <row r="93" spans="1:14" outlineLevel="1" x14ac:dyDescent="0.25">
      <c r="A93" s="6" t="s">
        <v>15</v>
      </c>
      <c r="B93" t="s">
        <v>101</v>
      </c>
      <c r="C93" s="16"/>
      <c r="E93" s="16"/>
      <c r="G93" s="16">
        <v>0.54126727174105804</v>
      </c>
      <c r="H93">
        <v>709</v>
      </c>
      <c r="I93" s="16">
        <v>0.40433399173988099</v>
      </c>
      <c r="J93">
        <v>709</v>
      </c>
      <c r="K93" s="16">
        <v>0.50901934245395597</v>
      </c>
      <c r="L93">
        <v>622</v>
      </c>
      <c r="M93" s="16">
        <v>0.37706475315830901</v>
      </c>
      <c r="N93" s="11">
        <v>622</v>
      </c>
    </row>
    <row r="94" spans="1:14" outlineLevel="1" x14ac:dyDescent="0.25">
      <c r="A94" s="7" t="s">
        <v>15</v>
      </c>
      <c r="B94" s="9" t="s">
        <v>15</v>
      </c>
      <c r="C94" s="15">
        <v>0.52584998682806405</v>
      </c>
      <c r="D94" s="9">
        <v>1332</v>
      </c>
      <c r="E94" s="15">
        <v>0.39129696733374802</v>
      </c>
      <c r="F94" s="9">
        <v>1332</v>
      </c>
      <c r="G94" s="15"/>
      <c r="H94" s="9"/>
      <c r="I94" s="15"/>
      <c r="J94" s="9"/>
      <c r="K94" s="15"/>
      <c r="L94" s="9"/>
      <c r="M94" s="15"/>
      <c r="N94" s="12"/>
    </row>
    <row r="95" spans="1:14" x14ac:dyDescent="0.25">
      <c r="C95" s="16"/>
      <c r="E95" s="16"/>
      <c r="G95" s="16"/>
      <c r="I95" s="16"/>
      <c r="K95" s="16"/>
      <c r="M95" s="16"/>
    </row>
    <row r="96" spans="1:14" x14ac:dyDescent="0.25">
      <c r="A96" s="19" t="s">
        <v>102</v>
      </c>
      <c r="B96" s="19"/>
      <c r="C96" s="20"/>
      <c r="D96" s="19"/>
      <c r="E96" s="20"/>
      <c r="F96" s="19"/>
      <c r="G96" s="20"/>
      <c r="H96" s="19"/>
      <c r="I96" s="20"/>
      <c r="J96" s="19"/>
      <c r="K96" s="20"/>
      <c r="L96" s="19"/>
      <c r="M96" s="20"/>
      <c r="N96" s="19"/>
    </row>
    <row r="97" spans="1:14" outlineLevel="1" x14ac:dyDescent="0.25">
      <c r="A97" s="5" t="s">
        <v>15</v>
      </c>
      <c r="B97" s="8" t="s">
        <v>101</v>
      </c>
      <c r="C97" s="14"/>
      <c r="D97" s="8"/>
      <c r="E97" s="14"/>
      <c r="F97" s="8"/>
      <c r="G97" s="14">
        <v>0.54268646306833301</v>
      </c>
      <c r="H97" s="8">
        <v>465</v>
      </c>
      <c r="I97" s="14">
        <v>0.40567092963486001</v>
      </c>
      <c r="J97" s="8">
        <v>465</v>
      </c>
      <c r="K97" s="14">
        <v>0.51036665656904601</v>
      </c>
      <c r="L97" s="8">
        <v>422</v>
      </c>
      <c r="M97" s="14">
        <v>0.37816402271095301</v>
      </c>
      <c r="N97" s="10">
        <v>422</v>
      </c>
    </row>
    <row r="98" spans="1:14" outlineLevel="1" x14ac:dyDescent="0.25">
      <c r="A98" s="6" t="s">
        <v>15</v>
      </c>
      <c r="B98" t="s">
        <v>103</v>
      </c>
      <c r="C98" s="16">
        <v>0.29775822319907402</v>
      </c>
      <c r="D98">
        <v>737</v>
      </c>
      <c r="E98" s="16">
        <v>0.169157056435841</v>
      </c>
      <c r="F98">
        <v>737</v>
      </c>
      <c r="G98" s="16">
        <v>0.30427167256707999</v>
      </c>
      <c r="H98">
        <v>393</v>
      </c>
      <c r="I98" s="16">
        <v>0.199926221481113</v>
      </c>
      <c r="J98">
        <v>393</v>
      </c>
      <c r="K98" s="16">
        <v>0.29094882345385797</v>
      </c>
      <c r="L98">
        <v>344</v>
      </c>
      <c r="M98" s="16">
        <v>0.136989838609754</v>
      </c>
      <c r="N98" s="11">
        <v>344</v>
      </c>
    </row>
    <row r="99" spans="1:14" outlineLevel="1" x14ac:dyDescent="0.25">
      <c r="A99" s="6" t="s">
        <v>15</v>
      </c>
      <c r="B99" t="s">
        <v>104</v>
      </c>
      <c r="C99" s="16">
        <v>0.27475034355353201</v>
      </c>
      <c r="D99">
        <v>104</v>
      </c>
      <c r="E99" s="16">
        <v>9.2111342591878795E-2</v>
      </c>
      <c r="F99">
        <v>104</v>
      </c>
      <c r="G99" s="16">
        <v>0.42977766447534999</v>
      </c>
      <c r="H99">
        <v>52</v>
      </c>
      <c r="I99" s="16">
        <v>0.204340137860335</v>
      </c>
      <c r="J99">
        <v>52</v>
      </c>
      <c r="K99" s="16">
        <v>0.19145347338855101</v>
      </c>
      <c r="L99">
        <v>52</v>
      </c>
      <c r="M99" s="16">
        <v>3.1810310924284303E-2</v>
      </c>
      <c r="N99" s="11">
        <v>52</v>
      </c>
    </row>
    <row r="100" spans="1:14" outlineLevel="1" x14ac:dyDescent="0.25">
      <c r="A100" s="6" t="s">
        <v>15</v>
      </c>
      <c r="B100" t="s">
        <v>107</v>
      </c>
      <c r="C100" s="16">
        <v>1</v>
      </c>
      <c r="D100">
        <v>1</v>
      </c>
      <c r="E100" s="16"/>
      <c r="G100" s="16"/>
      <c r="I100" s="16"/>
      <c r="K100" s="16">
        <v>1</v>
      </c>
      <c r="L100">
        <v>1</v>
      </c>
      <c r="M100" s="16"/>
      <c r="N100" s="11"/>
    </row>
    <row r="101" spans="1:14" outlineLevel="1" x14ac:dyDescent="0.25">
      <c r="A101" s="6" t="s">
        <v>15</v>
      </c>
      <c r="B101" t="s">
        <v>108</v>
      </c>
      <c r="C101" s="16">
        <v>0.5</v>
      </c>
      <c r="D101">
        <v>4</v>
      </c>
      <c r="E101" s="16">
        <v>0.25</v>
      </c>
      <c r="F101">
        <v>4</v>
      </c>
      <c r="G101" s="16">
        <v>0.5</v>
      </c>
      <c r="H101">
        <v>2</v>
      </c>
      <c r="I101" s="16">
        <v>0.5</v>
      </c>
      <c r="J101">
        <v>2</v>
      </c>
      <c r="K101" s="16">
        <v>0.5</v>
      </c>
      <c r="L101">
        <v>2</v>
      </c>
      <c r="M101" s="16"/>
      <c r="N101" s="11"/>
    </row>
    <row r="102" spans="1:14" outlineLevel="1" x14ac:dyDescent="0.25">
      <c r="A102" s="6" t="s">
        <v>15</v>
      </c>
      <c r="B102" t="s">
        <v>109</v>
      </c>
      <c r="C102" s="16">
        <v>0.27342115188083199</v>
      </c>
      <c r="D102">
        <v>54</v>
      </c>
      <c r="E102" s="16">
        <v>0.25225919850136402</v>
      </c>
      <c r="F102">
        <v>54</v>
      </c>
      <c r="G102" s="16">
        <v>0.44001491502263901</v>
      </c>
      <c r="H102">
        <v>31</v>
      </c>
      <c r="I102" s="16">
        <v>0.40629378018072898</v>
      </c>
      <c r="J102">
        <v>31</v>
      </c>
      <c r="K102" s="16">
        <v>5.9404573816058503E-4</v>
      </c>
      <c r="L102">
        <v>23</v>
      </c>
      <c r="M102" s="16"/>
      <c r="N102" s="11"/>
    </row>
    <row r="103" spans="1:14" outlineLevel="1" x14ac:dyDescent="0.25">
      <c r="A103" s="6" t="s">
        <v>15</v>
      </c>
      <c r="B103" t="s">
        <v>110</v>
      </c>
      <c r="C103" s="16">
        <v>0.38067877358199198</v>
      </c>
      <c r="D103">
        <v>9</v>
      </c>
      <c r="E103" s="16">
        <v>0.38067877358199198</v>
      </c>
      <c r="F103">
        <v>9</v>
      </c>
      <c r="G103" s="16"/>
      <c r="I103" s="16"/>
      <c r="K103" s="16">
        <v>0.47465488108671</v>
      </c>
      <c r="L103">
        <v>7</v>
      </c>
      <c r="M103" s="16">
        <v>0.47465488108671</v>
      </c>
      <c r="N103" s="11">
        <v>7</v>
      </c>
    </row>
    <row r="104" spans="1:14" outlineLevel="1" x14ac:dyDescent="0.25">
      <c r="A104" s="6" t="s">
        <v>15</v>
      </c>
      <c r="B104" t="s">
        <v>111</v>
      </c>
      <c r="C104" s="16">
        <v>0.89095168037873296</v>
      </c>
      <c r="D104">
        <v>3</v>
      </c>
      <c r="E104" s="16">
        <v>0.44547584018936598</v>
      </c>
      <c r="F104">
        <v>3</v>
      </c>
      <c r="G104" s="16"/>
      <c r="I104" s="16"/>
      <c r="K104" s="16">
        <v>0.89095168037873296</v>
      </c>
      <c r="L104">
        <v>3</v>
      </c>
      <c r="M104" s="16">
        <v>0.44547584018936598</v>
      </c>
      <c r="N104" s="11">
        <v>3</v>
      </c>
    </row>
    <row r="105" spans="1:14" outlineLevel="1" x14ac:dyDescent="0.25">
      <c r="A105" s="6" t="s">
        <v>15</v>
      </c>
      <c r="B105" t="s">
        <v>112</v>
      </c>
      <c r="C105" s="16">
        <v>0.18755056956966601</v>
      </c>
      <c r="D105">
        <v>4</v>
      </c>
      <c r="E105" s="16"/>
      <c r="G105" s="16">
        <v>0.292850800737886</v>
      </c>
      <c r="H105">
        <v>2</v>
      </c>
      <c r="I105" s="16"/>
      <c r="K105" s="16"/>
      <c r="M105" s="16"/>
      <c r="N105" s="11"/>
    </row>
    <row r="106" spans="1:14" outlineLevel="1" x14ac:dyDescent="0.25">
      <c r="A106" s="6" t="s">
        <v>15</v>
      </c>
      <c r="B106" t="s">
        <v>113</v>
      </c>
      <c r="C106" s="16">
        <v>0.28109501260262298</v>
      </c>
      <c r="D106">
        <v>13</v>
      </c>
      <c r="E106" s="16">
        <v>0.23288904355013901</v>
      </c>
      <c r="F106">
        <v>13</v>
      </c>
      <c r="G106" s="16">
        <v>0.47256412700794398</v>
      </c>
      <c r="H106">
        <v>6</v>
      </c>
      <c r="I106" s="16">
        <v>0.31141418344612398</v>
      </c>
      <c r="J106">
        <v>6</v>
      </c>
      <c r="K106" s="16">
        <v>0.19983772347567699</v>
      </c>
      <c r="L106">
        <v>6</v>
      </c>
      <c r="M106" s="16">
        <v>0.19983772347567699</v>
      </c>
      <c r="N106" s="11">
        <v>6</v>
      </c>
    </row>
    <row r="107" spans="1:14" outlineLevel="1" x14ac:dyDescent="0.25">
      <c r="A107" s="6" t="s">
        <v>15</v>
      </c>
      <c r="B107" t="s">
        <v>114</v>
      </c>
      <c r="C107" s="16">
        <v>0.42372735217900398</v>
      </c>
      <c r="D107">
        <v>48</v>
      </c>
      <c r="E107" s="16">
        <v>0.370514429065398</v>
      </c>
      <c r="F107">
        <v>48</v>
      </c>
      <c r="G107" s="16">
        <v>0.50719379402636799</v>
      </c>
      <c r="H107">
        <v>26</v>
      </c>
      <c r="I107" s="16">
        <v>0.472746575996425</v>
      </c>
      <c r="J107">
        <v>26</v>
      </c>
      <c r="K107" s="16">
        <v>0.28254244215077501</v>
      </c>
      <c r="L107">
        <v>22</v>
      </c>
      <c r="M107" s="16">
        <v>0.197587008811342</v>
      </c>
      <c r="N107" s="11">
        <v>22</v>
      </c>
    </row>
    <row r="108" spans="1:14" outlineLevel="1" x14ac:dyDescent="0.25">
      <c r="A108" s="6" t="s">
        <v>15</v>
      </c>
      <c r="B108" t="s">
        <v>116</v>
      </c>
      <c r="C108" s="16">
        <v>0.23794900055301699</v>
      </c>
      <c r="D108">
        <v>5</v>
      </c>
      <c r="E108" s="16">
        <v>4.7975548380575397E-2</v>
      </c>
      <c r="F108">
        <v>5</v>
      </c>
      <c r="G108" s="16">
        <v>7.7373290637129694E-2</v>
      </c>
      <c r="H108">
        <v>3</v>
      </c>
      <c r="I108" s="16">
        <v>7.7373290637129694E-2</v>
      </c>
      <c r="J108">
        <v>3</v>
      </c>
      <c r="K108" s="16">
        <v>0.5</v>
      </c>
      <c r="L108">
        <v>2</v>
      </c>
      <c r="M108" s="16"/>
      <c r="N108" s="11"/>
    </row>
    <row r="109" spans="1:14" outlineLevel="1" x14ac:dyDescent="0.25">
      <c r="A109" s="7" t="s">
        <v>15</v>
      </c>
      <c r="B109" s="9" t="s">
        <v>15</v>
      </c>
      <c r="C109" s="15">
        <v>0.52722757408029697</v>
      </c>
      <c r="D109" s="9">
        <v>887</v>
      </c>
      <c r="E109" s="15">
        <v>0.39251409899138801</v>
      </c>
      <c r="F109" s="9">
        <v>887</v>
      </c>
      <c r="G109" s="15"/>
      <c r="H109" s="9"/>
      <c r="I109" s="15"/>
      <c r="J109" s="9"/>
      <c r="K109" s="15"/>
      <c r="L109" s="9"/>
      <c r="M109" s="15"/>
      <c r="N109" s="12"/>
    </row>
    <row r="110" spans="1:14" x14ac:dyDescent="0.25">
      <c r="C110" s="16"/>
      <c r="E110" s="16"/>
      <c r="G110" s="16"/>
      <c r="I110" s="16"/>
      <c r="K110" s="16"/>
      <c r="M110" s="16"/>
    </row>
    <row r="111" spans="1:14" x14ac:dyDescent="0.25">
      <c r="A111" s="19" t="s">
        <v>117</v>
      </c>
      <c r="B111" s="19"/>
      <c r="C111" s="20"/>
      <c r="D111" s="19"/>
      <c r="E111" s="20"/>
      <c r="F111" s="19"/>
      <c r="G111" s="20"/>
      <c r="H111" s="19"/>
      <c r="I111" s="20"/>
      <c r="J111" s="19"/>
      <c r="K111" s="20"/>
      <c r="L111" s="19"/>
      <c r="M111" s="20"/>
      <c r="N111" s="19"/>
    </row>
    <row r="112" spans="1:14" outlineLevel="1" x14ac:dyDescent="0.25">
      <c r="A112" s="5" t="s">
        <v>15</v>
      </c>
      <c r="B112" s="8" t="s">
        <v>101</v>
      </c>
      <c r="C112" s="14"/>
      <c r="D112" s="8"/>
      <c r="E112" s="14"/>
      <c r="F112" s="8"/>
      <c r="G112" s="14">
        <v>0.62002518796323802</v>
      </c>
      <c r="H112" s="8">
        <v>4</v>
      </c>
      <c r="I112" s="14"/>
      <c r="J112" s="8"/>
      <c r="K112" s="14">
        <v>0.94945965435445601</v>
      </c>
      <c r="L112" s="8">
        <v>7</v>
      </c>
      <c r="M112" s="14">
        <v>0.94171119101275003</v>
      </c>
      <c r="N112" s="10">
        <v>7</v>
      </c>
    </row>
    <row r="113" spans="1:14" outlineLevel="1" x14ac:dyDescent="0.25">
      <c r="A113" s="6" t="s">
        <v>15</v>
      </c>
      <c r="B113" t="s">
        <v>118</v>
      </c>
      <c r="C113" s="16">
        <v>0.53098822328144701</v>
      </c>
      <c r="D113">
        <v>1337</v>
      </c>
      <c r="E113" s="16">
        <v>0.39925272482901297</v>
      </c>
      <c r="F113">
        <v>1337</v>
      </c>
      <c r="G113" s="16">
        <v>0.55260491678268298</v>
      </c>
      <c r="H113">
        <v>694</v>
      </c>
      <c r="I113" s="16">
        <v>0.41613949426027103</v>
      </c>
      <c r="J113">
        <v>694</v>
      </c>
      <c r="K113" s="16">
        <v>0.50891484784820695</v>
      </c>
      <c r="L113">
        <v>643</v>
      </c>
      <c r="M113" s="16">
        <v>0.38200919951884399</v>
      </c>
      <c r="N113" s="11">
        <v>643</v>
      </c>
    </row>
    <row r="114" spans="1:14" outlineLevel="1" x14ac:dyDescent="0.25">
      <c r="A114" s="6" t="s">
        <v>15</v>
      </c>
      <c r="B114" t="s">
        <v>119</v>
      </c>
      <c r="C114" s="16">
        <v>0.40599324521971603</v>
      </c>
      <c r="D114">
        <v>455</v>
      </c>
      <c r="E114" s="16">
        <v>0.236088605645562</v>
      </c>
      <c r="F114">
        <v>455</v>
      </c>
      <c r="G114" s="16">
        <v>0.431078737706384</v>
      </c>
      <c r="H114">
        <v>248</v>
      </c>
      <c r="I114" s="16">
        <v>0.28814050859110801</v>
      </c>
      <c r="J114">
        <v>248</v>
      </c>
      <c r="K114" s="16">
        <v>0.36168117494303997</v>
      </c>
      <c r="L114">
        <v>206</v>
      </c>
      <c r="M114" s="16">
        <v>0.14413734485400501</v>
      </c>
      <c r="N114" s="11">
        <v>206</v>
      </c>
    </row>
    <row r="115" spans="1:14" outlineLevel="1" x14ac:dyDescent="0.25">
      <c r="A115" s="6" t="s">
        <v>15</v>
      </c>
      <c r="B115" t="s">
        <v>120</v>
      </c>
      <c r="C115" s="16">
        <v>0.36942204195333</v>
      </c>
      <c r="D115">
        <v>69</v>
      </c>
      <c r="E115" s="16">
        <v>0.31994433678572898</v>
      </c>
      <c r="F115">
        <v>69</v>
      </c>
      <c r="G115" s="16">
        <v>0.35959982719971201</v>
      </c>
      <c r="H115">
        <v>38</v>
      </c>
      <c r="I115" s="16">
        <v>0.340494956228163</v>
      </c>
      <c r="J115">
        <v>38</v>
      </c>
      <c r="K115" s="16">
        <v>0.38382436513503398</v>
      </c>
      <c r="L115">
        <v>31</v>
      </c>
      <c r="M115" s="16">
        <v>0.28981094322649198</v>
      </c>
      <c r="N115" s="11">
        <v>31</v>
      </c>
    </row>
    <row r="116" spans="1:14" outlineLevel="1" x14ac:dyDescent="0.25">
      <c r="A116" s="7" t="s">
        <v>15</v>
      </c>
      <c r="B116" s="9" t="s">
        <v>15</v>
      </c>
      <c r="C116" s="15">
        <v>0.93910322601354201</v>
      </c>
      <c r="D116" s="9">
        <v>11</v>
      </c>
      <c r="E116" s="15">
        <v>0.91210662481663396</v>
      </c>
      <c r="F116" s="9">
        <v>11</v>
      </c>
      <c r="G116" s="15"/>
      <c r="H116" s="9"/>
      <c r="I116" s="15"/>
      <c r="J116" s="9"/>
      <c r="K116" s="15"/>
      <c r="L116" s="9"/>
      <c r="M116" s="15"/>
      <c r="N116" s="12"/>
    </row>
    <row r="117" spans="1:14" x14ac:dyDescent="0.25">
      <c r="C117" s="16"/>
      <c r="E117" s="16"/>
      <c r="G117" s="16"/>
      <c r="I117" s="16"/>
      <c r="K117" s="16"/>
      <c r="M117" s="16"/>
    </row>
    <row r="118" spans="1:14" x14ac:dyDescent="0.25">
      <c r="A118" s="19" t="s">
        <v>121</v>
      </c>
      <c r="B118" s="19"/>
      <c r="C118" s="20"/>
      <c r="D118" s="19"/>
      <c r="E118" s="20"/>
      <c r="F118" s="19"/>
      <c r="G118" s="20"/>
      <c r="H118" s="19"/>
      <c r="I118" s="20"/>
      <c r="J118" s="19"/>
      <c r="K118" s="20"/>
      <c r="L118" s="19"/>
      <c r="M118" s="20"/>
      <c r="N118" s="19"/>
    </row>
    <row r="119" spans="1:14" outlineLevel="1" x14ac:dyDescent="0.25">
      <c r="A119" s="5" t="s">
        <v>15</v>
      </c>
      <c r="B119" s="8" t="s">
        <v>101</v>
      </c>
      <c r="C119" s="14"/>
      <c r="D119" s="8"/>
      <c r="E119" s="14"/>
      <c r="F119" s="8"/>
      <c r="G119" s="14">
        <v>0.43293078610695801</v>
      </c>
      <c r="H119" s="8">
        <v>17</v>
      </c>
      <c r="I119" s="14">
        <v>0.26213139030705201</v>
      </c>
      <c r="J119" s="8">
        <v>17</v>
      </c>
      <c r="K119" s="14">
        <v>0.141268423513046</v>
      </c>
      <c r="L119" s="8">
        <v>10</v>
      </c>
      <c r="M119" s="14"/>
      <c r="N119" s="10"/>
    </row>
    <row r="120" spans="1:14" outlineLevel="1" x14ac:dyDescent="0.25">
      <c r="A120" s="6" t="s">
        <v>15</v>
      </c>
      <c r="B120" t="s">
        <v>122</v>
      </c>
      <c r="C120" s="16">
        <v>0.21457908725150501</v>
      </c>
      <c r="D120">
        <v>107</v>
      </c>
      <c r="E120" s="16">
        <v>0.16332796664454399</v>
      </c>
      <c r="F120">
        <v>107</v>
      </c>
      <c r="G120" s="16">
        <v>0.25402179732952701</v>
      </c>
      <c r="H120">
        <v>60</v>
      </c>
      <c r="I120" s="16">
        <v>0.19352144353362399</v>
      </c>
      <c r="J120">
        <v>60</v>
      </c>
      <c r="K120" s="16">
        <v>0.14481316517554299</v>
      </c>
      <c r="L120">
        <v>46</v>
      </c>
      <c r="M120" s="16">
        <v>0.109921975618512</v>
      </c>
      <c r="N120" s="11">
        <v>46</v>
      </c>
    </row>
    <row r="121" spans="1:14" outlineLevel="1" x14ac:dyDescent="0.25">
      <c r="A121" s="6" t="s">
        <v>15</v>
      </c>
      <c r="B121" t="s">
        <v>123</v>
      </c>
      <c r="C121" s="16">
        <v>0.38891792765632399</v>
      </c>
      <c r="D121">
        <v>680</v>
      </c>
      <c r="E121" s="16">
        <v>0.27271510468286198</v>
      </c>
      <c r="F121">
        <v>680</v>
      </c>
      <c r="G121" s="16">
        <v>0.45059974586555601</v>
      </c>
      <c r="H121">
        <v>361</v>
      </c>
      <c r="I121" s="16">
        <v>0.34980609995657302</v>
      </c>
      <c r="J121">
        <v>361</v>
      </c>
      <c r="K121" s="16">
        <v>0.31620331744222302</v>
      </c>
      <c r="L121">
        <v>319</v>
      </c>
      <c r="M121" s="16">
        <v>0.18183513656438099</v>
      </c>
      <c r="N121" s="11">
        <v>319</v>
      </c>
    </row>
    <row r="122" spans="1:14" outlineLevel="1" x14ac:dyDescent="0.25">
      <c r="A122" s="6" t="s">
        <v>15</v>
      </c>
      <c r="B122" t="s">
        <v>124</v>
      </c>
      <c r="C122" s="16">
        <v>0.56012027747705595</v>
      </c>
      <c r="D122">
        <v>1058</v>
      </c>
      <c r="E122" s="16">
        <v>0.41819033021419699</v>
      </c>
      <c r="F122">
        <v>1058</v>
      </c>
      <c r="G122" s="16">
        <v>0.56749278023463101</v>
      </c>
      <c r="H122">
        <v>546</v>
      </c>
      <c r="I122" s="16">
        <v>0.419580851903329</v>
      </c>
      <c r="J122">
        <v>546</v>
      </c>
      <c r="K122" s="16">
        <v>0.55248699149956304</v>
      </c>
      <c r="L122">
        <v>512</v>
      </c>
      <c r="M122" s="16">
        <v>0.416750622416172</v>
      </c>
      <c r="N122" s="11">
        <v>512</v>
      </c>
    </row>
    <row r="123" spans="1:14" outlineLevel="1" x14ac:dyDescent="0.25">
      <c r="A123" s="7" t="s">
        <v>15</v>
      </c>
      <c r="B123" s="9" t="s">
        <v>15</v>
      </c>
      <c r="C123" s="15">
        <v>0.35807132889255899</v>
      </c>
      <c r="D123" s="9">
        <v>27</v>
      </c>
      <c r="E123" s="15">
        <v>0.194851493707698</v>
      </c>
      <c r="F123" s="9">
        <v>27</v>
      </c>
      <c r="G123" s="15"/>
      <c r="H123" s="9"/>
      <c r="I123" s="15"/>
      <c r="J123" s="9"/>
      <c r="K123" s="15"/>
      <c r="L123" s="9"/>
      <c r="M123" s="15"/>
      <c r="N123" s="12"/>
    </row>
    <row r="124" spans="1:14" x14ac:dyDescent="0.25">
      <c r="C124" s="16"/>
      <c r="E124" s="16"/>
      <c r="G124" s="16"/>
      <c r="I124" s="16"/>
      <c r="K124" s="16"/>
      <c r="M124" s="16"/>
    </row>
    <row r="125" spans="1:14" x14ac:dyDescent="0.25">
      <c r="A125" s="19" t="s">
        <v>125</v>
      </c>
      <c r="B125" s="19"/>
      <c r="C125" s="20"/>
      <c r="D125" s="19"/>
      <c r="E125" s="20"/>
      <c r="F125" s="19"/>
      <c r="G125" s="20"/>
      <c r="H125" s="19"/>
      <c r="I125" s="20"/>
      <c r="J125" s="19"/>
      <c r="K125" s="20"/>
      <c r="L125" s="19"/>
      <c r="M125" s="20"/>
      <c r="N125" s="19"/>
    </row>
    <row r="126" spans="1:14" outlineLevel="1" x14ac:dyDescent="0.25">
      <c r="A126" s="5" t="s">
        <v>15</v>
      </c>
      <c r="B126" s="8" t="s">
        <v>101</v>
      </c>
      <c r="C126" s="14"/>
      <c r="D126" s="8"/>
      <c r="E126" s="14"/>
      <c r="F126" s="8"/>
      <c r="G126" s="14">
        <v>0.43057210466247797</v>
      </c>
      <c r="H126" s="8">
        <v>6</v>
      </c>
      <c r="I126" s="14">
        <v>0.43057210466247797</v>
      </c>
      <c r="J126" s="8">
        <v>6</v>
      </c>
      <c r="K126" s="14">
        <v>9.8640894332831505E-2</v>
      </c>
      <c r="L126" s="8">
        <v>7</v>
      </c>
      <c r="M126" s="14">
        <v>3.58652329255481E-2</v>
      </c>
      <c r="N126" s="10">
        <v>7</v>
      </c>
    </row>
    <row r="127" spans="1:14" outlineLevel="1" x14ac:dyDescent="0.25">
      <c r="A127" s="6" t="s">
        <v>15</v>
      </c>
      <c r="B127" t="s">
        <v>126</v>
      </c>
      <c r="C127" s="16">
        <v>0.45453580263913601</v>
      </c>
      <c r="D127">
        <v>249</v>
      </c>
      <c r="E127" s="16">
        <v>0.32882652817582803</v>
      </c>
      <c r="F127">
        <v>249</v>
      </c>
      <c r="G127" s="16">
        <v>0.47747078188915598</v>
      </c>
      <c r="H127">
        <v>134</v>
      </c>
      <c r="I127" s="16">
        <v>0.36130060818369297</v>
      </c>
      <c r="J127">
        <v>134</v>
      </c>
      <c r="K127" s="16">
        <v>0.40954191795556399</v>
      </c>
      <c r="L127">
        <v>115</v>
      </c>
      <c r="M127" s="16">
        <v>0.26511881799432802</v>
      </c>
      <c r="N127" s="11">
        <v>115</v>
      </c>
    </row>
    <row r="128" spans="1:14" outlineLevel="1" x14ac:dyDescent="0.25">
      <c r="A128" s="6" t="s">
        <v>15</v>
      </c>
      <c r="B128" t="s">
        <v>127</v>
      </c>
      <c r="C128" s="16">
        <v>0.24488525662437399</v>
      </c>
      <c r="D128">
        <v>217</v>
      </c>
      <c r="E128" s="16">
        <v>0.17720792596623999</v>
      </c>
      <c r="F128">
        <v>217</v>
      </c>
      <c r="G128" s="16">
        <v>0.27825480749433101</v>
      </c>
      <c r="H128">
        <v>114</v>
      </c>
      <c r="I128" s="16">
        <v>0.22462366210624499</v>
      </c>
      <c r="J128">
        <v>114</v>
      </c>
      <c r="K128" s="16">
        <v>0.204277403683505</v>
      </c>
      <c r="L128">
        <v>102</v>
      </c>
      <c r="M128" s="16">
        <v>0.119504670972737</v>
      </c>
      <c r="N128" s="11">
        <v>102</v>
      </c>
    </row>
    <row r="129" spans="1:14" outlineLevel="1" x14ac:dyDescent="0.25">
      <c r="A129" s="6" t="s">
        <v>15</v>
      </c>
      <c r="B129" t="s">
        <v>128</v>
      </c>
      <c r="C129" s="16">
        <v>0.56655839154309195</v>
      </c>
      <c r="D129">
        <v>657</v>
      </c>
      <c r="E129" s="16">
        <v>0.43668694951523102</v>
      </c>
      <c r="F129">
        <v>657</v>
      </c>
      <c r="G129" s="16">
        <v>0.56262154550632204</v>
      </c>
      <c r="H129">
        <v>341</v>
      </c>
      <c r="I129" s="16">
        <v>0.41042838727543102</v>
      </c>
      <c r="J129">
        <v>341</v>
      </c>
      <c r="K129" s="16">
        <v>0.57066864891735103</v>
      </c>
      <c r="L129">
        <v>316</v>
      </c>
      <c r="M129" s="16">
        <v>0.46410215653007197</v>
      </c>
      <c r="N129" s="11">
        <v>316</v>
      </c>
    </row>
    <row r="130" spans="1:14" outlineLevel="1" x14ac:dyDescent="0.25">
      <c r="A130" s="6" t="s">
        <v>15</v>
      </c>
      <c r="B130" t="s">
        <v>129</v>
      </c>
      <c r="C130" s="16">
        <v>0.45938098567771901</v>
      </c>
      <c r="D130">
        <v>736</v>
      </c>
      <c r="E130" s="16">
        <v>0.29388804670472701</v>
      </c>
      <c r="F130">
        <v>736</v>
      </c>
      <c r="G130" s="16">
        <v>0.53253112678328296</v>
      </c>
      <c r="H130">
        <v>389</v>
      </c>
      <c r="I130" s="16">
        <v>0.412043095140539</v>
      </c>
      <c r="J130">
        <v>389</v>
      </c>
      <c r="K130" s="16">
        <v>0.388778400280609</v>
      </c>
      <c r="L130">
        <v>347</v>
      </c>
      <c r="M130" s="16">
        <v>0.17984791265699501</v>
      </c>
      <c r="N130" s="11">
        <v>347</v>
      </c>
    </row>
    <row r="131" spans="1:14" outlineLevel="1" x14ac:dyDescent="0.25">
      <c r="A131" s="7" t="s">
        <v>15</v>
      </c>
      <c r="B131" s="9" t="s">
        <v>15</v>
      </c>
      <c r="C131" s="15">
        <v>0.37569067961053498</v>
      </c>
      <c r="D131" s="9">
        <v>13</v>
      </c>
      <c r="E131" s="15">
        <v>0.365311367122298</v>
      </c>
      <c r="F131" s="9">
        <v>13</v>
      </c>
      <c r="G131" s="15"/>
      <c r="H131" s="9"/>
      <c r="I131" s="15"/>
      <c r="J131" s="9"/>
      <c r="K131" s="15"/>
      <c r="L131" s="9"/>
      <c r="M131" s="15"/>
      <c r="N131" s="12"/>
    </row>
    <row r="132" spans="1:14" x14ac:dyDescent="0.25">
      <c r="C132" s="16"/>
      <c r="E132" s="16"/>
      <c r="G132" s="16"/>
      <c r="I132" s="16"/>
      <c r="K132" s="16"/>
      <c r="M132" s="16"/>
    </row>
    <row r="133" spans="1:14" x14ac:dyDescent="0.25">
      <c r="A133" s="19" t="s">
        <v>130</v>
      </c>
      <c r="B133" s="19"/>
      <c r="C133" s="20"/>
      <c r="D133" s="19"/>
      <c r="E133" s="20"/>
      <c r="F133" s="19"/>
      <c r="G133" s="20"/>
      <c r="H133" s="19"/>
      <c r="I133" s="20"/>
      <c r="J133" s="19"/>
      <c r="K133" s="20"/>
      <c r="L133" s="19"/>
      <c r="M133" s="20"/>
      <c r="N133" s="19"/>
    </row>
    <row r="134" spans="1:14" outlineLevel="1" x14ac:dyDescent="0.25">
      <c r="A134" s="5" t="s">
        <v>15</v>
      </c>
      <c r="B134" s="8" t="s">
        <v>101</v>
      </c>
      <c r="C134" s="14"/>
      <c r="D134" s="8"/>
      <c r="E134" s="14"/>
      <c r="F134" s="8"/>
      <c r="G134" s="14">
        <v>0.55582799715309605</v>
      </c>
      <c r="H134" s="8">
        <v>250</v>
      </c>
      <c r="I134" s="14"/>
      <c r="J134" s="8"/>
      <c r="K134" s="14">
        <v>0.52457560021271699</v>
      </c>
      <c r="L134" s="8">
        <v>243</v>
      </c>
      <c r="M134" s="14"/>
      <c r="N134" s="10"/>
    </row>
    <row r="135" spans="1:14" outlineLevel="1" x14ac:dyDescent="0.25">
      <c r="A135" s="6" t="s">
        <v>15</v>
      </c>
      <c r="B135" t="s">
        <v>131</v>
      </c>
      <c r="C135" s="16">
        <v>0.51316702467613595</v>
      </c>
      <c r="D135">
        <v>1359</v>
      </c>
      <c r="E135" s="16"/>
      <c r="G135" s="16">
        <v>0.53267934333844003</v>
      </c>
      <c r="H135">
        <v>723</v>
      </c>
      <c r="I135" s="16"/>
      <c r="K135" s="16">
        <v>0.49138700359960702</v>
      </c>
      <c r="L135">
        <v>635</v>
      </c>
      <c r="M135" s="16"/>
      <c r="N135" s="11"/>
    </row>
    <row r="136" spans="1:14" outlineLevel="1" x14ac:dyDescent="0.25">
      <c r="A136" s="6" t="s">
        <v>15</v>
      </c>
      <c r="B136" t="s">
        <v>132</v>
      </c>
      <c r="C136" s="16">
        <v>5.0540664790010804E-3</v>
      </c>
      <c r="D136">
        <v>20</v>
      </c>
      <c r="E136" s="16"/>
      <c r="G136" s="16">
        <v>7.0504243182501003E-3</v>
      </c>
      <c r="H136">
        <v>11</v>
      </c>
      <c r="I136" s="16"/>
      <c r="K136" s="16"/>
      <c r="M136" s="16"/>
      <c r="N136" s="11"/>
    </row>
    <row r="137" spans="1:14" outlineLevel="1" x14ac:dyDescent="0.25">
      <c r="A137" s="7" t="s">
        <v>15</v>
      </c>
      <c r="B137" s="9" t="s">
        <v>15</v>
      </c>
      <c r="C137" s="15">
        <v>0.54000292929338101</v>
      </c>
      <c r="D137" s="9">
        <v>493</v>
      </c>
      <c r="E137" s="15"/>
      <c r="F137" s="9"/>
      <c r="G137" s="15"/>
      <c r="H137" s="9"/>
      <c r="I137" s="15"/>
      <c r="J137" s="9"/>
      <c r="K137" s="15"/>
      <c r="L137" s="9"/>
      <c r="M137" s="15"/>
      <c r="N137" s="12"/>
    </row>
    <row r="138" spans="1:14" x14ac:dyDescent="0.25">
      <c r="C138" s="16"/>
      <c r="E138" s="16"/>
      <c r="G138" s="16"/>
      <c r="I138" s="16"/>
      <c r="K138" s="16"/>
      <c r="M138" s="16"/>
    </row>
    <row r="139" spans="1:14" x14ac:dyDescent="0.25">
      <c r="A139" s="19" t="s">
        <v>133</v>
      </c>
      <c r="B139" s="19"/>
      <c r="C139" s="20"/>
      <c r="D139" s="19"/>
      <c r="E139" s="20"/>
      <c r="F139" s="19"/>
      <c r="G139" s="20"/>
      <c r="H139" s="19"/>
      <c r="I139" s="20"/>
      <c r="J139" s="19"/>
      <c r="K139" s="20"/>
      <c r="L139" s="19"/>
      <c r="M139" s="20"/>
      <c r="N139" s="19"/>
    </row>
    <row r="140" spans="1:14" outlineLevel="1" x14ac:dyDescent="0.25">
      <c r="A140" s="5" t="s">
        <v>15</v>
      </c>
      <c r="B140" s="8" t="s">
        <v>101</v>
      </c>
      <c r="C140" s="14"/>
      <c r="D140" s="8"/>
      <c r="E140" s="14"/>
      <c r="F140" s="8"/>
      <c r="G140" s="14">
        <v>0.55582799715309605</v>
      </c>
      <c r="H140" s="8">
        <v>250</v>
      </c>
      <c r="I140" s="14"/>
      <c r="J140" s="8"/>
      <c r="K140" s="14">
        <v>0.52457560021271699</v>
      </c>
      <c r="L140" s="8">
        <v>243</v>
      </c>
      <c r="M140" s="14"/>
      <c r="N140" s="10"/>
    </row>
    <row r="141" spans="1:14" outlineLevel="1" x14ac:dyDescent="0.25">
      <c r="A141" s="6" t="s">
        <v>15</v>
      </c>
      <c r="B141" t="s">
        <v>131</v>
      </c>
      <c r="C141" s="16">
        <v>0.51520251985073595</v>
      </c>
      <c r="D141">
        <v>1350</v>
      </c>
      <c r="E141" s="16"/>
      <c r="G141" s="16">
        <v>0.53281281125448499</v>
      </c>
      <c r="H141">
        <v>720</v>
      </c>
      <c r="I141" s="16"/>
      <c r="K141" s="16">
        <v>0.49534743054131097</v>
      </c>
      <c r="L141">
        <v>629</v>
      </c>
      <c r="M141" s="16"/>
      <c r="N141" s="11"/>
    </row>
    <row r="142" spans="1:14" outlineLevel="1" x14ac:dyDescent="0.25">
      <c r="A142" s="6" t="s">
        <v>15</v>
      </c>
      <c r="B142" t="s">
        <v>132</v>
      </c>
      <c r="C142" s="16">
        <v>3.4942152402304298E-2</v>
      </c>
      <c r="D142">
        <v>29</v>
      </c>
      <c r="E142" s="16"/>
      <c r="G142" s="16">
        <v>8.2957187260874095E-3</v>
      </c>
      <c r="H142">
        <v>14</v>
      </c>
      <c r="I142" s="16"/>
      <c r="K142" s="16">
        <v>6.3749107813364403E-2</v>
      </c>
      <c r="L142">
        <v>15</v>
      </c>
      <c r="M142" s="16"/>
      <c r="N142" s="11"/>
    </row>
    <row r="143" spans="1:14" outlineLevel="1" x14ac:dyDescent="0.25">
      <c r="A143" s="7" t="s">
        <v>15</v>
      </c>
      <c r="B143" s="9" t="s">
        <v>15</v>
      </c>
      <c r="C143" s="15">
        <v>0.54000292929338101</v>
      </c>
      <c r="D143" s="9">
        <v>493</v>
      </c>
      <c r="E143" s="15"/>
      <c r="F143" s="9"/>
      <c r="G143" s="15"/>
      <c r="H143" s="9"/>
      <c r="I143" s="15"/>
      <c r="J143" s="9"/>
      <c r="K143" s="15"/>
      <c r="L143" s="9"/>
      <c r="M143" s="15"/>
      <c r="N143" s="12"/>
    </row>
    <row r="144" spans="1:14" x14ac:dyDescent="0.25">
      <c r="C144" s="16"/>
      <c r="E144" s="16"/>
      <c r="G144" s="16"/>
      <c r="I144" s="16"/>
      <c r="K144" s="16"/>
      <c r="M144" s="16"/>
    </row>
    <row r="145" spans="1:14" x14ac:dyDescent="0.25">
      <c r="A145" s="19" t="s">
        <v>134</v>
      </c>
      <c r="B145" s="19"/>
      <c r="C145" s="20"/>
      <c r="D145" s="19"/>
      <c r="E145" s="20"/>
      <c r="F145" s="19"/>
      <c r="G145" s="20"/>
      <c r="H145" s="19"/>
      <c r="I145" s="20"/>
      <c r="J145" s="19"/>
      <c r="K145" s="20"/>
      <c r="L145" s="19"/>
      <c r="M145" s="20"/>
      <c r="N145" s="19"/>
    </row>
    <row r="146" spans="1:14" outlineLevel="1" x14ac:dyDescent="0.25">
      <c r="A146" s="5" t="s">
        <v>15</v>
      </c>
      <c r="B146" s="8" t="s">
        <v>135</v>
      </c>
      <c r="C146" s="14">
        <v>0.29537031286071802</v>
      </c>
      <c r="D146" s="8">
        <v>499</v>
      </c>
      <c r="E146" s="14">
        <v>0.16477838887396701</v>
      </c>
      <c r="F146" s="8">
        <v>499</v>
      </c>
      <c r="G146" s="14">
        <v>0.31265034589312202</v>
      </c>
      <c r="H146" s="8">
        <v>251</v>
      </c>
      <c r="I146" s="14">
        <v>0.212440318925461</v>
      </c>
      <c r="J146" s="8">
        <v>251</v>
      </c>
      <c r="K146" s="14">
        <v>0.27976437329128201</v>
      </c>
      <c r="L146" s="8">
        <v>248</v>
      </c>
      <c r="M146" s="14">
        <v>0.121733957260236</v>
      </c>
      <c r="N146" s="10">
        <v>248</v>
      </c>
    </row>
    <row r="147" spans="1:14" outlineLevel="1" x14ac:dyDescent="0.25">
      <c r="A147" s="6" t="s">
        <v>15</v>
      </c>
      <c r="B147" t="s">
        <v>136</v>
      </c>
      <c r="C147" s="16">
        <v>0.482907090115335</v>
      </c>
      <c r="D147">
        <v>41</v>
      </c>
      <c r="E147" s="16">
        <v>0.26477191080226498</v>
      </c>
      <c r="F147">
        <v>41</v>
      </c>
      <c r="G147" s="16">
        <v>0.47908217341134801</v>
      </c>
      <c r="H147">
        <v>24</v>
      </c>
      <c r="I147" s="16">
        <v>0.29788402715663698</v>
      </c>
      <c r="J147">
        <v>24</v>
      </c>
      <c r="K147" s="16">
        <v>0.48920213697540399</v>
      </c>
      <c r="L147">
        <v>17</v>
      </c>
      <c r="M147" s="16">
        <v>0.210275998807753</v>
      </c>
      <c r="N147" s="11">
        <v>17</v>
      </c>
    </row>
    <row r="148" spans="1:14" outlineLevel="1" x14ac:dyDescent="0.25">
      <c r="A148" s="6" t="s">
        <v>15</v>
      </c>
      <c r="B148" t="s">
        <v>137</v>
      </c>
      <c r="C148" s="16">
        <v>0.30188679245283001</v>
      </c>
      <c r="D148">
        <v>53</v>
      </c>
      <c r="E148" s="16">
        <v>0.20754716981132099</v>
      </c>
      <c r="F148">
        <v>53</v>
      </c>
      <c r="G148" s="16">
        <v>0.22727272727272699</v>
      </c>
      <c r="H148">
        <v>22</v>
      </c>
      <c r="I148" s="16">
        <v>0.18181818181818199</v>
      </c>
      <c r="J148">
        <v>22</v>
      </c>
      <c r="K148" s="16">
        <v>0.35483870967741898</v>
      </c>
      <c r="L148">
        <v>31</v>
      </c>
      <c r="M148" s="16">
        <v>0.225806451612903</v>
      </c>
      <c r="N148" s="11">
        <v>31</v>
      </c>
    </row>
    <row r="149" spans="1:14" outlineLevel="1" x14ac:dyDescent="0.25">
      <c r="A149" s="6" t="s">
        <v>15</v>
      </c>
      <c r="B149" t="s">
        <v>138</v>
      </c>
      <c r="C149" s="16">
        <v>0.58823529411764697</v>
      </c>
      <c r="D149">
        <v>17</v>
      </c>
      <c r="E149" s="16">
        <v>0.47058823529411797</v>
      </c>
      <c r="F149">
        <v>17</v>
      </c>
      <c r="G149" s="16">
        <v>0.5</v>
      </c>
      <c r="H149">
        <v>12</v>
      </c>
      <c r="I149" s="16">
        <v>0.41666666666666702</v>
      </c>
      <c r="J149">
        <v>12</v>
      </c>
      <c r="K149" s="16">
        <v>0.8</v>
      </c>
      <c r="L149">
        <v>5</v>
      </c>
      <c r="M149" s="16">
        <v>0.6</v>
      </c>
      <c r="N149" s="11">
        <v>5</v>
      </c>
    </row>
    <row r="150" spans="1:14" outlineLevel="1" x14ac:dyDescent="0.25">
      <c r="A150" s="6" t="s">
        <v>15</v>
      </c>
      <c r="B150" t="s">
        <v>139</v>
      </c>
      <c r="C150" s="16">
        <v>0.27128749927477502</v>
      </c>
      <c r="D150">
        <v>264</v>
      </c>
      <c r="E150" s="16">
        <v>0.17392107847312999</v>
      </c>
      <c r="F150">
        <v>264</v>
      </c>
      <c r="G150" s="16">
        <v>0.336926799680839</v>
      </c>
      <c r="H150">
        <v>137</v>
      </c>
      <c r="I150" s="16">
        <v>0.22220206299770501</v>
      </c>
      <c r="J150">
        <v>137</v>
      </c>
      <c r="K150" s="16">
        <v>0.19403008807699801</v>
      </c>
      <c r="L150">
        <v>127</v>
      </c>
      <c r="M150" s="16">
        <v>0.11709439306708</v>
      </c>
      <c r="N150" s="11">
        <v>127</v>
      </c>
    </row>
    <row r="151" spans="1:14" outlineLevel="1" x14ac:dyDescent="0.25">
      <c r="A151" s="6" t="s">
        <v>15</v>
      </c>
      <c r="B151" t="s">
        <v>140</v>
      </c>
      <c r="C151" s="16">
        <v>0.61299153052783595</v>
      </c>
      <c r="D151">
        <v>552</v>
      </c>
      <c r="E151" s="16">
        <v>0.465581675332293</v>
      </c>
      <c r="F151">
        <v>552</v>
      </c>
      <c r="G151" s="16">
        <v>0.61627823381198399</v>
      </c>
      <c r="H151">
        <v>293</v>
      </c>
      <c r="I151" s="16">
        <v>0.47041627746412101</v>
      </c>
      <c r="J151">
        <v>293</v>
      </c>
      <c r="K151" s="16">
        <v>0.60948476360516202</v>
      </c>
      <c r="L151">
        <v>259</v>
      </c>
      <c r="M151" s="16">
        <v>0.46042336885481</v>
      </c>
      <c r="N151" s="11">
        <v>259</v>
      </c>
    </row>
    <row r="152" spans="1:14" outlineLevel="1" x14ac:dyDescent="0.25">
      <c r="A152" s="6" t="s">
        <v>15</v>
      </c>
      <c r="B152" t="s">
        <v>141</v>
      </c>
      <c r="C152" s="16">
        <v>0.25281221335655502</v>
      </c>
      <c r="D152">
        <v>408</v>
      </c>
      <c r="E152" s="16">
        <v>0.152728447261368</v>
      </c>
      <c r="F152">
        <v>408</v>
      </c>
      <c r="G152" s="16">
        <v>0.280651647502415</v>
      </c>
      <c r="H152">
        <v>225</v>
      </c>
      <c r="I152" s="16">
        <v>0.160376739522748</v>
      </c>
      <c r="J152">
        <v>225</v>
      </c>
      <c r="K152" s="16">
        <v>0.215917904642179</v>
      </c>
      <c r="L152">
        <v>183</v>
      </c>
      <c r="M152" s="16">
        <v>0.142592520850268</v>
      </c>
      <c r="N152" s="11">
        <v>183</v>
      </c>
    </row>
    <row r="153" spans="1:14" outlineLevel="1" x14ac:dyDescent="0.25">
      <c r="A153" s="7" t="s">
        <v>15</v>
      </c>
      <c r="B153" s="9" t="s">
        <v>142</v>
      </c>
      <c r="C153" s="15">
        <v>0.36608104703704603</v>
      </c>
      <c r="D153" s="9">
        <v>38</v>
      </c>
      <c r="E153" s="15">
        <v>9.970100114107E-2</v>
      </c>
      <c r="F153" s="9">
        <v>38</v>
      </c>
      <c r="G153" s="15">
        <v>0.489724125477428</v>
      </c>
      <c r="H153" s="9">
        <v>20</v>
      </c>
      <c r="I153" s="15">
        <v>0.14028163569386301</v>
      </c>
      <c r="J153" s="9">
        <v>20</v>
      </c>
      <c r="K153" s="15">
        <v>0.19508227257303201</v>
      </c>
      <c r="L153" s="9">
        <v>17</v>
      </c>
      <c r="M153" s="15">
        <v>4.3522301740752403E-2</v>
      </c>
      <c r="N153" s="12">
        <v>17</v>
      </c>
    </row>
    <row r="154" spans="1:14" x14ac:dyDescent="0.25">
      <c r="C154" s="16"/>
      <c r="E154" s="16"/>
      <c r="G154" s="16"/>
      <c r="I154" s="16"/>
      <c r="K154" s="16"/>
      <c r="M154" s="16"/>
    </row>
    <row r="155" spans="1:14" x14ac:dyDescent="0.25">
      <c r="A155" s="19" t="s">
        <v>143</v>
      </c>
      <c r="B155" s="19"/>
      <c r="C155" s="20"/>
      <c r="D155" s="19"/>
      <c r="E155" s="20"/>
      <c r="F155" s="19"/>
      <c r="G155" s="20"/>
      <c r="H155" s="19"/>
      <c r="I155" s="20"/>
      <c r="J155" s="19"/>
      <c r="K155" s="20"/>
      <c r="L155" s="19"/>
      <c r="M155" s="20"/>
      <c r="N155" s="19"/>
    </row>
    <row r="156" spans="1:14" outlineLevel="1" x14ac:dyDescent="0.25">
      <c r="A156" s="5" t="s">
        <v>15</v>
      </c>
      <c r="B156" s="8" t="s">
        <v>144</v>
      </c>
      <c r="C156" s="14">
        <v>0.246532707393252</v>
      </c>
      <c r="D156" s="8">
        <v>131</v>
      </c>
      <c r="E156" s="14">
        <v>0.16894257517320299</v>
      </c>
      <c r="F156" s="8">
        <v>131</v>
      </c>
      <c r="G156" s="14">
        <v>0.208408140883101</v>
      </c>
      <c r="H156" s="8">
        <v>70</v>
      </c>
      <c r="I156" s="14">
        <v>0.17562667324662701</v>
      </c>
      <c r="J156" s="8">
        <v>70</v>
      </c>
      <c r="K156" s="14">
        <v>0.291559301073471</v>
      </c>
      <c r="L156" s="8">
        <v>61</v>
      </c>
      <c r="M156" s="14">
        <v>0.16104839576028701</v>
      </c>
      <c r="N156" s="10">
        <v>61</v>
      </c>
    </row>
    <row r="157" spans="1:14" outlineLevel="1" x14ac:dyDescent="0.25">
      <c r="A157" s="6" t="s">
        <v>15</v>
      </c>
      <c r="B157" t="s">
        <v>145</v>
      </c>
      <c r="C157" s="16">
        <v>0.33089605976817499</v>
      </c>
      <c r="D157">
        <v>409</v>
      </c>
      <c r="E157" s="16">
        <v>0.17205449256868999</v>
      </c>
      <c r="F157">
        <v>409</v>
      </c>
      <c r="G157" s="16">
        <v>0.37978182778137998</v>
      </c>
      <c r="H157">
        <v>205</v>
      </c>
      <c r="I157" s="16">
        <v>0.23933979119794399</v>
      </c>
      <c r="J157">
        <v>205</v>
      </c>
      <c r="K157" s="16">
        <v>0.28895136637572</v>
      </c>
      <c r="L157">
        <v>204</v>
      </c>
      <c r="M157" s="16">
        <v>0.114322736772984</v>
      </c>
      <c r="N157" s="11">
        <v>204</v>
      </c>
    </row>
    <row r="158" spans="1:14" outlineLevel="1" x14ac:dyDescent="0.25">
      <c r="A158" s="6" t="s">
        <v>15</v>
      </c>
      <c r="B158" t="s">
        <v>146</v>
      </c>
      <c r="C158" s="16">
        <v>0.41071428571428598</v>
      </c>
      <c r="D158">
        <v>56</v>
      </c>
      <c r="E158" s="16">
        <v>0.28571428571428598</v>
      </c>
      <c r="F158">
        <v>56</v>
      </c>
      <c r="G158" s="16">
        <v>0.37037037037037002</v>
      </c>
      <c r="H158">
        <v>27</v>
      </c>
      <c r="I158" s="16">
        <v>0.296296296296296</v>
      </c>
      <c r="J158">
        <v>27</v>
      </c>
      <c r="K158" s="16">
        <v>0.44827586206896602</v>
      </c>
      <c r="L158">
        <v>29</v>
      </c>
      <c r="M158" s="16">
        <v>0.27586206896551702</v>
      </c>
      <c r="N158" s="11">
        <v>29</v>
      </c>
    </row>
    <row r="159" spans="1:14" outlineLevel="1" x14ac:dyDescent="0.25">
      <c r="A159" s="6" t="s">
        <v>15</v>
      </c>
      <c r="B159" t="s">
        <v>147</v>
      </c>
      <c r="C159" s="16">
        <v>0.214285714285714</v>
      </c>
      <c r="D159">
        <v>14</v>
      </c>
      <c r="E159" s="16">
        <v>0.214285714285714</v>
      </c>
      <c r="F159">
        <v>14</v>
      </c>
      <c r="G159" s="16">
        <v>0.14285714285714299</v>
      </c>
      <c r="H159">
        <v>7</v>
      </c>
      <c r="I159" s="16">
        <v>0.14285714285714299</v>
      </c>
      <c r="J159">
        <v>7</v>
      </c>
      <c r="K159" s="16">
        <v>0.28571428571428598</v>
      </c>
      <c r="L159">
        <v>7</v>
      </c>
      <c r="M159" s="16">
        <v>0.28571428571428598</v>
      </c>
      <c r="N159" s="11">
        <v>7</v>
      </c>
    </row>
    <row r="160" spans="1:14" outlineLevel="1" x14ac:dyDescent="0.25">
      <c r="A160" s="6" t="s">
        <v>15</v>
      </c>
      <c r="B160" t="s">
        <v>148</v>
      </c>
      <c r="C160" s="16">
        <v>0.55301834467594202</v>
      </c>
      <c r="D160">
        <v>254</v>
      </c>
      <c r="E160" s="16">
        <v>0.410159396656959</v>
      </c>
      <c r="F160">
        <v>254</v>
      </c>
      <c r="G160" s="16">
        <v>0.55888274471252497</v>
      </c>
      <c r="H160">
        <v>140</v>
      </c>
      <c r="I160" s="16">
        <v>0.44471324687536901</v>
      </c>
      <c r="J160">
        <v>140</v>
      </c>
      <c r="K160" s="16">
        <v>0.54466140985751899</v>
      </c>
      <c r="L160">
        <v>114</v>
      </c>
      <c r="M160" s="16">
        <v>0.36091918927010702</v>
      </c>
      <c r="N160" s="11">
        <v>114</v>
      </c>
    </row>
    <row r="161" spans="1:14" outlineLevel="1" x14ac:dyDescent="0.25">
      <c r="A161" s="6" t="s">
        <v>15</v>
      </c>
      <c r="B161" t="s">
        <v>149</v>
      </c>
      <c r="C161" s="16">
        <v>0.52056497788867795</v>
      </c>
      <c r="D161">
        <v>562</v>
      </c>
      <c r="E161" s="16">
        <v>0.38827647795859299</v>
      </c>
      <c r="F161">
        <v>562</v>
      </c>
      <c r="G161" s="16">
        <v>0.53962370007180804</v>
      </c>
      <c r="H161">
        <v>290</v>
      </c>
      <c r="I161" s="16">
        <v>0.39111853424203002</v>
      </c>
      <c r="J161">
        <v>290</v>
      </c>
      <c r="K161" s="16">
        <v>0.50168366345696502</v>
      </c>
      <c r="L161">
        <v>272</v>
      </c>
      <c r="M161" s="16">
        <v>0.38546087690178699</v>
      </c>
      <c r="N161" s="11">
        <v>272</v>
      </c>
    </row>
    <row r="162" spans="1:14" outlineLevel="1" x14ac:dyDescent="0.25">
      <c r="A162" s="6" t="s">
        <v>15</v>
      </c>
      <c r="B162" t="s">
        <v>150</v>
      </c>
      <c r="C162" s="16">
        <v>0.28180038875544999</v>
      </c>
      <c r="D162">
        <v>132</v>
      </c>
      <c r="E162" s="16">
        <v>0.19387054262015799</v>
      </c>
      <c r="F162">
        <v>132</v>
      </c>
      <c r="G162" s="16">
        <v>0.29660248330463101</v>
      </c>
      <c r="H162">
        <v>69</v>
      </c>
      <c r="I162" s="16">
        <v>0.20896815221626799</v>
      </c>
      <c r="J162">
        <v>69</v>
      </c>
      <c r="K162" s="16">
        <v>0.26351532391029697</v>
      </c>
      <c r="L162">
        <v>63</v>
      </c>
      <c r="M162" s="16">
        <v>0.17522042728989601</v>
      </c>
      <c r="N162" s="11">
        <v>63</v>
      </c>
    </row>
    <row r="163" spans="1:14" outlineLevel="1" x14ac:dyDescent="0.25">
      <c r="A163" s="7" t="s">
        <v>15</v>
      </c>
      <c r="B163" s="9" t="s">
        <v>151</v>
      </c>
      <c r="C163" s="15">
        <v>0.25173895984292299</v>
      </c>
      <c r="D163" s="9">
        <v>314</v>
      </c>
      <c r="E163" s="15">
        <v>0.13440737420458601</v>
      </c>
      <c r="F163" s="9">
        <v>314</v>
      </c>
      <c r="G163" s="15">
        <v>0.29194465383531498</v>
      </c>
      <c r="H163" s="9">
        <v>176</v>
      </c>
      <c r="I163" s="15">
        <v>0.142768130989335</v>
      </c>
      <c r="J163" s="9">
        <v>176</v>
      </c>
      <c r="K163" s="15">
        <v>0.19698859369327601</v>
      </c>
      <c r="L163" s="9">
        <v>137</v>
      </c>
      <c r="M163" s="15">
        <v>0.12303935089095699</v>
      </c>
      <c r="N163" s="12">
        <v>137</v>
      </c>
    </row>
    <row r="164" spans="1:14" x14ac:dyDescent="0.25">
      <c r="C164" s="16"/>
      <c r="E164" s="16"/>
      <c r="G164" s="16"/>
      <c r="I164" s="16"/>
      <c r="K164" s="16"/>
      <c r="M164" s="16"/>
    </row>
    <row r="165" spans="1:14" x14ac:dyDescent="0.25">
      <c r="A165" s="19" t="s">
        <v>152</v>
      </c>
      <c r="B165" s="19"/>
      <c r="C165" s="20"/>
      <c r="D165" s="19"/>
      <c r="E165" s="20"/>
      <c r="F165" s="19"/>
      <c r="G165" s="20"/>
      <c r="H165" s="19"/>
      <c r="I165" s="20"/>
      <c r="J165" s="19"/>
      <c r="K165" s="20"/>
      <c r="L165" s="19"/>
      <c r="M165" s="20"/>
      <c r="N165" s="19"/>
    </row>
    <row r="166" spans="1:14" outlineLevel="1" x14ac:dyDescent="0.25">
      <c r="A166" s="5" t="s">
        <v>15</v>
      </c>
      <c r="B166" s="8" t="s">
        <v>186</v>
      </c>
      <c r="C166" s="14">
        <v>0.30739041589402299</v>
      </c>
      <c r="D166" s="8">
        <v>540</v>
      </c>
      <c r="E166" s="14">
        <v>0.17118743809533299</v>
      </c>
      <c r="F166" s="8">
        <v>540</v>
      </c>
      <c r="G166" s="14"/>
      <c r="H166" s="8"/>
      <c r="I166" s="14"/>
      <c r="J166" s="8"/>
      <c r="K166" s="14"/>
      <c r="L166" s="8"/>
      <c r="M166" s="14"/>
      <c r="N166" s="10"/>
    </row>
    <row r="167" spans="1:14" outlineLevel="1" x14ac:dyDescent="0.25">
      <c r="A167" s="6" t="s">
        <v>15</v>
      </c>
      <c r="B167" t="s">
        <v>187</v>
      </c>
      <c r="C167" s="16">
        <v>0.371428571428571</v>
      </c>
      <c r="D167">
        <v>70</v>
      </c>
      <c r="E167" s="16">
        <v>0.27142857142857102</v>
      </c>
      <c r="F167">
        <v>70</v>
      </c>
      <c r="G167" s="16"/>
      <c r="I167" s="16"/>
      <c r="K167" s="16"/>
      <c r="M167" s="16"/>
      <c r="N167" s="11"/>
    </row>
    <row r="168" spans="1:14" outlineLevel="1" x14ac:dyDescent="0.25">
      <c r="A168" s="6" t="s">
        <v>15</v>
      </c>
      <c r="B168" t="s">
        <v>188</v>
      </c>
      <c r="C168" s="16">
        <v>0.52940830448201504</v>
      </c>
      <c r="D168">
        <v>816</v>
      </c>
      <c r="E168" s="16">
        <v>0.39423942775463799</v>
      </c>
      <c r="F168">
        <v>816</v>
      </c>
      <c r="G168" s="16"/>
      <c r="I168" s="16"/>
      <c r="K168" s="16"/>
      <c r="M168" s="16"/>
      <c r="N168" s="11"/>
    </row>
    <row r="169" spans="1:14" outlineLevel="1" x14ac:dyDescent="0.25">
      <c r="A169" s="6" t="s">
        <v>15</v>
      </c>
      <c r="B169" t="s">
        <v>189</v>
      </c>
      <c r="C169" s="16">
        <v>0.259433931018905</v>
      </c>
      <c r="D169">
        <v>446</v>
      </c>
      <c r="E169" s="16">
        <v>0.149628452627765</v>
      </c>
      <c r="F169">
        <v>446</v>
      </c>
      <c r="G169" s="16"/>
      <c r="I169" s="16"/>
      <c r="K169" s="16"/>
      <c r="M169" s="16"/>
      <c r="N169" s="11"/>
    </row>
    <row r="170" spans="1:14" outlineLevel="1" x14ac:dyDescent="0.25">
      <c r="A170" s="6" t="s">
        <v>15</v>
      </c>
      <c r="B170" t="s">
        <v>190</v>
      </c>
      <c r="C170" s="16">
        <v>0.28959702431460899</v>
      </c>
      <c r="D170">
        <v>265</v>
      </c>
      <c r="E170" s="16">
        <v>0.12589081503084701</v>
      </c>
      <c r="F170">
        <v>265</v>
      </c>
      <c r="G170" s="16"/>
      <c r="I170" s="16"/>
      <c r="K170" s="16"/>
      <c r="M170" s="16"/>
      <c r="N170" s="11"/>
    </row>
    <row r="171" spans="1:14" outlineLevel="1" x14ac:dyDescent="0.25">
      <c r="A171" s="6" t="s">
        <v>15</v>
      </c>
      <c r="B171" t="s">
        <v>191</v>
      </c>
      <c r="C171" s="16">
        <v>0.32636017947364798</v>
      </c>
      <c r="D171">
        <v>275</v>
      </c>
      <c r="E171" s="16">
        <v>0.21947875044316001</v>
      </c>
      <c r="F171">
        <v>275</v>
      </c>
      <c r="G171" s="16"/>
      <c r="I171" s="16"/>
      <c r="K171" s="16"/>
      <c r="M171" s="16"/>
      <c r="N171" s="11"/>
    </row>
    <row r="172" spans="1:14" outlineLevel="1" x14ac:dyDescent="0.25">
      <c r="A172" s="6" t="s">
        <v>15</v>
      </c>
      <c r="B172" t="s">
        <v>192</v>
      </c>
      <c r="C172" s="16">
        <v>0.41666666666666702</v>
      </c>
      <c r="D172">
        <v>36</v>
      </c>
      <c r="E172" s="16">
        <v>0.27777777777777801</v>
      </c>
      <c r="F172">
        <v>36</v>
      </c>
      <c r="G172" s="16"/>
      <c r="I172" s="16"/>
      <c r="K172" s="16"/>
      <c r="M172" s="16"/>
      <c r="N172" s="11"/>
    </row>
    <row r="173" spans="1:14" outlineLevel="1" x14ac:dyDescent="0.25">
      <c r="A173" s="6" t="s">
        <v>15</v>
      </c>
      <c r="B173" t="s">
        <v>193</v>
      </c>
      <c r="C173" s="16">
        <v>0.32352941176470601</v>
      </c>
      <c r="D173">
        <v>34</v>
      </c>
      <c r="E173" s="16">
        <v>0.26470588235294101</v>
      </c>
      <c r="F173">
        <v>34</v>
      </c>
      <c r="G173" s="16"/>
      <c r="I173" s="16"/>
      <c r="K173" s="16"/>
      <c r="M173" s="16"/>
      <c r="N173" s="11"/>
    </row>
    <row r="174" spans="1:14" outlineLevel="1" x14ac:dyDescent="0.25">
      <c r="A174" s="6" t="s">
        <v>15</v>
      </c>
      <c r="B174" t="s">
        <v>194</v>
      </c>
      <c r="C174" s="16">
        <v>0.51179054650711997</v>
      </c>
      <c r="D174">
        <v>386</v>
      </c>
      <c r="E174" s="16">
        <v>0.37968951875668799</v>
      </c>
      <c r="F174">
        <v>386</v>
      </c>
      <c r="G174" s="16"/>
      <c r="I174" s="16"/>
      <c r="K174" s="16"/>
      <c r="M174" s="16"/>
      <c r="N174" s="11"/>
    </row>
    <row r="175" spans="1:14" outlineLevel="1" x14ac:dyDescent="0.25">
      <c r="A175" s="6" t="s">
        <v>15</v>
      </c>
      <c r="B175" t="s">
        <v>195</v>
      </c>
      <c r="C175" s="16">
        <v>0.54552949235389903</v>
      </c>
      <c r="D175">
        <v>430</v>
      </c>
      <c r="E175" s="16">
        <v>0.40755337024431398</v>
      </c>
      <c r="F175">
        <v>430</v>
      </c>
      <c r="G175" s="16"/>
      <c r="I175" s="16"/>
      <c r="K175" s="16"/>
      <c r="M175" s="16"/>
      <c r="N175" s="11"/>
    </row>
    <row r="176" spans="1:14" outlineLevel="1" x14ac:dyDescent="0.25">
      <c r="A176" s="6" t="s">
        <v>15</v>
      </c>
      <c r="B176" t="s">
        <v>196</v>
      </c>
      <c r="C176" s="16">
        <v>0.214732727221185</v>
      </c>
      <c r="D176">
        <v>200</v>
      </c>
      <c r="E176" s="16">
        <v>0.136957184883885</v>
      </c>
      <c r="F176">
        <v>200</v>
      </c>
      <c r="G176" s="16"/>
      <c r="I176" s="16"/>
      <c r="K176" s="16"/>
      <c r="M176" s="16"/>
      <c r="N176" s="11"/>
    </row>
    <row r="177" spans="1:14" outlineLevel="1" x14ac:dyDescent="0.25">
      <c r="A177" s="7" t="s">
        <v>15</v>
      </c>
      <c r="B177" s="9" t="s">
        <v>197</v>
      </c>
      <c r="C177" s="15">
        <v>0.29309941419734897</v>
      </c>
      <c r="D177" s="9">
        <v>245</v>
      </c>
      <c r="E177" s="15">
        <v>0.159180316317765</v>
      </c>
      <c r="F177" s="9">
        <v>245</v>
      </c>
      <c r="G177" s="15"/>
      <c r="H177" s="9"/>
      <c r="I177" s="15"/>
      <c r="J177" s="9"/>
      <c r="K177" s="15"/>
      <c r="L177" s="9"/>
      <c r="M177" s="15"/>
      <c r="N177" s="12"/>
    </row>
    <row r="178" spans="1:14" x14ac:dyDescent="0.25">
      <c r="C178" s="16"/>
      <c r="E178" s="16"/>
      <c r="G178" s="16"/>
      <c r="I178" s="16"/>
      <c r="K178" s="16"/>
      <c r="M178" s="16"/>
    </row>
    <row r="179" spans="1:14" x14ac:dyDescent="0.25">
      <c r="C179" s="16"/>
      <c r="E179" s="16"/>
      <c r="G179" s="16"/>
      <c r="I179" s="16"/>
      <c r="K179" s="16"/>
      <c r="M179" s="16"/>
    </row>
  </sheetData>
  <mergeCells count="28">
    <mergeCell ref="A133:N133"/>
    <mergeCell ref="A139:N139"/>
    <mergeCell ref="A145:N145"/>
    <mergeCell ref="A155:N155"/>
    <mergeCell ref="A165:N165"/>
    <mergeCell ref="A90:N90"/>
    <mergeCell ref="A96:N96"/>
    <mergeCell ref="A111:N111"/>
    <mergeCell ref="A118:N118"/>
    <mergeCell ref="A125:N125"/>
    <mergeCell ref="A6:N6"/>
    <mergeCell ref="A9:N9"/>
    <mergeCell ref="A29:N29"/>
    <mergeCell ref="A74:N74"/>
    <mergeCell ref="A80:N80"/>
    <mergeCell ref="E4:F4"/>
    <mergeCell ref="C4:D4"/>
    <mergeCell ref="I4:J4"/>
    <mergeCell ref="G4:H4"/>
    <mergeCell ref="M4:N4"/>
    <mergeCell ref="K4:L4"/>
    <mergeCell ref="A1:N1"/>
    <mergeCell ref="C2:F2"/>
    <mergeCell ref="G2:J2"/>
    <mergeCell ref="K2:N2"/>
    <mergeCell ref="E3:F3"/>
    <mergeCell ref="I3:J3"/>
    <mergeCell ref="M3:N3"/>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174"/>
  <sheetViews>
    <sheetView showGridLines="0" tabSelected="1" topLeftCell="F142" workbookViewId="0">
      <selection activeCell="B167" sqref="B167"/>
    </sheetView>
  </sheetViews>
  <sheetFormatPr defaultColWidth="11.42578125" defaultRowHeight="15" outlineLevelRow="1" x14ac:dyDescent="0.25"/>
  <cols>
    <col min="9" max="9" width="11.42578125" style="26"/>
    <col min="13" max="13" width="11.42578125" style="33"/>
  </cols>
  <sheetData>
    <row r="1" spans="1:38" x14ac:dyDescent="0.25">
      <c r="A1" s="18" t="s">
        <v>207</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row>
    <row r="2" spans="1:38" x14ac:dyDescent="0.25">
      <c r="C2" s="19" t="s">
        <v>2</v>
      </c>
      <c r="D2" s="19"/>
      <c r="E2" s="19"/>
      <c r="F2" s="19"/>
      <c r="G2" s="19"/>
      <c r="H2" s="19"/>
      <c r="I2" s="19"/>
      <c r="J2" s="19"/>
      <c r="K2" s="19"/>
      <c r="L2" s="19"/>
      <c r="M2" s="19"/>
      <c r="N2" s="19"/>
      <c r="O2" s="19" t="s">
        <v>3</v>
      </c>
      <c r="P2" s="19"/>
      <c r="Q2" s="19"/>
      <c r="R2" s="19"/>
      <c r="S2" s="19"/>
      <c r="T2" s="19"/>
      <c r="U2" s="19"/>
      <c r="V2" s="19"/>
      <c r="W2" s="19"/>
      <c r="X2" s="19"/>
      <c r="Y2" s="19"/>
      <c r="Z2" s="19"/>
      <c r="AA2" s="19" t="s">
        <v>4</v>
      </c>
      <c r="AB2" s="19"/>
      <c r="AC2" s="19"/>
      <c r="AD2" s="19"/>
      <c r="AE2" s="19"/>
      <c r="AF2" s="19"/>
      <c r="AG2" s="19"/>
      <c r="AH2" s="19"/>
      <c r="AI2" s="19"/>
      <c r="AJ2" s="19"/>
      <c r="AK2" s="19"/>
      <c r="AL2" s="19"/>
    </row>
    <row r="3" spans="1:38" x14ac:dyDescent="0.25">
      <c r="E3" s="19" t="s">
        <v>208</v>
      </c>
      <c r="F3" s="19"/>
      <c r="G3" s="19"/>
      <c r="H3" s="19"/>
      <c r="I3" s="19"/>
      <c r="J3" s="19"/>
      <c r="K3" s="19"/>
      <c r="L3" s="19"/>
      <c r="M3" s="19"/>
      <c r="N3" s="19"/>
      <c r="Q3" s="19" t="s">
        <v>208</v>
      </c>
      <c r="R3" s="19"/>
      <c r="S3" s="19"/>
      <c r="T3" s="19"/>
      <c r="U3" s="19"/>
      <c r="V3" s="19"/>
      <c r="W3" s="19"/>
      <c r="X3" s="19"/>
      <c r="Y3" s="19"/>
      <c r="Z3" s="19"/>
      <c r="AC3" s="19" t="s">
        <v>208</v>
      </c>
      <c r="AD3" s="19"/>
      <c r="AE3" s="19"/>
      <c r="AF3" s="19"/>
      <c r="AG3" s="19"/>
      <c r="AH3" s="19"/>
      <c r="AI3" s="19"/>
      <c r="AJ3" s="19"/>
      <c r="AK3" s="19"/>
      <c r="AL3" s="19"/>
    </row>
    <row r="4" spans="1:38" x14ac:dyDescent="0.25">
      <c r="C4" s="19" t="s">
        <v>214</v>
      </c>
      <c r="D4" s="19"/>
      <c r="E4" s="19" t="s">
        <v>209</v>
      </c>
      <c r="F4" s="19"/>
      <c r="G4" s="19" t="s">
        <v>210</v>
      </c>
      <c r="H4" s="19"/>
      <c r="I4" s="19" t="s">
        <v>211</v>
      </c>
      <c r="J4" s="19"/>
      <c r="K4" s="19" t="s">
        <v>212</v>
      </c>
      <c r="L4" s="19"/>
      <c r="M4" s="27" t="s">
        <v>213</v>
      </c>
      <c r="N4" s="27"/>
      <c r="O4" s="19" t="s">
        <v>214</v>
      </c>
      <c r="P4" s="19"/>
      <c r="Q4" s="19" t="s">
        <v>209</v>
      </c>
      <c r="R4" s="19"/>
      <c r="S4" s="19" t="s">
        <v>210</v>
      </c>
      <c r="T4" s="19"/>
      <c r="U4" s="19" t="s">
        <v>211</v>
      </c>
      <c r="V4" s="19"/>
      <c r="W4" s="19" t="s">
        <v>212</v>
      </c>
      <c r="X4" s="19"/>
      <c r="Y4" s="19" t="s">
        <v>213</v>
      </c>
      <c r="Z4" s="19"/>
      <c r="AA4" s="19" t="s">
        <v>214</v>
      </c>
      <c r="AB4" s="19"/>
      <c r="AC4" s="19" t="s">
        <v>209</v>
      </c>
      <c r="AD4" s="19"/>
      <c r="AE4" s="19" t="s">
        <v>210</v>
      </c>
      <c r="AF4" s="19"/>
      <c r="AG4" s="19" t="s">
        <v>211</v>
      </c>
      <c r="AH4" s="19"/>
      <c r="AI4" s="19" t="s">
        <v>212</v>
      </c>
      <c r="AJ4" s="19"/>
      <c r="AK4" s="19" t="s">
        <v>213</v>
      </c>
      <c r="AL4" s="19"/>
    </row>
    <row r="5" spans="1:38" x14ac:dyDescent="0.25">
      <c r="A5" s="1" t="s">
        <v>11</v>
      </c>
      <c r="B5" s="1" t="s">
        <v>12</v>
      </c>
      <c r="C5" s="1" t="s">
        <v>13</v>
      </c>
      <c r="D5" s="1" t="s">
        <v>14</v>
      </c>
      <c r="E5" s="1" t="s">
        <v>13</v>
      </c>
      <c r="F5" s="1" t="s">
        <v>14</v>
      </c>
      <c r="G5" s="1" t="s">
        <v>13</v>
      </c>
      <c r="H5" s="1" t="s">
        <v>14</v>
      </c>
      <c r="I5" s="21" t="s">
        <v>13</v>
      </c>
      <c r="J5" s="1" t="s">
        <v>14</v>
      </c>
      <c r="K5" s="1" t="s">
        <v>13</v>
      </c>
      <c r="L5" s="1" t="s">
        <v>14</v>
      </c>
      <c r="M5" s="28" t="s">
        <v>13</v>
      </c>
      <c r="N5" s="1" t="s">
        <v>14</v>
      </c>
      <c r="O5" s="1" t="s">
        <v>13</v>
      </c>
      <c r="P5" s="1" t="s">
        <v>14</v>
      </c>
      <c r="Q5" s="1" t="s">
        <v>13</v>
      </c>
      <c r="R5" s="1" t="s">
        <v>14</v>
      </c>
      <c r="S5" s="1" t="s">
        <v>13</v>
      </c>
      <c r="T5" s="1" t="s">
        <v>14</v>
      </c>
      <c r="U5" s="1" t="s">
        <v>13</v>
      </c>
      <c r="V5" s="1" t="s">
        <v>14</v>
      </c>
      <c r="W5" s="1" t="s">
        <v>13</v>
      </c>
      <c r="X5" s="1" t="s">
        <v>14</v>
      </c>
      <c r="Y5" s="1" t="s">
        <v>13</v>
      </c>
      <c r="Z5" s="1" t="s">
        <v>14</v>
      </c>
      <c r="AA5" s="1" t="s">
        <v>13</v>
      </c>
      <c r="AB5" s="1" t="s">
        <v>14</v>
      </c>
      <c r="AC5" s="1" t="s">
        <v>13</v>
      </c>
      <c r="AD5" s="1" t="s">
        <v>14</v>
      </c>
      <c r="AE5" s="1" t="s">
        <v>13</v>
      </c>
      <c r="AF5" s="1" t="s">
        <v>14</v>
      </c>
      <c r="AG5" s="1" t="s">
        <v>13</v>
      </c>
      <c r="AH5" s="1" t="s">
        <v>14</v>
      </c>
      <c r="AI5" s="1" t="s">
        <v>13</v>
      </c>
      <c r="AJ5" s="1" t="s">
        <v>14</v>
      </c>
      <c r="AK5" s="1" t="s">
        <v>13</v>
      </c>
      <c r="AL5" s="1" t="s">
        <v>14</v>
      </c>
    </row>
    <row r="6" spans="1:38" x14ac:dyDescent="0.25">
      <c r="A6" s="19" t="s">
        <v>2</v>
      </c>
      <c r="B6" s="19"/>
      <c r="C6" s="20"/>
      <c r="D6" s="19"/>
      <c r="E6" s="20"/>
      <c r="F6" s="19"/>
      <c r="G6" s="20"/>
      <c r="H6" s="19"/>
      <c r="I6" s="20"/>
      <c r="J6" s="19"/>
      <c r="K6" s="20"/>
      <c r="L6" s="19"/>
      <c r="M6" s="20"/>
      <c r="N6" s="19"/>
      <c r="O6" s="20"/>
      <c r="P6" s="19"/>
      <c r="Q6" s="20"/>
      <c r="R6" s="19"/>
      <c r="S6" s="20"/>
      <c r="T6" s="19"/>
      <c r="U6" s="20"/>
      <c r="V6" s="19"/>
      <c r="W6" s="20"/>
      <c r="X6" s="19"/>
      <c r="Y6" s="20"/>
      <c r="Z6" s="19"/>
      <c r="AA6" s="20"/>
      <c r="AB6" s="19"/>
      <c r="AC6" s="20"/>
      <c r="AD6" s="19"/>
      <c r="AE6" s="20"/>
      <c r="AF6" s="19"/>
      <c r="AG6" s="20"/>
      <c r="AH6" s="19"/>
      <c r="AI6" s="20"/>
      <c r="AJ6" s="19"/>
      <c r="AK6" s="20"/>
      <c r="AL6" s="19"/>
    </row>
    <row r="7" spans="1:38" outlineLevel="1" x14ac:dyDescent="0.25">
      <c r="A7" s="2" t="s">
        <v>15</v>
      </c>
      <c r="B7" s="3" t="s">
        <v>2</v>
      </c>
      <c r="C7" s="13">
        <v>0.20767692260252499</v>
      </c>
      <c r="D7" s="3">
        <v>8633</v>
      </c>
      <c r="E7" s="13">
        <v>0.61779274941053897</v>
      </c>
      <c r="F7" s="3">
        <v>8682</v>
      </c>
      <c r="G7" s="13">
        <v>0.112418207972076</v>
      </c>
      <c r="H7" s="3">
        <v>8682</v>
      </c>
      <c r="I7" s="22">
        <v>0.72072180339748004</v>
      </c>
      <c r="J7" s="3">
        <v>8682</v>
      </c>
      <c r="K7" s="13">
        <v>9.4097648490010094E-2</v>
      </c>
      <c r="L7" s="3">
        <v>8682</v>
      </c>
      <c r="M7" s="29">
        <v>0.82431697899277001</v>
      </c>
      <c r="N7" s="3">
        <v>8682</v>
      </c>
      <c r="O7" s="13">
        <v>0.20821630035288399</v>
      </c>
      <c r="P7" s="3">
        <v>4359</v>
      </c>
      <c r="Q7" s="13">
        <v>0.62190832448212297</v>
      </c>
      <c r="R7" s="3">
        <v>4385</v>
      </c>
      <c r="S7" s="13">
        <v>0.11354876249835601</v>
      </c>
      <c r="T7" s="3">
        <v>4385</v>
      </c>
      <c r="U7" s="13">
        <v>0.72310337900675403</v>
      </c>
      <c r="V7" s="3">
        <v>4385</v>
      </c>
      <c r="W7" s="13">
        <v>9.3328227421050194E-2</v>
      </c>
      <c r="X7" s="3">
        <v>4385</v>
      </c>
      <c r="Y7" s="13">
        <v>0.82878531440152903</v>
      </c>
      <c r="Z7" s="3">
        <v>4385</v>
      </c>
      <c r="AA7" s="13">
        <v>0.207121567069879</v>
      </c>
      <c r="AB7" s="3">
        <v>4267</v>
      </c>
      <c r="AC7" s="13">
        <v>0.61340244618602602</v>
      </c>
      <c r="AD7" s="3">
        <v>4290</v>
      </c>
      <c r="AE7" s="13">
        <v>0.111205257640801</v>
      </c>
      <c r="AF7" s="3">
        <v>4290</v>
      </c>
      <c r="AG7" s="13">
        <v>0.71820372602942795</v>
      </c>
      <c r="AH7" s="3">
        <v>4290</v>
      </c>
      <c r="AI7" s="13">
        <v>9.4942404435647706E-2</v>
      </c>
      <c r="AJ7" s="3">
        <v>4290</v>
      </c>
      <c r="AK7" s="13">
        <v>0.81956736150531095</v>
      </c>
      <c r="AL7" s="4">
        <v>4290</v>
      </c>
    </row>
    <row r="8" spans="1:38" x14ac:dyDescent="0.25">
      <c r="C8" s="16"/>
      <c r="E8" s="16"/>
      <c r="G8" s="16"/>
      <c r="I8" s="23"/>
      <c r="K8" s="16"/>
      <c r="M8" s="30"/>
      <c r="O8" s="16"/>
      <c r="Q8" s="16"/>
      <c r="S8" s="16"/>
      <c r="U8" s="16"/>
      <c r="W8" s="16"/>
      <c r="Y8" s="16"/>
      <c r="AA8" s="16"/>
      <c r="AC8" s="16"/>
      <c r="AE8" s="16"/>
      <c r="AG8" s="16"/>
      <c r="AI8" s="16"/>
      <c r="AK8" s="16"/>
    </row>
    <row r="9" spans="1:38" x14ac:dyDescent="0.25">
      <c r="A9" s="19" t="s">
        <v>16</v>
      </c>
      <c r="B9" s="19"/>
      <c r="C9" s="20"/>
      <c r="D9" s="19"/>
      <c r="E9" s="20"/>
      <c r="F9" s="19"/>
      <c r="G9" s="20"/>
      <c r="H9" s="19"/>
      <c r="I9" s="20"/>
      <c r="J9" s="19"/>
      <c r="K9" s="20"/>
      <c r="L9" s="19"/>
      <c r="M9" s="20"/>
      <c r="N9" s="19"/>
      <c r="O9" s="20"/>
      <c r="P9" s="19"/>
      <c r="Q9" s="20"/>
      <c r="R9" s="19"/>
      <c r="S9" s="20"/>
      <c r="T9" s="19"/>
      <c r="U9" s="20"/>
      <c r="V9" s="19"/>
      <c r="W9" s="20"/>
      <c r="X9" s="19"/>
      <c r="Y9" s="20"/>
      <c r="Z9" s="19"/>
      <c r="AA9" s="20"/>
      <c r="AB9" s="19"/>
      <c r="AC9" s="20"/>
      <c r="AD9" s="19"/>
      <c r="AE9" s="20"/>
      <c r="AF9" s="19"/>
      <c r="AG9" s="20"/>
      <c r="AH9" s="19"/>
      <c r="AI9" s="20"/>
      <c r="AJ9" s="19"/>
      <c r="AK9" s="20"/>
      <c r="AL9" s="19"/>
    </row>
    <row r="10" spans="1:38" outlineLevel="1" x14ac:dyDescent="0.25">
      <c r="A10" s="5" t="s">
        <v>15</v>
      </c>
      <c r="B10" s="8" t="s">
        <v>17</v>
      </c>
      <c r="C10" s="14">
        <v>0.20917975675627901</v>
      </c>
      <c r="D10" s="8">
        <v>625</v>
      </c>
      <c r="E10" s="14">
        <v>0.66173775980251404</v>
      </c>
      <c r="F10" s="8">
        <v>625</v>
      </c>
      <c r="G10" s="14">
        <v>0.13326541473607501</v>
      </c>
      <c r="H10" s="8">
        <v>625</v>
      </c>
      <c r="I10" s="24">
        <v>0.75373936885094295</v>
      </c>
      <c r="J10" s="8">
        <v>625</v>
      </c>
      <c r="K10" s="14">
        <v>7.5914342020203501E-2</v>
      </c>
      <c r="L10" s="8">
        <v>625</v>
      </c>
      <c r="M10" s="31">
        <v>0.87091751655879301</v>
      </c>
      <c r="N10" s="8">
        <v>625</v>
      </c>
      <c r="O10" s="14">
        <v>0.232564374480935</v>
      </c>
      <c r="P10" s="8">
        <v>290</v>
      </c>
      <c r="Q10" s="14">
        <v>0.63148203772179001</v>
      </c>
      <c r="R10" s="8">
        <v>290</v>
      </c>
      <c r="S10" s="14">
        <v>0.15652091194729201</v>
      </c>
      <c r="T10" s="8">
        <v>290</v>
      </c>
      <c r="U10" s="14">
        <v>0.73304668424100095</v>
      </c>
      <c r="V10" s="8">
        <v>290</v>
      </c>
      <c r="W10" s="14">
        <v>7.6043462533643302E-2</v>
      </c>
      <c r="X10" s="8">
        <v>290</v>
      </c>
      <c r="Y10" s="14">
        <v>0.86404641220272504</v>
      </c>
      <c r="Z10" s="8">
        <v>290</v>
      </c>
      <c r="AA10" s="14">
        <v>0.19007406394707901</v>
      </c>
      <c r="AB10" s="8">
        <v>334</v>
      </c>
      <c r="AC10" s="14">
        <v>0.68752000077395103</v>
      </c>
      <c r="AD10" s="8">
        <v>334</v>
      </c>
      <c r="AE10" s="14">
        <v>0.114180005794932</v>
      </c>
      <c r="AF10" s="8">
        <v>334</v>
      </c>
      <c r="AG10" s="14">
        <v>0.77171578134524199</v>
      </c>
      <c r="AH10" s="8">
        <v>334</v>
      </c>
      <c r="AI10" s="14">
        <v>7.5894058152147101E-2</v>
      </c>
      <c r="AJ10" s="8">
        <v>334</v>
      </c>
      <c r="AK10" s="14">
        <v>0.87759406472102996</v>
      </c>
      <c r="AL10" s="10">
        <v>334</v>
      </c>
    </row>
    <row r="11" spans="1:38" outlineLevel="1" x14ac:dyDescent="0.25">
      <c r="A11" s="6" t="s">
        <v>15</v>
      </c>
      <c r="B11" t="s">
        <v>18</v>
      </c>
      <c r="C11" s="16">
        <v>0.225268330032172</v>
      </c>
      <c r="D11">
        <v>3398</v>
      </c>
      <c r="E11" s="16">
        <v>0.69724396294361102</v>
      </c>
      <c r="F11">
        <v>3410</v>
      </c>
      <c r="G11" s="16">
        <v>0.118560287281048</v>
      </c>
      <c r="H11">
        <v>3410</v>
      </c>
      <c r="I11" s="23">
        <v>0.81267887617526802</v>
      </c>
      <c r="J11">
        <v>3410</v>
      </c>
      <c r="K11" s="16">
        <v>0.106080925520719</v>
      </c>
      <c r="L11">
        <v>3410</v>
      </c>
      <c r="M11" s="30">
        <v>0.92188517574537798</v>
      </c>
      <c r="N11">
        <v>3410</v>
      </c>
      <c r="O11" s="16">
        <v>0.21984973175233</v>
      </c>
      <c r="P11">
        <v>1672</v>
      </c>
      <c r="Q11" s="16">
        <v>0.69778797988365004</v>
      </c>
      <c r="R11">
        <v>1677</v>
      </c>
      <c r="S11" s="16">
        <v>0.108409987094673</v>
      </c>
      <c r="T11">
        <v>1677</v>
      </c>
      <c r="U11" s="16">
        <v>0.81652178365791905</v>
      </c>
      <c r="V11">
        <v>1677</v>
      </c>
      <c r="W11" s="16">
        <v>0.110378173828792</v>
      </c>
      <c r="X11">
        <v>1677</v>
      </c>
      <c r="Y11" s="16">
        <v>0.91657614080711503</v>
      </c>
      <c r="Z11">
        <v>1677</v>
      </c>
      <c r="AA11" s="16">
        <v>0.230821206503036</v>
      </c>
      <c r="AB11">
        <v>1724</v>
      </c>
      <c r="AC11" s="16">
        <v>0.69678384859170095</v>
      </c>
      <c r="AD11">
        <v>1731</v>
      </c>
      <c r="AE11" s="16">
        <v>0.12916068056778901</v>
      </c>
      <c r="AF11">
        <v>1731</v>
      </c>
      <c r="AG11" s="16">
        <v>0.80870434013917403</v>
      </c>
      <c r="AH11">
        <v>1731</v>
      </c>
      <c r="AI11" s="16">
        <v>0.101514478019173</v>
      </c>
      <c r="AJ11">
        <v>1731</v>
      </c>
      <c r="AK11" s="16">
        <v>0.92745900717866203</v>
      </c>
      <c r="AL11" s="11">
        <v>1731</v>
      </c>
    </row>
    <row r="12" spans="1:38" outlineLevel="1" x14ac:dyDescent="0.25">
      <c r="A12" s="6" t="s">
        <v>15</v>
      </c>
      <c r="B12" t="s">
        <v>19</v>
      </c>
      <c r="C12" s="16">
        <v>0.213371858030691</v>
      </c>
      <c r="D12">
        <v>2758</v>
      </c>
      <c r="E12" s="16">
        <v>0.63884691630615797</v>
      </c>
      <c r="F12">
        <v>2775</v>
      </c>
      <c r="G12" s="16">
        <v>0.119816714525499</v>
      </c>
      <c r="H12">
        <v>2775</v>
      </c>
      <c r="I12" s="23">
        <v>0.73801234267222604</v>
      </c>
      <c r="J12">
        <v>2775</v>
      </c>
      <c r="K12" s="16">
        <v>9.1929527496198801E-2</v>
      </c>
      <c r="L12">
        <v>2775</v>
      </c>
      <c r="M12" s="30">
        <v>0.85061974697152698</v>
      </c>
      <c r="N12">
        <v>2775</v>
      </c>
      <c r="O12" s="16">
        <v>0.218566932587587</v>
      </c>
      <c r="P12">
        <v>1426</v>
      </c>
      <c r="Q12" s="16">
        <v>0.64973430861597503</v>
      </c>
      <c r="R12">
        <v>1434</v>
      </c>
      <c r="S12" s="16">
        <v>0.135426797139994</v>
      </c>
      <c r="T12">
        <v>1434</v>
      </c>
      <c r="U12" s="16">
        <v>0.738707458237012</v>
      </c>
      <c r="V12">
        <v>1434</v>
      </c>
      <c r="W12" s="16">
        <v>8.1817505153244305E-2</v>
      </c>
      <c r="X12">
        <v>1434</v>
      </c>
      <c r="Y12" s="16">
        <v>0.86697861090921302</v>
      </c>
      <c r="Z12">
        <v>1434</v>
      </c>
      <c r="AA12" s="16">
        <v>0.20775057596166999</v>
      </c>
      <c r="AB12">
        <v>1329</v>
      </c>
      <c r="AC12" s="16">
        <v>0.62639342800680997</v>
      </c>
      <c r="AD12">
        <v>1338</v>
      </c>
      <c r="AE12" s="16">
        <v>0.102519967857022</v>
      </c>
      <c r="AF12">
        <v>1338</v>
      </c>
      <c r="AG12" s="16">
        <v>0.737010955342709</v>
      </c>
      <c r="AH12">
        <v>1338</v>
      </c>
      <c r="AI12" s="16">
        <v>0.103282643271613</v>
      </c>
      <c r="AJ12">
        <v>1338</v>
      </c>
      <c r="AK12" s="16">
        <v>0.83225218611974605</v>
      </c>
      <c r="AL12" s="11">
        <v>1338</v>
      </c>
    </row>
    <row r="13" spans="1:38" outlineLevel="1" x14ac:dyDescent="0.25">
      <c r="A13" s="7" t="s">
        <v>15</v>
      </c>
      <c r="B13" s="9" t="s">
        <v>20</v>
      </c>
      <c r="C13" s="15">
        <v>0.16784784754400001</v>
      </c>
      <c r="D13" s="9">
        <v>1852</v>
      </c>
      <c r="E13" s="15">
        <v>0.43426890011193803</v>
      </c>
      <c r="F13" s="9">
        <v>1872</v>
      </c>
      <c r="G13" s="15">
        <v>8.4801276028841605E-2</v>
      </c>
      <c r="H13" s="9">
        <v>1872</v>
      </c>
      <c r="I13" s="25">
        <v>0.52370426727802599</v>
      </c>
      <c r="J13" s="9">
        <v>1872</v>
      </c>
      <c r="K13" s="15">
        <v>8.1472309570622695E-2</v>
      </c>
      <c r="L13" s="9">
        <v>1872</v>
      </c>
      <c r="M13" s="32">
        <v>0.60054248571140301</v>
      </c>
      <c r="N13" s="9">
        <v>1872</v>
      </c>
      <c r="O13" s="15">
        <v>0.166467126139236</v>
      </c>
      <c r="P13" s="9">
        <v>971</v>
      </c>
      <c r="Q13" s="15">
        <v>0.44742621964785201</v>
      </c>
      <c r="R13" s="9">
        <v>984</v>
      </c>
      <c r="S13" s="15">
        <v>7.9970589140582096E-2</v>
      </c>
      <c r="T13" s="9">
        <v>984</v>
      </c>
      <c r="U13" s="15">
        <v>0.53539528992888497</v>
      </c>
      <c r="V13" s="9">
        <v>984</v>
      </c>
      <c r="W13" s="15">
        <v>8.4588034088014505E-2</v>
      </c>
      <c r="X13" s="9">
        <v>984</v>
      </c>
      <c r="Y13" s="15">
        <v>0.61198484287644905</v>
      </c>
      <c r="Z13" s="9">
        <v>984</v>
      </c>
      <c r="AA13" s="15">
        <v>0.16933817785011299</v>
      </c>
      <c r="AB13" s="9">
        <v>880</v>
      </c>
      <c r="AC13" s="15">
        <v>0.42000601174586899</v>
      </c>
      <c r="AD13" s="9">
        <v>887</v>
      </c>
      <c r="AE13" s="15">
        <v>9.0038034020783503E-2</v>
      </c>
      <c r="AF13" s="9">
        <v>887</v>
      </c>
      <c r="AG13" s="15">
        <v>0.51103097641741002</v>
      </c>
      <c r="AH13" s="9">
        <v>887</v>
      </c>
      <c r="AI13" s="15">
        <v>7.8094766070556904E-2</v>
      </c>
      <c r="AJ13" s="9">
        <v>887</v>
      </c>
      <c r="AK13" s="15">
        <v>0.58813881183720895</v>
      </c>
      <c r="AL13" s="12">
        <v>887</v>
      </c>
    </row>
    <row r="14" spans="1:38" x14ac:dyDescent="0.25">
      <c r="C14" s="16"/>
      <c r="E14" s="16"/>
      <c r="G14" s="16"/>
      <c r="I14" s="23"/>
      <c r="K14" s="16"/>
      <c r="M14" s="30"/>
      <c r="O14" s="16"/>
      <c r="Q14" s="16"/>
      <c r="S14" s="16"/>
      <c r="U14" s="16"/>
      <c r="W14" s="16"/>
      <c r="Y14" s="16"/>
      <c r="AA14" s="16"/>
      <c r="AC14" s="16"/>
      <c r="AE14" s="16"/>
      <c r="AG14" s="16"/>
      <c r="AI14" s="16"/>
      <c r="AK14" s="16"/>
    </row>
    <row r="15" spans="1:38" x14ac:dyDescent="0.25">
      <c r="A15" s="19" t="s">
        <v>21</v>
      </c>
      <c r="B15" s="19"/>
      <c r="C15" s="20"/>
      <c r="D15" s="19"/>
      <c r="E15" s="20"/>
      <c r="F15" s="19"/>
      <c r="G15" s="20"/>
      <c r="H15" s="19"/>
      <c r="I15" s="20"/>
      <c r="J15" s="19"/>
      <c r="K15" s="20"/>
      <c r="L15" s="19"/>
      <c r="M15" s="20"/>
      <c r="N15" s="19"/>
      <c r="O15" s="20"/>
      <c r="P15" s="19"/>
      <c r="Q15" s="20"/>
      <c r="R15" s="19"/>
      <c r="S15" s="20"/>
      <c r="T15" s="19"/>
      <c r="U15" s="20"/>
      <c r="V15" s="19"/>
      <c r="W15" s="20"/>
      <c r="X15" s="19"/>
      <c r="Y15" s="20"/>
      <c r="Z15" s="19"/>
      <c r="AA15" s="20"/>
      <c r="AB15" s="19"/>
      <c r="AC15" s="20"/>
      <c r="AD15" s="19"/>
      <c r="AE15" s="20"/>
      <c r="AF15" s="19"/>
      <c r="AG15" s="20"/>
      <c r="AH15" s="19"/>
      <c r="AI15" s="20"/>
      <c r="AJ15" s="19"/>
      <c r="AK15" s="20"/>
      <c r="AL15" s="19"/>
    </row>
    <row r="16" spans="1:38" outlineLevel="1" x14ac:dyDescent="0.25">
      <c r="A16" s="5" t="s">
        <v>15</v>
      </c>
      <c r="B16" s="8" t="s">
        <v>22</v>
      </c>
      <c r="C16" s="14">
        <v>1.4671170833477E-2</v>
      </c>
      <c r="D16" s="8">
        <v>129</v>
      </c>
      <c r="E16" s="14">
        <v>0.90966688535011397</v>
      </c>
      <c r="F16" s="8">
        <v>131</v>
      </c>
      <c r="G16" s="14"/>
      <c r="H16" s="8"/>
      <c r="I16" s="24">
        <v>0.92411556089526703</v>
      </c>
      <c r="J16" s="8">
        <v>131</v>
      </c>
      <c r="K16" s="14">
        <v>1.44486755451524E-2</v>
      </c>
      <c r="L16" s="8">
        <v>131</v>
      </c>
      <c r="M16" s="31">
        <v>0.92411556089526703</v>
      </c>
      <c r="N16" s="8">
        <v>131</v>
      </c>
      <c r="O16" s="14">
        <v>2.8671978888537699E-2</v>
      </c>
      <c r="P16" s="8">
        <v>66</v>
      </c>
      <c r="Q16" s="14">
        <v>0.91348017233530499</v>
      </c>
      <c r="R16" s="8">
        <v>66</v>
      </c>
      <c r="S16" s="14"/>
      <c r="T16" s="8"/>
      <c r="U16" s="14">
        <v>0.94215215122384299</v>
      </c>
      <c r="V16" s="8">
        <v>66</v>
      </c>
      <c r="W16" s="14">
        <v>2.8671978888537699E-2</v>
      </c>
      <c r="X16" s="8">
        <v>66</v>
      </c>
      <c r="Y16" s="14">
        <v>0.94215215122384299</v>
      </c>
      <c r="Z16" s="8">
        <v>66</v>
      </c>
      <c r="AA16" s="14"/>
      <c r="AB16" s="8"/>
      <c r="AC16" s="14">
        <v>0.90579317577088303</v>
      </c>
      <c r="AD16" s="8">
        <v>65</v>
      </c>
      <c r="AE16" s="14"/>
      <c r="AF16" s="8"/>
      <c r="AG16" s="14">
        <v>0.90579317577088303</v>
      </c>
      <c r="AH16" s="8">
        <v>65</v>
      </c>
      <c r="AI16" s="14"/>
      <c r="AJ16" s="8"/>
      <c r="AK16" s="14">
        <v>0.90579317577088303</v>
      </c>
      <c r="AL16" s="10">
        <v>65</v>
      </c>
    </row>
    <row r="17" spans="1:38" outlineLevel="1" x14ac:dyDescent="0.25">
      <c r="A17" s="6" t="s">
        <v>15</v>
      </c>
      <c r="B17" t="s">
        <v>23</v>
      </c>
      <c r="C17" s="16">
        <v>6.2350520261355902E-2</v>
      </c>
      <c r="D17">
        <v>544</v>
      </c>
      <c r="E17" s="16">
        <v>0.76183365843369799</v>
      </c>
      <c r="F17">
        <v>546</v>
      </c>
      <c r="G17" s="16">
        <v>4.0544773271409901E-2</v>
      </c>
      <c r="H17">
        <v>546</v>
      </c>
      <c r="I17" s="23">
        <v>0.78733853977631796</v>
      </c>
      <c r="J17">
        <v>546</v>
      </c>
      <c r="K17" s="16">
        <v>2.1282114038116001E-2</v>
      </c>
      <c r="L17">
        <v>546</v>
      </c>
      <c r="M17" s="30">
        <v>0.823660545743224</v>
      </c>
      <c r="N17">
        <v>546</v>
      </c>
      <c r="O17" s="16">
        <v>7.4745619999257107E-2</v>
      </c>
      <c r="P17">
        <v>288</v>
      </c>
      <c r="Q17" s="16">
        <v>0.78382683022036803</v>
      </c>
      <c r="R17">
        <v>290</v>
      </c>
      <c r="S17" s="16">
        <v>4.9868405556192999E-2</v>
      </c>
      <c r="T17">
        <v>290</v>
      </c>
      <c r="U17" s="16">
        <v>0.81533473288829805</v>
      </c>
      <c r="V17">
        <v>290</v>
      </c>
      <c r="W17" s="16">
        <v>2.3719429762994598E-2</v>
      </c>
      <c r="X17">
        <v>290</v>
      </c>
      <c r="Y17" s="16">
        <v>0.85741466553955503</v>
      </c>
      <c r="Z17">
        <v>290</v>
      </c>
      <c r="AA17" s="16">
        <v>4.78987192860224E-2</v>
      </c>
      <c r="AB17">
        <v>256</v>
      </c>
      <c r="AC17" s="16">
        <v>0.73578774854932005</v>
      </c>
      <c r="AD17">
        <v>256</v>
      </c>
      <c r="AE17" s="16">
        <v>2.9503051384267901E-2</v>
      </c>
      <c r="AF17">
        <v>256</v>
      </c>
      <c r="AG17" s="16">
        <v>0.75418341645107401</v>
      </c>
      <c r="AH17">
        <v>256</v>
      </c>
      <c r="AI17" s="16">
        <v>1.8395667901754401E-2</v>
      </c>
      <c r="AJ17">
        <v>256</v>
      </c>
      <c r="AK17" s="16">
        <v>0.78368646783534202</v>
      </c>
      <c r="AL17" s="11">
        <v>256</v>
      </c>
    </row>
    <row r="18" spans="1:38" outlineLevel="1" x14ac:dyDescent="0.25">
      <c r="A18" s="6" t="s">
        <v>15</v>
      </c>
      <c r="B18" t="s">
        <v>24</v>
      </c>
      <c r="C18" s="16">
        <v>2.3152306852431598E-2</v>
      </c>
      <c r="D18">
        <v>126</v>
      </c>
      <c r="E18" s="16">
        <v>0.81655749309167303</v>
      </c>
      <c r="F18">
        <v>126</v>
      </c>
      <c r="G18" s="16">
        <v>2.3152306852431598E-2</v>
      </c>
      <c r="H18">
        <v>126</v>
      </c>
      <c r="I18" s="23">
        <v>0.81655749309167303</v>
      </c>
      <c r="J18">
        <v>126</v>
      </c>
      <c r="K18" s="16"/>
      <c r="M18" s="30">
        <v>0.839709799944105</v>
      </c>
      <c r="N18">
        <v>126</v>
      </c>
      <c r="O18" s="16">
        <v>1.58827247422875E-2</v>
      </c>
      <c r="P18">
        <v>61</v>
      </c>
      <c r="Q18" s="16">
        <v>0.83569795462640395</v>
      </c>
      <c r="R18">
        <v>61</v>
      </c>
      <c r="S18" s="16">
        <v>1.58827247422875E-2</v>
      </c>
      <c r="T18">
        <v>61</v>
      </c>
      <c r="U18" s="16">
        <v>0.83569795462640395</v>
      </c>
      <c r="V18">
        <v>61</v>
      </c>
      <c r="W18" s="16"/>
      <c r="Y18" s="16">
        <v>0.85158067936869097</v>
      </c>
      <c r="Z18">
        <v>61</v>
      </c>
      <c r="AA18" s="16">
        <v>3.0023163602688599E-2</v>
      </c>
      <c r="AB18">
        <v>65</v>
      </c>
      <c r="AC18" s="16">
        <v>0.79846685633341596</v>
      </c>
      <c r="AD18">
        <v>65</v>
      </c>
      <c r="AE18" s="16">
        <v>3.0023163602688599E-2</v>
      </c>
      <c r="AF18">
        <v>65</v>
      </c>
      <c r="AG18" s="16">
        <v>0.79846685633341596</v>
      </c>
      <c r="AH18">
        <v>65</v>
      </c>
      <c r="AI18" s="16"/>
      <c r="AK18" s="16">
        <v>0.82849001993610505</v>
      </c>
      <c r="AL18" s="11">
        <v>65</v>
      </c>
    </row>
    <row r="19" spans="1:38" outlineLevel="1" x14ac:dyDescent="0.25">
      <c r="A19" s="6" t="s">
        <v>15</v>
      </c>
      <c r="B19" t="s">
        <v>25</v>
      </c>
      <c r="C19" s="16">
        <v>0.458634878952559</v>
      </c>
      <c r="D19">
        <v>775</v>
      </c>
      <c r="E19" s="16">
        <v>0.23647506686567499</v>
      </c>
      <c r="F19">
        <v>776</v>
      </c>
      <c r="G19" s="16">
        <v>0.35702129869086502</v>
      </c>
      <c r="H19">
        <v>776</v>
      </c>
      <c r="I19" s="23">
        <v>0.340827535128017</v>
      </c>
      <c r="J19">
        <v>776</v>
      </c>
      <c r="K19" s="16">
        <v>0.10143959885551</v>
      </c>
      <c r="L19">
        <v>776</v>
      </c>
      <c r="M19" s="30">
        <v>0.69493596441204997</v>
      </c>
      <c r="N19">
        <v>776</v>
      </c>
      <c r="O19" s="16">
        <v>0.45415087426302497</v>
      </c>
      <c r="P19">
        <v>399</v>
      </c>
      <c r="Q19" s="16">
        <v>0.241529862856635</v>
      </c>
      <c r="R19">
        <v>400</v>
      </c>
      <c r="S19" s="16">
        <v>0.35223875895633799</v>
      </c>
      <c r="T19">
        <v>400</v>
      </c>
      <c r="U19" s="16">
        <v>0.34805214342456597</v>
      </c>
      <c r="V19">
        <v>400</v>
      </c>
      <c r="W19" s="16">
        <v>0.101575749559975</v>
      </c>
      <c r="X19">
        <v>400</v>
      </c>
      <c r="Y19" s="16">
        <v>0.69534437137294802</v>
      </c>
      <c r="Z19">
        <v>400</v>
      </c>
      <c r="AA19" s="16">
        <v>0.46333934604163102</v>
      </c>
      <c r="AB19">
        <v>376</v>
      </c>
      <c r="AC19" s="16">
        <v>0.23116781391367699</v>
      </c>
      <c r="AD19">
        <v>376</v>
      </c>
      <c r="AE19" s="16">
        <v>0.36204269780756798</v>
      </c>
      <c r="AF19">
        <v>376</v>
      </c>
      <c r="AG19" s="16">
        <v>0.333242100665883</v>
      </c>
      <c r="AH19">
        <v>376</v>
      </c>
      <c r="AI19" s="16">
        <v>0.10129664823406399</v>
      </c>
      <c r="AJ19">
        <v>376</v>
      </c>
      <c r="AK19" s="16">
        <v>0.69450715995530898</v>
      </c>
      <c r="AL19" s="11">
        <v>376</v>
      </c>
    </row>
    <row r="20" spans="1:38" outlineLevel="1" x14ac:dyDescent="0.25">
      <c r="A20" s="6" t="s">
        <v>15</v>
      </c>
      <c r="B20" t="s">
        <v>26</v>
      </c>
      <c r="C20" s="16">
        <v>0.32048629514273003</v>
      </c>
      <c r="D20">
        <v>597</v>
      </c>
      <c r="E20" s="16">
        <v>0.57676705736644696</v>
      </c>
      <c r="F20">
        <v>604</v>
      </c>
      <c r="G20" s="16">
        <v>0.149962510268216</v>
      </c>
      <c r="H20">
        <v>604</v>
      </c>
      <c r="I20" s="23">
        <v>0.74710543619073799</v>
      </c>
      <c r="J20">
        <v>604</v>
      </c>
      <c r="K20" s="16">
        <v>0.17002567025489401</v>
      </c>
      <c r="L20">
        <v>604</v>
      </c>
      <c r="M20" s="30">
        <v>0.89675523788955702</v>
      </c>
      <c r="N20">
        <v>604</v>
      </c>
      <c r="O20" s="16">
        <v>0.337882052792494</v>
      </c>
      <c r="P20">
        <v>317</v>
      </c>
      <c r="Q20" s="16">
        <v>0.57963577394474197</v>
      </c>
      <c r="R20">
        <v>318</v>
      </c>
      <c r="S20" s="16">
        <v>0.17097795691632001</v>
      </c>
      <c r="T20">
        <v>318</v>
      </c>
      <c r="U20" s="16">
        <v>0.74667371397249005</v>
      </c>
      <c r="V20">
        <v>318</v>
      </c>
      <c r="W20" s="16">
        <v>0.16683579454575601</v>
      </c>
      <c r="X20">
        <v>318</v>
      </c>
      <c r="Y20" s="16">
        <v>0.91744952540681801</v>
      </c>
      <c r="Z20">
        <v>318</v>
      </c>
      <c r="AA20" s="16">
        <v>0.30191456895061197</v>
      </c>
      <c r="AB20">
        <v>280</v>
      </c>
      <c r="AC20" s="16">
        <v>0.57371296434792196</v>
      </c>
      <c r="AD20">
        <v>286</v>
      </c>
      <c r="AE20" s="16">
        <v>0.12758904564129001</v>
      </c>
      <c r="AF20">
        <v>286</v>
      </c>
      <c r="AG20" s="16">
        <v>0.74756505629495895</v>
      </c>
      <c r="AH20">
        <v>286</v>
      </c>
      <c r="AI20" s="16">
        <v>0.17342167570449199</v>
      </c>
      <c r="AJ20">
        <v>286</v>
      </c>
      <c r="AK20" s="16">
        <v>0.87472368569370396</v>
      </c>
      <c r="AL20" s="11">
        <v>286</v>
      </c>
    </row>
    <row r="21" spans="1:38" outlineLevel="1" x14ac:dyDescent="0.25">
      <c r="A21" s="6" t="s">
        <v>15</v>
      </c>
      <c r="B21" t="s">
        <v>27</v>
      </c>
      <c r="C21" s="16">
        <v>0.74875143357354801</v>
      </c>
      <c r="D21">
        <v>830</v>
      </c>
      <c r="E21" s="16">
        <v>1.8904876367509201E-2</v>
      </c>
      <c r="F21">
        <v>830</v>
      </c>
      <c r="G21" s="16">
        <v>0.36188076221033499</v>
      </c>
      <c r="H21">
        <v>830</v>
      </c>
      <c r="I21" s="23">
        <v>0.405775547730723</v>
      </c>
      <c r="J21">
        <v>830</v>
      </c>
      <c r="K21" s="16">
        <v>0.38687067136321401</v>
      </c>
      <c r="L21">
        <v>830</v>
      </c>
      <c r="M21" s="30">
        <v>0.76765630994105705</v>
      </c>
      <c r="N21">
        <v>830</v>
      </c>
      <c r="O21" s="16">
        <v>0.78695478221469595</v>
      </c>
      <c r="P21">
        <v>402</v>
      </c>
      <c r="Q21" s="16">
        <v>7.9833356463001603E-3</v>
      </c>
      <c r="R21">
        <v>402</v>
      </c>
      <c r="S21" s="16">
        <v>0.384638666405269</v>
      </c>
      <c r="T21">
        <v>402</v>
      </c>
      <c r="U21" s="16">
        <v>0.41029945145572699</v>
      </c>
      <c r="V21">
        <v>402</v>
      </c>
      <c r="W21" s="16">
        <v>0.402316115809427</v>
      </c>
      <c r="X21">
        <v>402</v>
      </c>
      <c r="Y21" s="16">
        <v>0.794938117860997</v>
      </c>
      <c r="Z21">
        <v>402</v>
      </c>
      <c r="AA21" s="16">
        <v>0.70798263888360202</v>
      </c>
      <c r="AB21">
        <v>426</v>
      </c>
      <c r="AC21" s="16">
        <v>3.0450379867764998E-2</v>
      </c>
      <c r="AD21">
        <v>426</v>
      </c>
      <c r="AE21" s="16">
        <v>0.33868030265865201</v>
      </c>
      <c r="AF21">
        <v>426</v>
      </c>
      <c r="AG21" s="16">
        <v>0.39975271609271501</v>
      </c>
      <c r="AH21">
        <v>426</v>
      </c>
      <c r="AI21" s="16">
        <v>0.36930233622495001</v>
      </c>
      <c r="AJ21">
        <v>426</v>
      </c>
      <c r="AK21" s="16">
        <v>0.73843301875136702</v>
      </c>
      <c r="AL21" s="11">
        <v>426</v>
      </c>
    </row>
    <row r="22" spans="1:38" outlineLevel="1" x14ac:dyDescent="0.25">
      <c r="A22" s="6" t="s">
        <v>15</v>
      </c>
      <c r="B22" t="s">
        <v>28</v>
      </c>
      <c r="C22" s="16">
        <v>0.27284219114285502</v>
      </c>
      <c r="D22">
        <v>633</v>
      </c>
      <c r="E22" s="16">
        <v>0.47477284990572399</v>
      </c>
      <c r="F22">
        <v>634</v>
      </c>
      <c r="G22" s="16">
        <v>0.169223034351041</v>
      </c>
      <c r="H22">
        <v>634</v>
      </c>
      <c r="I22" s="23">
        <v>0.60922189191233</v>
      </c>
      <c r="J22">
        <v>634</v>
      </c>
      <c r="K22" s="16">
        <v>0.103606367618545</v>
      </c>
      <c r="L22">
        <v>634</v>
      </c>
      <c r="M22" s="30">
        <v>0.74760225187531004</v>
      </c>
      <c r="N22">
        <v>634</v>
      </c>
      <c r="O22" s="16">
        <v>0.21790277370094599</v>
      </c>
      <c r="P22">
        <v>319</v>
      </c>
      <c r="Q22" s="16">
        <v>0.44388693068097701</v>
      </c>
      <c r="R22">
        <v>320</v>
      </c>
      <c r="S22" s="16">
        <v>0.11574660733927</v>
      </c>
      <c r="T22">
        <v>320</v>
      </c>
      <c r="U22" s="16">
        <v>0.58772243554021497</v>
      </c>
      <c r="V22">
        <v>320</v>
      </c>
      <c r="W22" s="16">
        <v>0.102137203536041</v>
      </c>
      <c r="X22">
        <v>320</v>
      </c>
      <c r="Y22" s="16">
        <v>0.66177074155628801</v>
      </c>
      <c r="Z22">
        <v>320</v>
      </c>
      <c r="AA22" s="16">
        <v>0.33850257966442099</v>
      </c>
      <c r="AB22">
        <v>311</v>
      </c>
      <c r="AC22" s="16">
        <v>0.50769351222779802</v>
      </c>
      <c r="AD22">
        <v>311</v>
      </c>
      <c r="AE22" s="16">
        <v>0.232066252501994</v>
      </c>
      <c r="AF22">
        <v>311</v>
      </c>
      <c r="AG22" s="16">
        <v>0.63249133147926295</v>
      </c>
      <c r="AH22">
        <v>311</v>
      </c>
      <c r="AI22" s="16">
        <v>0.106436327162427</v>
      </c>
      <c r="AJ22">
        <v>311</v>
      </c>
      <c r="AK22" s="16">
        <v>0.846196091892219</v>
      </c>
      <c r="AL22" s="11">
        <v>311</v>
      </c>
    </row>
    <row r="23" spans="1:38" outlineLevel="1" x14ac:dyDescent="0.25">
      <c r="A23" s="6" t="s">
        <v>15</v>
      </c>
      <c r="B23" t="s">
        <v>29</v>
      </c>
      <c r="C23" s="16">
        <v>0.20080663265156501</v>
      </c>
      <c r="D23">
        <v>446</v>
      </c>
      <c r="E23" s="16">
        <v>0.67311963879110903</v>
      </c>
      <c r="F23">
        <v>470</v>
      </c>
      <c r="G23" s="16">
        <v>0.13049626312212101</v>
      </c>
      <c r="H23">
        <v>470</v>
      </c>
      <c r="I23" s="23">
        <v>0.74284169748793505</v>
      </c>
      <c r="J23">
        <v>470</v>
      </c>
      <c r="K23" s="16">
        <v>6.3723833454213993E-2</v>
      </c>
      <c r="L23">
        <v>470</v>
      </c>
      <c r="M23" s="30">
        <v>0.86733973536744402</v>
      </c>
      <c r="N23">
        <v>470</v>
      </c>
      <c r="O23" s="16">
        <v>0.200003695605457</v>
      </c>
      <c r="P23">
        <v>224</v>
      </c>
      <c r="Q23" s="16">
        <v>0.69826591023908402</v>
      </c>
      <c r="R23">
        <v>236</v>
      </c>
      <c r="S23" s="16">
        <v>0.14957389843853899</v>
      </c>
      <c r="T23">
        <v>236</v>
      </c>
      <c r="U23" s="16">
        <v>0.73926355858110004</v>
      </c>
      <c r="V23">
        <v>236</v>
      </c>
      <c r="W23" s="16">
        <v>4.0867967022387798E-2</v>
      </c>
      <c r="X23">
        <v>236</v>
      </c>
      <c r="Y23" s="16">
        <v>0.88870777570001103</v>
      </c>
      <c r="Z23">
        <v>236</v>
      </c>
      <c r="AA23" s="16">
        <v>0.20166497647335299</v>
      </c>
      <c r="AB23">
        <v>222</v>
      </c>
      <c r="AC23" s="16">
        <v>0.64534650553613804</v>
      </c>
      <c r="AD23">
        <v>234</v>
      </c>
      <c r="AE23" s="16">
        <v>0.109425715588709</v>
      </c>
      <c r="AF23">
        <v>234</v>
      </c>
      <c r="AG23" s="16">
        <v>0.74679362049449005</v>
      </c>
      <c r="AH23">
        <v>234</v>
      </c>
      <c r="AI23" s="16">
        <v>8.8967298489665794E-2</v>
      </c>
      <c r="AJ23">
        <v>234</v>
      </c>
      <c r="AK23" s="16">
        <v>0.84373951961451299</v>
      </c>
      <c r="AL23" s="11">
        <v>234</v>
      </c>
    </row>
    <row r="24" spans="1:38" outlineLevel="1" x14ac:dyDescent="0.25">
      <c r="A24" s="6" t="s">
        <v>15</v>
      </c>
      <c r="B24" t="s">
        <v>30</v>
      </c>
      <c r="C24" s="16">
        <v>0.133333333333333</v>
      </c>
      <c r="D24">
        <v>150</v>
      </c>
      <c r="E24" s="16">
        <v>0.74666666666666703</v>
      </c>
      <c r="F24">
        <v>150</v>
      </c>
      <c r="G24" s="16">
        <v>0.02</v>
      </c>
      <c r="H24">
        <v>150</v>
      </c>
      <c r="I24" s="23">
        <v>0.86666666666666703</v>
      </c>
      <c r="J24">
        <v>150</v>
      </c>
      <c r="K24" s="16">
        <v>0.11333333333333299</v>
      </c>
      <c r="L24">
        <v>150</v>
      </c>
      <c r="M24" s="30">
        <v>0.88</v>
      </c>
      <c r="N24">
        <v>150</v>
      </c>
      <c r="O24" s="16">
        <v>0.11111111111111099</v>
      </c>
      <c r="P24">
        <v>81</v>
      </c>
      <c r="Q24" s="16">
        <v>0.75308641975308599</v>
      </c>
      <c r="R24">
        <v>81</v>
      </c>
      <c r="S24" s="16">
        <v>1.2345679012345699E-2</v>
      </c>
      <c r="T24">
        <v>81</v>
      </c>
      <c r="U24" s="16">
        <v>0.85185185185185197</v>
      </c>
      <c r="V24">
        <v>81</v>
      </c>
      <c r="W24" s="16">
        <v>9.8765432098765399E-2</v>
      </c>
      <c r="X24">
        <v>81</v>
      </c>
      <c r="Y24" s="16">
        <v>0.86419753086419704</v>
      </c>
      <c r="Z24">
        <v>81</v>
      </c>
      <c r="AA24" s="16">
        <v>0.15942028985507201</v>
      </c>
      <c r="AB24">
        <v>69</v>
      </c>
      <c r="AC24" s="16">
        <v>0.73913043478260898</v>
      </c>
      <c r="AD24">
        <v>69</v>
      </c>
      <c r="AE24" s="16">
        <v>2.8985507246376802E-2</v>
      </c>
      <c r="AF24">
        <v>69</v>
      </c>
      <c r="AG24" s="16">
        <v>0.88405797101449302</v>
      </c>
      <c r="AH24">
        <v>69</v>
      </c>
      <c r="AI24" s="16">
        <v>0.13043478260869601</v>
      </c>
      <c r="AJ24">
        <v>69</v>
      </c>
      <c r="AK24" s="16">
        <v>0.89855072463768104</v>
      </c>
      <c r="AL24" s="11">
        <v>69</v>
      </c>
    </row>
    <row r="25" spans="1:38" outlineLevel="1" x14ac:dyDescent="0.25">
      <c r="A25" s="6" t="s">
        <v>15</v>
      </c>
      <c r="B25" t="s">
        <v>31</v>
      </c>
      <c r="C25" s="16">
        <v>0.25863079408598799</v>
      </c>
      <c r="D25">
        <v>592</v>
      </c>
      <c r="E25" s="16">
        <v>0.56366312717247402</v>
      </c>
      <c r="F25">
        <v>593</v>
      </c>
      <c r="G25" s="16">
        <v>6.4130006860165104E-3</v>
      </c>
      <c r="H25">
        <v>593</v>
      </c>
      <c r="I25" s="23">
        <v>0.81468231290812299</v>
      </c>
      <c r="J25">
        <v>593</v>
      </c>
      <c r="K25" s="16">
        <v>0.25101918573564902</v>
      </c>
      <c r="L25">
        <v>593</v>
      </c>
      <c r="M25" s="30">
        <v>0.82109531359413901</v>
      </c>
      <c r="N25">
        <v>593</v>
      </c>
      <c r="O25" s="16">
        <v>0.24627729328716999</v>
      </c>
      <c r="P25">
        <v>312</v>
      </c>
      <c r="Q25" s="16">
        <v>0.58298287751230204</v>
      </c>
      <c r="R25">
        <v>313</v>
      </c>
      <c r="S25" s="16">
        <v>1.8480146632899601E-3</v>
      </c>
      <c r="T25">
        <v>313</v>
      </c>
      <c r="U25" s="16">
        <v>0.82538089347125199</v>
      </c>
      <c r="V25">
        <v>313</v>
      </c>
      <c r="W25" s="16">
        <v>0.24239801595895</v>
      </c>
      <c r="X25">
        <v>313</v>
      </c>
      <c r="Y25" s="16">
        <v>0.82722890813454197</v>
      </c>
      <c r="Z25">
        <v>313</v>
      </c>
      <c r="AA25" s="16">
        <v>0.27434418809238897</v>
      </c>
      <c r="AB25">
        <v>280</v>
      </c>
      <c r="AC25" s="16">
        <v>0.53888443844809297</v>
      </c>
      <c r="AD25">
        <v>280</v>
      </c>
      <c r="AE25" s="16">
        <v>1.22678572808817E-2</v>
      </c>
      <c r="AF25">
        <v>280</v>
      </c>
      <c r="AG25" s="16">
        <v>0.80096076925960003</v>
      </c>
      <c r="AH25">
        <v>280</v>
      </c>
      <c r="AI25" s="16">
        <v>0.262076330811508</v>
      </c>
      <c r="AJ25">
        <v>280</v>
      </c>
      <c r="AK25" s="16">
        <v>0.813228626540482</v>
      </c>
      <c r="AL25" s="11">
        <v>280</v>
      </c>
    </row>
    <row r="26" spans="1:38" outlineLevel="1" x14ac:dyDescent="0.25">
      <c r="A26" s="6" t="s">
        <v>15</v>
      </c>
      <c r="B26" t="s">
        <v>32</v>
      </c>
      <c r="C26" s="16">
        <v>0.34210526315789502</v>
      </c>
      <c r="D26">
        <v>152</v>
      </c>
      <c r="E26" s="16">
        <v>0.53947368421052599</v>
      </c>
      <c r="F26">
        <v>152</v>
      </c>
      <c r="G26" s="16"/>
      <c r="I26" s="23">
        <v>0.88157894736842102</v>
      </c>
      <c r="J26">
        <v>152</v>
      </c>
      <c r="K26" s="16">
        <v>0.34210526315789502</v>
      </c>
      <c r="L26">
        <v>152</v>
      </c>
      <c r="M26" s="30">
        <v>0.88157894736842102</v>
      </c>
      <c r="N26">
        <v>152</v>
      </c>
      <c r="O26" s="16">
        <v>0.34666666666666701</v>
      </c>
      <c r="P26">
        <v>75</v>
      </c>
      <c r="Q26" s="16">
        <v>0.53333333333333299</v>
      </c>
      <c r="R26">
        <v>75</v>
      </c>
      <c r="S26" s="16"/>
      <c r="U26" s="16">
        <v>0.88</v>
      </c>
      <c r="V26">
        <v>75</v>
      </c>
      <c r="W26" s="16">
        <v>0.34666666666666701</v>
      </c>
      <c r="X26">
        <v>75</v>
      </c>
      <c r="Y26" s="16">
        <v>0.88</v>
      </c>
      <c r="Z26">
        <v>75</v>
      </c>
      <c r="AA26" s="16">
        <v>0.337662337662338</v>
      </c>
      <c r="AB26">
        <v>77</v>
      </c>
      <c r="AC26" s="16">
        <v>0.54545454545454497</v>
      </c>
      <c r="AD26">
        <v>77</v>
      </c>
      <c r="AE26" s="16"/>
      <c r="AG26" s="16">
        <v>0.88311688311688297</v>
      </c>
      <c r="AH26">
        <v>77</v>
      </c>
      <c r="AI26" s="16">
        <v>0.337662337662338</v>
      </c>
      <c r="AJ26">
        <v>77</v>
      </c>
      <c r="AK26" s="16">
        <v>0.88311688311688297</v>
      </c>
      <c r="AL26" s="11">
        <v>77</v>
      </c>
    </row>
    <row r="27" spans="1:38" outlineLevel="1" x14ac:dyDescent="0.25">
      <c r="A27" s="6" t="s">
        <v>15</v>
      </c>
      <c r="B27" t="s">
        <v>33</v>
      </c>
      <c r="C27" s="16">
        <v>0.23435829891875701</v>
      </c>
      <c r="D27">
        <v>1267</v>
      </c>
      <c r="E27" s="16">
        <v>0.42128896026912399</v>
      </c>
      <c r="F27">
        <v>1269</v>
      </c>
      <c r="G27" s="16">
        <v>0.125789598452515</v>
      </c>
      <c r="H27">
        <v>1269</v>
      </c>
      <c r="I27" s="23">
        <v>0.52964064080803697</v>
      </c>
      <c r="J27">
        <v>1269</v>
      </c>
      <c r="K27" s="16">
        <v>0.108351680538912</v>
      </c>
      <c r="L27">
        <v>1269</v>
      </c>
      <c r="M27" s="30">
        <v>0.655430239260551</v>
      </c>
      <c r="N27">
        <v>1269</v>
      </c>
      <c r="O27" s="16">
        <v>0.22917151991203299</v>
      </c>
      <c r="P27">
        <v>640</v>
      </c>
      <c r="Q27" s="16">
        <v>0.445969317016083</v>
      </c>
      <c r="R27">
        <v>641</v>
      </c>
      <c r="S27" s="16">
        <v>0.13427644407359901</v>
      </c>
      <c r="T27">
        <v>641</v>
      </c>
      <c r="U27" s="16">
        <v>0.54071625195833095</v>
      </c>
      <c r="V27">
        <v>641</v>
      </c>
      <c r="W27" s="16">
        <v>9.4746934942248701E-2</v>
      </c>
      <c r="X27">
        <v>641</v>
      </c>
      <c r="Y27" s="16">
        <v>0.67499269603193102</v>
      </c>
      <c r="Z27">
        <v>641</v>
      </c>
      <c r="AA27" s="16">
        <v>0.24042887944503999</v>
      </c>
      <c r="AB27">
        <v>626</v>
      </c>
      <c r="AC27" s="16">
        <v>0.39432416647951901</v>
      </c>
      <c r="AD27">
        <v>627</v>
      </c>
      <c r="AE27" s="16">
        <v>0.11649357175705401</v>
      </c>
      <c r="AF27">
        <v>627</v>
      </c>
      <c r="AG27" s="16">
        <v>0.51796168999640402</v>
      </c>
      <c r="AH27">
        <v>627</v>
      </c>
      <c r="AI27" s="16">
        <v>0.12363752351688501</v>
      </c>
      <c r="AJ27">
        <v>627</v>
      </c>
      <c r="AK27" s="16">
        <v>0.63445526175345801</v>
      </c>
      <c r="AL27" s="11">
        <v>627</v>
      </c>
    </row>
    <row r="28" spans="1:38" outlineLevel="1" x14ac:dyDescent="0.25">
      <c r="A28" s="6" t="s">
        <v>15</v>
      </c>
      <c r="B28" t="s">
        <v>34</v>
      </c>
      <c r="C28" s="16">
        <v>0.57672958758918003</v>
      </c>
      <c r="D28">
        <v>535</v>
      </c>
      <c r="E28" s="16">
        <v>0.15705882334471599</v>
      </c>
      <c r="F28">
        <v>536</v>
      </c>
      <c r="G28" s="16">
        <v>0.49877621133491801</v>
      </c>
      <c r="H28">
        <v>536</v>
      </c>
      <c r="I28" s="23">
        <v>0.25433457999381998</v>
      </c>
      <c r="J28">
        <v>536</v>
      </c>
      <c r="K28" s="16">
        <v>7.7830553687959894E-2</v>
      </c>
      <c r="L28">
        <v>536</v>
      </c>
      <c r="M28" s="30">
        <v>0.733743485406674</v>
      </c>
      <c r="N28">
        <v>536</v>
      </c>
      <c r="O28" s="16">
        <v>0.61116657599138402</v>
      </c>
      <c r="P28">
        <v>261</v>
      </c>
      <c r="Q28" s="16">
        <v>0.170588585750162</v>
      </c>
      <c r="R28">
        <v>262</v>
      </c>
      <c r="S28" s="16">
        <v>0.52070790917542897</v>
      </c>
      <c r="T28">
        <v>262</v>
      </c>
      <c r="U28" s="16">
        <v>0.28024554393364498</v>
      </c>
      <c r="V28">
        <v>262</v>
      </c>
      <c r="W28" s="16">
        <v>9.0363430350741195E-2</v>
      </c>
      <c r="X28">
        <v>262</v>
      </c>
      <c r="Y28" s="16">
        <v>0.78165992527633199</v>
      </c>
      <c r="Z28">
        <v>262</v>
      </c>
      <c r="AA28" s="16">
        <v>0.54231266379654397</v>
      </c>
      <c r="AB28">
        <v>274</v>
      </c>
      <c r="AC28" s="16">
        <v>0.14353483660841601</v>
      </c>
      <c r="AD28">
        <v>274</v>
      </c>
      <c r="AE28" s="16">
        <v>0.476853875834022</v>
      </c>
      <c r="AF28">
        <v>274</v>
      </c>
      <c r="AG28" s="16">
        <v>0.228434677087477</v>
      </c>
      <c r="AH28">
        <v>274</v>
      </c>
      <c r="AI28" s="16">
        <v>6.5303027137536801E-2</v>
      </c>
      <c r="AJ28">
        <v>274</v>
      </c>
      <c r="AK28" s="16">
        <v>0.68584750040496101</v>
      </c>
      <c r="AL28" s="11">
        <v>274</v>
      </c>
    </row>
    <row r="29" spans="1:38" outlineLevel="1" x14ac:dyDescent="0.25">
      <c r="A29" s="6" t="s">
        <v>15</v>
      </c>
      <c r="B29" t="s">
        <v>35</v>
      </c>
      <c r="C29" s="16">
        <v>0.206451612903226</v>
      </c>
      <c r="D29">
        <v>155</v>
      </c>
      <c r="E29" s="16">
        <v>0.65161290322580601</v>
      </c>
      <c r="F29">
        <v>155</v>
      </c>
      <c r="G29" s="16">
        <v>6.4516129032258099E-3</v>
      </c>
      <c r="H29">
        <v>155</v>
      </c>
      <c r="I29" s="23">
        <v>0.85161290322580596</v>
      </c>
      <c r="J29">
        <v>155</v>
      </c>
      <c r="K29" s="16">
        <v>0.2</v>
      </c>
      <c r="L29">
        <v>155</v>
      </c>
      <c r="M29" s="30">
        <v>0.85806451612903201</v>
      </c>
      <c r="N29">
        <v>155</v>
      </c>
      <c r="O29" s="16">
        <v>0.219178082191781</v>
      </c>
      <c r="P29">
        <v>73</v>
      </c>
      <c r="Q29" s="16">
        <v>0.65753424657534199</v>
      </c>
      <c r="R29">
        <v>73</v>
      </c>
      <c r="S29" s="16">
        <v>1.3698630136986301E-2</v>
      </c>
      <c r="T29">
        <v>73</v>
      </c>
      <c r="U29" s="16">
        <v>0.86301369863013699</v>
      </c>
      <c r="V29">
        <v>73</v>
      </c>
      <c r="W29" s="16">
        <v>0.20547945205479501</v>
      </c>
      <c r="X29">
        <v>73</v>
      </c>
      <c r="Y29" s="16">
        <v>0.87671232876712302</v>
      </c>
      <c r="Z29">
        <v>73</v>
      </c>
      <c r="AA29" s="16">
        <v>0.19512195121951201</v>
      </c>
      <c r="AB29">
        <v>82</v>
      </c>
      <c r="AC29" s="16">
        <v>0.64634146341463405</v>
      </c>
      <c r="AD29">
        <v>82</v>
      </c>
      <c r="AE29" s="16"/>
      <c r="AG29" s="16">
        <v>0.84146341463414598</v>
      </c>
      <c r="AH29">
        <v>82</v>
      </c>
      <c r="AI29" s="16">
        <v>0.19512195121951201</v>
      </c>
      <c r="AJ29">
        <v>82</v>
      </c>
      <c r="AK29" s="16">
        <v>0.84146341463414598</v>
      </c>
      <c r="AL29" s="11">
        <v>82</v>
      </c>
    </row>
    <row r="30" spans="1:38" outlineLevel="1" x14ac:dyDescent="0.25">
      <c r="A30" s="6" t="s">
        <v>15</v>
      </c>
      <c r="B30" t="s">
        <v>36</v>
      </c>
      <c r="C30" s="16">
        <v>0.26296683435582502</v>
      </c>
      <c r="D30">
        <v>447</v>
      </c>
      <c r="E30" s="16">
        <v>0.44925101088345798</v>
      </c>
      <c r="F30">
        <v>454</v>
      </c>
      <c r="G30" s="16">
        <v>0.12070640365693799</v>
      </c>
      <c r="H30">
        <v>454</v>
      </c>
      <c r="I30" s="23">
        <v>0.63427983214473005</v>
      </c>
      <c r="J30">
        <v>454</v>
      </c>
      <c r="K30" s="16">
        <v>0.13738899132951801</v>
      </c>
      <c r="L30">
        <v>454</v>
      </c>
      <c r="M30" s="30">
        <v>0.70734640586991304</v>
      </c>
      <c r="N30">
        <v>454</v>
      </c>
      <c r="O30" s="16">
        <v>0.29808773778680397</v>
      </c>
      <c r="P30">
        <v>251</v>
      </c>
      <c r="Q30" s="16">
        <v>0.38518740518392097</v>
      </c>
      <c r="R30">
        <v>256</v>
      </c>
      <c r="S30" s="16">
        <v>9.9585114853196904E-2</v>
      </c>
      <c r="T30">
        <v>256</v>
      </c>
      <c r="U30" s="16">
        <v>0.611201044281109</v>
      </c>
      <c r="V30">
        <v>256</v>
      </c>
      <c r="W30" s="16">
        <v>0.19150241478735799</v>
      </c>
      <c r="X30">
        <v>256</v>
      </c>
      <c r="Y30" s="16">
        <v>0.67627493482447598</v>
      </c>
      <c r="Z30">
        <v>256</v>
      </c>
      <c r="AA30" s="16">
        <v>0.22393011549609801</v>
      </c>
      <c r="AB30">
        <v>196</v>
      </c>
      <c r="AC30" s="16">
        <v>0.52122523563392098</v>
      </c>
      <c r="AD30">
        <v>198</v>
      </c>
      <c r="AE30" s="16">
        <v>0.14443576404463901</v>
      </c>
      <c r="AF30">
        <v>198</v>
      </c>
      <c r="AG30" s="16">
        <v>0.66020840495180999</v>
      </c>
      <c r="AH30">
        <v>198</v>
      </c>
      <c r="AI30" s="16">
        <v>7.6593604316205793E-2</v>
      </c>
      <c r="AJ30">
        <v>198</v>
      </c>
      <c r="AK30" s="16">
        <v>0.74225460399476595</v>
      </c>
      <c r="AL30" s="11">
        <v>198</v>
      </c>
    </row>
    <row r="31" spans="1:38" outlineLevel="1" x14ac:dyDescent="0.25">
      <c r="A31" s="6" t="s">
        <v>15</v>
      </c>
      <c r="B31" t="s">
        <v>37</v>
      </c>
      <c r="C31" s="16">
        <v>5.9519762446641603E-2</v>
      </c>
      <c r="D31">
        <v>457</v>
      </c>
      <c r="E31" s="16">
        <v>0.82458150103577599</v>
      </c>
      <c r="F31">
        <v>458</v>
      </c>
      <c r="G31" s="16">
        <v>2.20171884873087E-2</v>
      </c>
      <c r="H31">
        <v>458</v>
      </c>
      <c r="I31" s="23">
        <v>0.86171771263100505</v>
      </c>
      <c r="J31">
        <v>458</v>
      </c>
      <c r="K31" s="16">
        <v>3.71362115952295E-2</v>
      </c>
      <c r="L31">
        <v>458</v>
      </c>
      <c r="M31" s="30">
        <v>0.88373490111831399</v>
      </c>
      <c r="N31">
        <v>458</v>
      </c>
      <c r="O31" s="16">
        <v>5.8157056415248203E-2</v>
      </c>
      <c r="P31">
        <v>215</v>
      </c>
      <c r="Q31" s="16">
        <v>0.84312443484197797</v>
      </c>
      <c r="R31">
        <v>216</v>
      </c>
      <c r="S31" s="16">
        <v>2.19198590329725E-2</v>
      </c>
      <c r="T31">
        <v>216</v>
      </c>
      <c r="U31" s="16">
        <v>0.87867290293635902</v>
      </c>
      <c r="V31">
        <v>216</v>
      </c>
      <c r="W31" s="16">
        <v>3.55484680943811E-2</v>
      </c>
      <c r="X31">
        <v>216</v>
      </c>
      <c r="Y31" s="16">
        <v>0.90059276196933202</v>
      </c>
      <c r="Z31">
        <v>216</v>
      </c>
      <c r="AA31" s="16">
        <v>6.0977147280645003E-2</v>
      </c>
      <c r="AB31">
        <v>242</v>
      </c>
      <c r="AC31" s="16">
        <v>0.804512563682237</v>
      </c>
      <c r="AD31">
        <v>242</v>
      </c>
      <c r="AE31" s="16">
        <v>2.21225277363261E-2</v>
      </c>
      <c r="AF31">
        <v>242</v>
      </c>
      <c r="AG31" s="16">
        <v>0.84336718322655602</v>
      </c>
      <c r="AH31">
        <v>242</v>
      </c>
      <c r="AI31" s="16">
        <v>3.8854619544318902E-2</v>
      </c>
      <c r="AJ31">
        <v>242</v>
      </c>
      <c r="AK31" s="16">
        <v>0.86548971096288196</v>
      </c>
      <c r="AL31" s="11">
        <v>242</v>
      </c>
    </row>
    <row r="32" spans="1:38" outlineLevel="1" x14ac:dyDescent="0.25">
      <c r="A32" s="6" t="s">
        <v>15</v>
      </c>
      <c r="B32" t="s">
        <v>38</v>
      </c>
      <c r="C32" s="16">
        <v>8.0783649272277797E-2</v>
      </c>
      <c r="D32">
        <v>333</v>
      </c>
      <c r="E32" s="16">
        <v>0.70182699974041296</v>
      </c>
      <c r="F32">
        <v>333</v>
      </c>
      <c r="G32" s="16">
        <v>4.0909320895784397E-2</v>
      </c>
      <c r="H32">
        <v>333</v>
      </c>
      <c r="I32" s="23">
        <v>0.74170132811690703</v>
      </c>
      <c r="J32">
        <v>333</v>
      </c>
      <c r="K32" s="16">
        <v>3.98743283764934E-2</v>
      </c>
      <c r="L32">
        <v>333</v>
      </c>
      <c r="M32" s="30">
        <v>0.78261064901269095</v>
      </c>
      <c r="N32">
        <v>333</v>
      </c>
      <c r="O32" s="16">
        <v>7.9722361063711403E-2</v>
      </c>
      <c r="P32">
        <v>160</v>
      </c>
      <c r="Q32" s="16">
        <v>0.67026622085994902</v>
      </c>
      <c r="R32">
        <v>160</v>
      </c>
      <c r="S32" s="16">
        <v>5.7827405481440303E-2</v>
      </c>
      <c r="T32">
        <v>160</v>
      </c>
      <c r="U32" s="16">
        <v>0.69216117644221997</v>
      </c>
      <c r="V32">
        <v>160</v>
      </c>
      <c r="W32" s="16">
        <v>2.18949555822711E-2</v>
      </c>
      <c r="X32">
        <v>160</v>
      </c>
      <c r="Y32" s="16">
        <v>0.74998858192366002</v>
      </c>
      <c r="Z32">
        <v>160</v>
      </c>
      <c r="AA32" s="16">
        <v>8.1933943976466E-2</v>
      </c>
      <c r="AB32">
        <v>172</v>
      </c>
      <c r="AC32" s="16">
        <v>0.73255900512157901</v>
      </c>
      <c r="AD32">
        <v>172</v>
      </c>
      <c r="AE32" s="16">
        <v>2.4282437635132201E-2</v>
      </c>
      <c r="AF32">
        <v>172</v>
      </c>
      <c r="AG32" s="16">
        <v>0.79021051146291299</v>
      </c>
      <c r="AH32">
        <v>172</v>
      </c>
      <c r="AI32" s="16">
        <v>5.76515063413338E-2</v>
      </c>
      <c r="AJ32">
        <v>172</v>
      </c>
      <c r="AK32" s="16">
        <v>0.81449294909804504</v>
      </c>
      <c r="AL32" s="11">
        <v>172</v>
      </c>
    </row>
    <row r="33" spans="1:38" outlineLevel="1" x14ac:dyDescent="0.25">
      <c r="A33" s="7" t="s">
        <v>15</v>
      </c>
      <c r="B33" s="9" t="s">
        <v>39</v>
      </c>
      <c r="C33" s="15">
        <v>9.9032812460793401E-2</v>
      </c>
      <c r="D33" s="9">
        <v>465</v>
      </c>
      <c r="E33" s="15">
        <v>0.80073291582128203</v>
      </c>
      <c r="F33" s="9">
        <v>465</v>
      </c>
      <c r="G33" s="15">
        <v>2.8396382728382699E-2</v>
      </c>
      <c r="H33" s="9">
        <v>465</v>
      </c>
      <c r="I33" s="25">
        <v>0.88374777008913397</v>
      </c>
      <c r="J33" s="9">
        <v>465</v>
      </c>
      <c r="K33" s="15">
        <v>7.0636429732410702E-2</v>
      </c>
      <c r="L33" s="9">
        <v>465</v>
      </c>
      <c r="M33" s="32">
        <v>0.89976572828207502</v>
      </c>
      <c r="N33" s="9">
        <v>465</v>
      </c>
      <c r="O33" s="15">
        <v>8.3443776365121902E-2</v>
      </c>
      <c r="P33" s="9">
        <v>215</v>
      </c>
      <c r="Q33" s="15">
        <v>0.80813916018980503</v>
      </c>
      <c r="R33" s="9">
        <v>215</v>
      </c>
      <c r="S33" s="15">
        <v>2.85669407409276E-2</v>
      </c>
      <c r="T33" s="9">
        <v>215</v>
      </c>
      <c r="U33" s="15">
        <v>0.87601760900381298</v>
      </c>
      <c r="V33" s="9">
        <v>215</v>
      </c>
      <c r="W33" s="15">
        <v>5.4876835624194299E-2</v>
      </c>
      <c r="X33" s="9">
        <v>215</v>
      </c>
      <c r="Y33" s="15">
        <v>0.89158293655492704</v>
      </c>
      <c r="Z33" s="9">
        <v>215</v>
      </c>
      <c r="AA33" s="15">
        <v>0.113195785918853</v>
      </c>
      <c r="AB33" s="9">
        <v>250</v>
      </c>
      <c r="AC33" s="15">
        <v>0.79400418405290596</v>
      </c>
      <c r="AD33" s="9">
        <v>250</v>
      </c>
      <c r="AE33" s="15">
        <v>2.8241427117919798E-2</v>
      </c>
      <c r="AF33" s="9">
        <v>250</v>
      </c>
      <c r="AG33" s="15">
        <v>0.89077078713816904</v>
      </c>
      <c r="AH33" s="9">
        <v>250</v>
      </c>
      <c r="AI33" s="15">
        <v>8.4954358800933605E-2</v>
      </c>
      <c r="AJ33" s="9">
        <v>250</v>
      </c>
      <c r="AK33" s="15">
        <v>0.907199969971759</v>
      </c>
      <c r="AL33" s="12">
        <v>250</v>
      </c>
    </row>
    <row r="34" spans="1:38" x14ac:dyDescent="0.25">
      <c r="C34" s="16"/>
      <c r="E34" s="16"/>
      <c r="G34" s="16"/>
      <c r="I34" s="23"/>
      <c r="K34" s="16"/>
      <c r="M34" s="30"/>
      <c r="O34" s="16"/>
      <c r="Q34" s="16"/>
      <c r="S34" s="16"/>
      <c r="U34" s="16"/>
      <c r="W34" s="16"/>
      <c r="Y34" s="16"/>
      <c r="AA34" s="16"/>
      <c r="AC34" s="16"/>
      <c r="AE34" s="16"/>
      <c r="AG34" s="16"/>
      <c r="AI34" s="16"/>
      <c r="AK34" s="16"/>
    </row>
    <row r="35" spans="1:38" x14ac:dyDescent="0.25">
      <c r="A35" s="19" t="s">
        <v>40</v>
      </c>
      <c r="B35" s="19"/>
      <c r="C35" s="20"/>
      <c r="D35" s="19"/>
      <c r="E35" s="20"/>
      <c r="F35" s="19"/>
      <c r="G35" s="20"/>
      <c r="H35" s="19"/>
      <c r="I35" s="20"/>
      <c r="J35" s="19"/>
      <c r="K35" s="20"/>
      <c r="L35" s="19"/>
      <c r="M35" s="20"/>
      <c r="N35" s="19"/>
      <c r="O35" s="20"/>
      <c r="P35" s="19"/>
      <c r="Q35" s="20"/>
      <c r="R35" s="19"/>
      <c r="S35" s="20"/>
      <c r="T35" s="19"/>
      <c r="U35" s="20"/>
      <c r="V35" s="19"/>
      <c r="W35" s="20"/>
      <c r="X35" s="19"/>
      <c r="Y35" s="20"/>
      <c r="Z35" s="19"/>
      <c r="AA35" s="20"/>
      <c r="AB35" s="19"/>
      <c r="AC35" s="20"/>
      <c r="AD35" s="19"/>
      <c r="AE35" s="20"/>
      <c r="AF35" s="19"/>
      <c r="AG35" s="20"/>
      <c r="AH35" s="19"/>
      <c r="AI35" s="20"/>
      <c r="AJ35" s="19"/>
      <c r="AK35" s="20"/>
      <c r="AL35" s="19"/>
    </row>
    <row r="36" spans="1:38" outlineLevel="1" x14ac:dyDescent="0.25">
      <c r="A36" s="5" t="s">
        <v>15</v>
      </c>
      <c r="B36" s="8" t="s">
        <v>41</v>
      </c>
      <c r="C36" s="14">
        <v>1.4671170833477E-2</v>
      </c>
      <c r="D36" s="8">
        <v>129</v>
      </c>
      <c r="E36" s="14">
        <v>0.90966688535011397</v>
      </c>
      <c r="F36" s="8">
        <v>131</v>
      </c>
      <c r="G36" s="14"/>
      <c r="H36" s="8"/>
      <c r="I36" s="24">
        <v>0.92411556089526703</v>
      </c>
      <c r="J36" s="8">
        <v>131</v>
      </c>
      <c r="K36" s="14">
        <v>1.44486755451524E-2</v>
      </c>
      <c r="L36" s="8">
        <v>131</v>
      </c>
      <c r="M36" s="31">
        <v>0.92411556089526703</v>
      </c>
      <c r="N36" s="8">
        <v>131</v>
      </c>
      <c r="O36" s="14">
        <v>2.8671978888537699E-2</v>
      </c>
      <c r="P36" s="8">
        <v>66</v>
      </c>
      <c r="Q36" s="14">
        <v>0.91348017233530499</v>
      </c>
      <c r="R36" s="8">
        <v>66</v>
      </c>
      <c r="S36" s="14"/>
      <c r="T36" s="8"/>
      <c r="U36" s="14">
        <v>0.94215215122384299</v>
      </c>
      <c r="V36" s="8">
        <v>66</v>
      </c>
      <c r="W36" s="14">
        <v>2.8671978888537699E-2</v>
      </c>
      <c r="X36" s="8">
        <v>66</v>
      </c>
      <c r="Y36" s="14">
        <v>0.94215215122384299</v>
      </c>
      <c r="Z36" s="8">
        <v>66</v>
      </c>
      <c r="AA36" s="14"/>
      <c r="AB36" s="8"/>
      <c r="AC36" s="14">
        <v>0.90579317577088303</v>
      </c>
      <c r="AD36" s="8">
        <v>65</v>
      </c>
      <c r="AE36" s="14"/>
      <c r="AF36" s="8"/>
      <c r="AG36" s="14">
        <v>0.90579317577088303</v>
      </c>
      <c r="AH36" s="8">
        <v>65</v>
      </c>
      <c r="AI36" s="14"/>
      <c r="AJ36" s="8"/>
      <c r="AK36" s="14">
        <v>0.90579317577088303</v>
      </c>
      <c r="AL36" s="10">
        <v>65</v>
      </c>
    </row>
    <row r="37" spans="1:38" outlineLevel="1" x14ac:dyDescent="0.25">
      <c r="A37" s="6" t="s">
        <v>15</v>
      </c>
      <c r="B37" t="s">
        <v>42</v>
      </c>
      <c r="C37" s="16">
        <v>5.9360730593607303E-2</v>
      </c>
      <c r="D37">
        <v>219</v>
      </c>
      <c r="E37" s="16">
        <v>0.69863013698630105</v>
      </c>
      <c r="F37">
        <v>219</v>
      </c>
      <c r="G37" s="16">
        <v>5.4794520547945202E-2</v>
      </c>
      <c r="H37">
        <v>219</v>
      </c>
      <c r="I37" s="23">
        <v>0.70319634703196299</v>
      </c>
      <c r="J37">
        <v>219</v>
      </c>
      <c r="K37" s="16">
        <v>4.5662100456621002E-3</v>
      </c>
      <c r="L37">
        <v>219</v>
      </c>
      <c r="M37" s="30">
        <v>0.75799086757990897</v>
      </c>
      <c r="N37">
        <v>219</v>
      </c>
      <c r="O37" s="16">
        <v>8.1818181818181804E-2</v>
      </c>
      <c r="P37">
        <v>110</v>
      </c>
      <c r="Q37" s="16">
        <v>0.69090909090909103</v>
      </c>
      <c r="R37">
        <v>110</v>
      </c>
      <c r="S37" s="16">
        <v>7.2727272727272696E-2</v>
      </c>
      <c r="T37">
        <v>110</v>
      </c>
      <c r="U37" s="16">
        <v>0.7</v>
      </c>
      <c r="V37">
        <v>110</v>
      </c>
      <c r="W37" s="16">
        <v>9.0909090909090905E-3</v>
      </c>
      <c r="X37">
        <v>110</v>
      </c>
      <c r="Y37" s="16">
        <v>0.77272727272727304</v>
      </c>
      <c r="Z37">
        <v>110</v>
      </c>
      <c r="AA37" s="16">
        <v>3.6697247706422E-2</v>
      </c>
      <c r="AB37">
        <v>109</v>
      </c>
      <c r="AC37" s="16">
        <v>0.70642201834862395</v>
      </c>
      <c r="AD37">
        <v>109</v>
      </c>
      <c r="AE37" s="16">
        <v>3.6697247706422E-2</v>
      </c>
      <c r="AF37">
        <v>109</v>
      </c>
      <c r="AG37" s="16">
        <v>0.70642201834862395</v>
      </c>
      <c r="AH37">
        <v>109</v>
      </c>
      <c r="AI37" s="16"/>
      <c r="AK37" s="16">
        <v>0.74311926605504597</v>
      </c>
      <c r="AL37" s="11">
        <v>109</v>
      </c>
    </row>
    <row r="38" spans="1:38" outlineLevel="1" x14ac:dyDescent="0.25">
      <c r="A38" s="6" t="s">
        <v>15</v>
      </c>
      <c r="B38" t="s">
        <v>43</v>
      </c>
      <c r="C38" s="16">
        <v>6.25E-2</v>
      </c>
      <c r="D38">
        <v>224</v>
      </c>
      <c r="E38" s="16">
        <v>0.765486725663717</v>
      </c>
      <c r="F38">
        <v>226</v>
      </c>
      <c r="G38" s="16">
        <v>3.9823008849557501E-2</v>
      </c>
      <c r="H38">
        <v>226</v>
      </c>
      <c r="I38" s="23">
        <v>0.79203539823008895</v>
      </c>
      <c r="J38">
        <v>226</v>
      </c>
      <c r="K38" s="16">
        <v>2.21238938053097E-2</v>
      </c>
      <c r="L38">
        <v>226</v>
      </c>
      <c r="M38" s="30">
        <v>0.82743362831858402</v>
      </c>
      <c r="N38">
        <v>226</v>
      </c>
      <c r="O38" s="16">
        <v>7.43801652892562E-2</v>
      </c>
      <c r="P38">
        <v>121</v>
      </c>
      <c r="Q38" s="16">
        <v>0.78861788617886197</v>
      </c>
      <c r="R38">
        <v>123</v>
      </c>
      <c r="S38" s="16">
        <v>4.8780487804878002E-2</v>
      </c>
      <c r="T38">
        <v>123</v>
      </c>
      <c r="U38" s="16">
        <v>0.82113821138211396</v>
      </c>
      <c r="V38">
        <v>123</v>
      </c>
      <c r="W38" s="16">
        <v>2.4390243902439001E-2</v>
      </c>
      <c r="X38">
        <v>123</v>
      </c>
      <c r="Y38" s="16">
        <v>0.861788617886179</v>
      </c>
      <c r="Z38">
        <v>123</v>
      </c>
      <c r="AA38" s="16">
        <v>4.8543689320388397E-2</v>
      </c>
      <c r="AB38">
        <v>103</v>
      </c>
      <c r="AC38" s="16">
        <v>0.73786407766990303</v>
      </c>
      <c r="AD38">
        <v>103</v>
      </c>
      <c r="AE38" s="16">
        <v>2.9126213592233E-2</v>
      </c>
      <c r="AF38">
        <v>103</v>
      </c>
      <c r="AG38" s="16">
        <v>0.75728155339805803</v>
      </c>
      <c r="AH38">
        <v>103</v>
      </c>
      <c r="AI38" s="16">
        <v>1.94174757281553E-2</v>
      </c>
      <c r="AJ38">
        <v>103</v>
      </c>
      <c r="AK38" s="16">
        <v>0.78640776699029102</v>
      </c>
      <c r="AL38" s="11">
        <v>103</v>
      </c>
    </row>
    <row r="39" spans="1:38" outlineLevel="1" x14ac:dyDescent="0.25">
      <c r="A39" s="6" t="s">
        <v>15</v>
      </c>
      <c r="B39" t="s">
        <v>44</v>
      </c>
      <c r="C39" s="16">
        <v>6.9306930693069299E-2</v>
      </c>
      <c r="D39">
        <v>101</v>
      </c>
      <c r="E39" s="16">
        <v>0.49504950495049499</v>
      </c>
      <c r="F39">
        <v>101</v>
      </c>
      <c r="G39" s="16">
        <v>1.9801980198019799E-2</v>
      </c>
      <c r="H39">
        <v>101</v>
      </c>
      <c r="I39" s="23">
        <v>0.56435643564356397</v>
      </c>
      <c r="J39">
        <v>101</v>
      </c>
      <c r="K39" s="16">
        <v>4.95049504950495E-2</v>
      </c>
      <c r="L39">
        <v>101</v>
      </c>
      <c r="M39" s="30">
        <v>0.56435643564356397</v>
      </c>
      <c r="N39">
        <v>101</v>
      </c>
      <c r="O39" s="16">
        <v>8.7719298245614002E-2</v>
      </c>
      <c r="P39">
        <v>57</v>
      </c>
      <c r="Q39" s="16">
        <v>0.56140350877193002</v>
      </c>
      <c r="R39">
        <v>57</v>
      </c>
      <c r="S39" s="16">
        <v>3.5087719298245598E-2</v>
      </c>
      <c r="T39">
        <v>57</v>
      </c>
      <c r="U39" s="16">
        <v>0.64912280701754399</v>
      </c>
      <c r="V39">
        <v>57</v>
      </c>
      <c r="W39" s="16">
        <v>5.2631578947368397E-2</v>
      </c>
      <c r="X39">
        <v>57</v>
      </c>
      <c r="Y39" s="16">
        <v>0.64912280701754399</v>
      </c>
      <c r="Z39">
        <v>57</v>
      </c>
      <c r="AA39" s="16">
        <v>4.5454545454545497E-2</v>
      </c>
      <c r="AB39">
        <v>44</v>
      </c>
      <c r="AC39" s="16">
        <v>0.40909090909090901</v>
      </c>
      <c r="AD39">
        <v>44</v>
      </c>
      <c r="AE39" s="16"/>
      <c r="AG39" s="16">
        <v>0.45454545454545497</v>
      </c>
      <c r="AH39">
        <v>44</v>
      </c>
      <c r="AI39" s="16">
        <v>4.5454545454545497E-2</v>
      </c>
      <c r="AJ39">
        <v>44</v>
      </c>
      <c r="AK39" s="16">
        <v>0.45454545454545497</v>
      </c>
      <c r="AL39" s="11">
        <v>44</v>
      </c>
    </row>
    <row r="40" spans="1:38" outlineLevel="1" x14ac:dyDescent="0.25">
      <c r="A40" s="6" t="s">
        <v>15</v>
      </c>
      <c r="B40" t="s">
        <v>45</v>
      </c>
      <c r="C40" s="16">
        <v>2.3152306852431598E-2</v>
      </c>
      <c r="D40">
        <v>126</v>
      </c>
      <c r="E40" s="16">
        <v>0.81655749309167303</v>
      </c>
      <c r="F40">
        <v>126</v>
      </c>
      <c r="G40" s="16">
        <v>2.3152306852431598E-2</v>
      </c>
      <c r="H40">
        <v>126</v>
      </c>
      <c r="I40" s="23">
        <v>0.81655749309167303</v>
      </c>
      <c r="J40">
        <v>126</v>
      </c>
      <c r="K40" s="16"/>
      <c r="M40" s="30">
        <v>0.839709799944105</v>
      </c>
      <c r="N40">
        <v>126</v>
      </c>
      <c r="O40" s="16">
        <v>1.58827247422875E-2</v>
      </c>
      <c r="P40">
        <v>61</v>
      </c>
      <c r="Q40" s="16">
        <v>0.83569795462640395</v>
      </c>
      <c r="R40">
        <v>61</v>
      </c>
      <c r="S40" s="16">
        <v>1.58827247422875E-2</v>
      </c>
      <c r="T40">
        <v>61</v>
      </c>
      <c r="U40" s="16">
        <v>0.83569795462640395</v>
      </c>
      <c r="V40">
        <v>61</v>
      </c>
      <c r="W40" s="16"/>
      <c r="Y40" s="16">
        <v>0.85158067936869097</v>
      </c>
      <c r="Z40">
        <v>61</v>
      </c>
      <c r="AA40" s="16">
        <v>3.0023163602688599E-2</v>
      </c>
      <c r="AB40">
        <v>65</v>
      </c>
      <c r="AC40" s="16">
        <v>0.79846685633341596</v>
      </c>
      <c r="AD40">
        <v>65</v>
      </c>
      <c r="AE40" s="16">
        <v>3.0023163602688599E-2</v>
      </c>
      <c r="AF40">
        <v>65</v>
      </c>
      <c r="AG40" s="16">
        <v>0.79846685633341596</v>
      </c>
      <c r="AH40">
        <v>65</v>
      </c>
      <c r="AI40" s="16"/>
      <c r="AK40" s="16">
        <v>0.82849001993610505</v>
      </c>
      <c r="AL40" s="11">
        <v>65</v>
      </c>
    </row>
    <row r="41" spans="1:38" outlineLevel="1" x14ac:dyDescent="0.25">
      <c r="A41" s="6" t="s">
        <v>15</v>
      </c>
      <c r="B41" t="s">
        <v>46</v>
      </c>
      <c r="C41" s="16">
        <v>0.59695817490494296</v>
      </c>
      <c r="D41">
        <v>263</v>
      </c>
      <c r="E41" s="16">
        <v>0.21212121212121199</v>
      </c>
      <c r="F41">
        <v>264</v>
      </c>
      <c r="G41" s="16">
        <v>0.47727272727272702</v>
      </c>
      <c r="H41">
        <v>264</v>
      </c>
      <c r="I41" s="23">
        <v>0.33333333333333298</v>
      </c>
      <c r="J41">
        <v>264</v>
      </c>
      <c r="K41" s="16">
        <v>0.117424242424242</v>
      </c>
      <c r="L41">
        <v>264</v>
      </c>
      <c r="M41" s="30">
        <v>0.80681818181818199</v>
      </c>
      <c r="N41">
        <v>264</v>
      </c>
      <c r="O41" s="16">
        <v>0.59558823529411797</v>
      </c>
      <c r="P41">
        <v>136</v>
      </c>
      <c r="Q41" s="16">
        <v>0.20437956204379601</v>
      </c>
      <c r="R41">
        <v>137</v>
      </c>
      <c r="S41" s="16">
        <v>0.47445255474452602</v>
      </c>
      <c r="T41">
        <v>137</v>
      </c>
      <c r="U41" s="16">
        <v>0.321167883211679</v>
      </c>
      <c r="V41">
        <v>137</v>
      </c>
      <c r="W41" s="16">
        <v>0.116788321167883</v>
      </c>
      <c r="X41">
        <v>137</v>
      </c>
      <c r="Y41" s="16">
        <v>0.79562043795620396</v>
      </c>
      <c r="Z41">
        <v>137</v>
      </c>
      <c r="AA41" s="16">
        <v>0.59842519685039397</v>
      </c>
      <c r="AB41">
        <v>127</v>
      </c>
      <c r="AC41" s="16">
        <v>0.220472440944882</v>
      </c>
      <c r="AD41">
        <v>127</v>
      </c>
      <c r="AE41" s="16">
        <v>0.48031496062992102</v>
      </c>
      <c r="AF41">
        <v>127</v>
      </c>
      <c r="AG41" s="16">
        <v>0.34645669291338599</v>
      </c>
      <c r="AH41">
        <v>127</v>
      </c>
      <c r="AI41" s="16">
        <v>0.118110236220472</v>
      </c>
      <c r="AJ41">
        <v>127</v>
      </c>
      <c r="AK41" s="16">
        <v>0.81889763779527602</v>
      </c>
      <c r="AL41" s="11">
        <v>127</v>
      </c>
    </row>
    <row r="42" spans="1:38" outlineLevel="1" x14ac:dyDescent="0.25">
      <c r="A42" s="6" t="s">
        <v>15</v>
      </c>
      <c r="B42" t="s">
        <v>47</v>
      </c>
      <c r="C42" s="16">
        <v>0.44318181818181801</v>
      </c>
      <c r="D42">
        <v>352</v>
      </c>
      <c r="E42" s="16">
        <v>0.23863636363636401</v>
      </c>
      <c r="F42">
        <v>352</v>
      </c>
      <c r="G42" s="16">
        <v>0.34375</v>
      </c>
      <c r="H42">
        <v>352</v>
      </c>
      <c r="I42" s="23">
        <v>0.34090909090909099</v>
      </c>
      <c r="J42">
        <v>352</v>
      </c>
      <c r="K42" s="16">
        <v>9.9431818181818205E-2</v>
      </c>
      <c r="L42">
        <v>352</v>
      </c>
      <c r="M42" s="30">
        <v>0.68181818181818199</v>
      </c>
      <c r="N42">
        <v>352</v>
      </c>
      <c r="O42" s="16">
        <v>0.43888888888888899</v>
      </c>
      <c r="P42">
        <v>180</v>
      </c>
      <c r="Q42" s="16">
        <v>0.24444444444444399</v>
      </c>
      <c r="R42">
        <v>180</v>
      </c>
      <c r="S42" s="16">
        <v>0.33888888888888902</v>
      </c>
      <c r="T42">
        <v>180</v>
      </c>
      <c r="U42" s="16">
        <v>0.35</v>
      </c>
      <c r="V42">
        <v>180</v>
      </c>
      <c r="W42" s="16">
        <v>0.1</v>
      </c>
      <c r="X42">
        <v>180</v>
      </c>
      <c r="Y42" s="16">
        <v>0.68333333333333302</v>
      </c>
      <c r="Z42">
        <v>180</v>
      </c>
      <c r="AA42" s="16">
        <v>0.44767441860465101</v>
      </c>
      <c r="AB42">
        <v>172</v>
      </c>
      <c r="AC42" s="16">
        <v>0.232558139534884</v>
      </c>
      <c r="AD42">
        <v>172</v>
      </c>
      <c r="AE42" s="16">
        <v>0.34883720930232598</v>
      </c>
      <c r="AF42">
        <v>172</v>
      </c>
      <c r="AG42" s="16">
        <v>0.331395348837209</v>
      </c>
      <c r="AH42">
        <v>172</v>
      </c>
      <c r="AI42" s="16">
        <v>9.8837209302325604E-2</v>
      </c>
      <c r="AJ42">
        <v>172</v>
      </c>
      <c r="AK42" s="16">
        <v>0.68023255813953498</v>
      </c>
      <c r="AL42" s="11">
        <v>172</v>
      </c>
    </row>
    <row r="43" spans="1:38" outlineLevel="1" x14ac:dyDescent="0.25">
      <c r="A43" s="6" t="s">
        <v>15</v>
      </c>
      <c r="B43" t="s">
        <v>48</v>
      </c>
      <c r="C43" s="16">
        <v>0.45624999999999999</v>
      </c>
      <c r="D43">
        <v>160</v>
      </c>
      <c r="E43" s="16">
        <v>0.3</v>
      </c>
      <c r="F43">
        <v>160</v>
      </c>
      <c r="G43" s="16">
        <v>0.33124999999999999</v>
      </c>
      <c r="H43">
        <v>160</v>
      </c>
      <c r="I43" s="23">
        <v>0.42499999999999999</v>
      </c>
      <c r="J43">
        <v>160</v>
      </c>
      <c r="K43" s="16">
        <v>0.125</v>
      </c>
      <c r="L43">
        <v>160</v>
      </c>
      <c r="M43" s="30">
        <v>0.75624999999999998</v>
      </c>
      <c r="N43">
        <v>160</v>
      </c>
      <c r="O43" s="16">
        <v>0.373493975903614</v>
      </c>
      <c r="P43">
        <v>83</v>
      </c>
      <c r="Q43" s="16">
        <v>0.38554216867469898</v>
      </c>
      <c r="R43">
        <v>83</v>
      </c>
      <c r="S43" s="16">
        <v>0.28915662650602397</v>
      </c>
      <c r="T43">
        <v>83</v>
      </c>
      <c r="U43" s="16">
        <v>0.469879518072289</v>
      </c>
      <c r="V43">
        <v>83</v>
      </c>
      <c r="W43" s="16">
        <v>8.4337349397590397E-2</v>
      </c>
      <c r="X43">
        <v>83</v>
      </c>
      <c r="Y43" s="16">
        <v>0.75903614457831303</v>
      </c>
      <c r="Z43">
        <v>83</v>
      </c>
      <c r="AA43" s="16">
        <v>0.54545454545454597</v>
      </c>
      <c r="AB43">
        <v>77</v>
      </c>
      <c r="AC43" s="16">
        <v>0.207792207792208</v>
      </c>
      <c r="AD43">
        <v>77</v>
      </c>
      <c r="AE43" s="16">
        <v>0.37662337662337703</v>
      </c>
      <c r="AF43">
        <v>77</v>
      </c>
      <c r="AG43" s="16">
        <v>0.37662337662337703</v>
      </c>
      <c r="AH43">
        <v>77</v>
      </c>
      <c r="AI43" s="16">
        <v>0.168831168831169</v>
      </c>
      <c r="AJ43">
        <v>77</v>
      </c>
      <c r="AK43" s="16">
        <v>0.75324675324675305</v>
      </c>
      <c r="AL43" s="11">
        <v>77</v>
      </c>
    </row>
    <row r="44" spans="1:38" outlineLevel="1" x14ac:dyDescent="0.25">
      <c r="A44" s="6" t="s">
        <v>15</v>
      </c>
      <c r="B44" t="s">
        <v>49</v>
      </c>
      <c r="C44" s="16">
        <v>0.372</v>
      </c>
      <c r="D44">
        <v>250</v>
      </c>
      <c r="E44" s="16">
        <v>0.50196078431372504</v>
      </c>
      <c r="F44">
        <v>255</v>
      </c>
      <c r="G44" s="16">
        <v>0.14509803921568601</v>
      </c>
      <c r="H44">
        <v>255</v>
      </c>
      <c r="I44" s="23">
        <v>0.72156862745098005</v>
      </c>
      <c r="J44">
        <v>255</v>
      </c>
      <c r="K44" s="16">
        <v>0.21960784313725501</v>
      </c>
      <c r="L44">
        <v>255</v>
      </c>
      <c r="M44" s="30">
        <v>0.86666666666666703</v>
      </c>
      <c r="N44">
        <v>255</v>
      </c>
      <c r="O44" s="16">
        <v>0.34848484848484801</v>
      </c>
      <c r="P44">
        <v>132</v>
      </c>
      <c r="Q44" s="16">
        <v>0.53787878787878796</v>
      </c>
      <c r="R44">
        <v>132</v>
      </c>
      <c r="S44" s="16">
        <v>0.11363636363636399</v>
      </c>
      <c r="T44">
        <v>132</v>
      </c>
      <c r="U44" s="16">
        <v>0.77272727272727304</v>
      </c>
      <c r="V44">
        <v>132</v>
      </c>
      <c r="W44" s="16">
        <v>0.234848484848485</v>
      </c>
      <c r="X44">
        <v>132</v>
      </c>
      <c r="Y44" s="16">
        <v>0.88636363636363602</v>
      </c>
      <c r="Z44">
        <v>132</v>
      </c>
      <c r="AA44" s="16">
        <v>0.39830508474576298</v>
      </c>
      <c r="AB44">
        <v>118</v>
      </c>
      <c r="AC44" s="16">
        <v>0.46341463414634099</v>
      </c>
      <c r="AD44">
        <v>123</v>
      </c>
      <c r="AE44" s="16">
        <v>0.17886178861788599</v>
      </c>
      <c r="AF44">
        <v>123</v>
      </c>
      <c r="AG44" s="16">
        <v>0.66666666666666696</v>
      </c>
      <c r="AH44">
        <v>123</v>
      </c>
      <c r="AI44" s="16">
        <v>0.203252032520325</v>
      </c>
      <c r="AJ44">
        <v>123</v>
      </c>
      <c r="AK44" s="16">
        <v>0.845528455284553</v>
      </c>
      <c r="AL44" s="11">
        <v>123</v>
      </c>
    </row>
    <row r="45" spans="1:38" outlineLevel="1" x14ac:dyDescent="0.25">
      <c r="A45" s="6" t="s">
        <v>15</v>
      </c>
      <c r="B45" t="s">
        <v>50</v>
      </c>
      <c r="C45" s="16">
        <v>0.31360946745562102</v>
      </c>
      <c r="D45">
        <v>169</v>
      </c>
      <c r="E45" s="16">
        <v>0.585798816568047</v>
      </c>
      <c r="F45">
        <v>169</v>
      </c>
      <c r="G45" s="16">
        <v>0.14792899408283999</v>
      </c>
      <c r="H45">
        <v>169</v>
      </c>
      <c r="I45" s="23">
        <v>0.75147928994082802</v>
      </c>
      <c r="J45">
        <v>169</v>
      </c>
      <c r="K45" s="16">
        <v>0.165680473372781</v>
      </c>
      <c r="L45">
        <v>169</v>
      </c>
      <c r="M45" s="30">
        <v>0.89940828402366901</v>
      </c>
      <c r="N45">
        <v>169</v>
      </c>
      <c r="O45" s="16">
        <v>0.33333333333333298</v>
      </c>
      <c r="P45">
        <v>87</v>
      </c>
      <c r="Q45" s="16">
        <v>0.58620689655172398</v>
      </c>
      <c r="R45">
        <v>87</v>
      </c>
      <c r="S45" s="16">
        <v>0.17241379310344801</v>
      </c>
      <c r="T45">
        <v>87</v>
      </c>
      <c r="U45" s="16">
        <v>0.74712643678160895</v>
      </c>
      <c r="V45">
        <v>87</v>
      </c>
      <c r="W45" s="16">
        <v>0.160919540229885</v>
      </c>
      <c r="X45">
        <v>87</v>
      </c>
      <c r="Y45" s="16">
        <v>0.91954022988505701</v>
      </c>
      <c r="Z45">
        <v>87</v>
      </c>
      <c r="AA45" s="16">
        <v>0.292682926829268</v>
      </c>
      <c r="AB45">
        <v>82</v>
      </c>
      <c r="AC45" s="16">
        <v>0.58536585365853699</v>
      </c>
      <c r="AD45">
        <v>82</v>
      </c>
      <c r="AE45" s="16">
        <v>0.12195121951219499</v>
      </c>
      <c r="AF45">
        <v>82</v>
      </c>
      <c r="AG45" s="16">
        <v>0.75609756097560998</v>
      </c>
      <c r="AH45">
        <v>82</v>
      </c>
      <c r="AI45" s="16">
        <v>0.17073170731707299</v>
      </c>
      <c r="AJ45">
        <v>82</v>
      </c>
      <c r="AK45" s="16">
        <v>0.87804878048780499</v>
      </c>
      <c r="AL45" s="11">
        <v>82</v>
      </c>
    </row>
    <row r="46" spans="1:38" outlineLevel="1" x14ac:dyDescent="0.25">
      <c r="A46" s="6" t="s">
        <v>15</v>
      </c>
      <c r="B46" t="s">
        <v>51</v>
      </c>
      <c r="C46" s="16">
        <v>0.47191011235955099</v>
      </c>
      <c r="D46">
        <v>178</v>
      </c>
      <c r="E46" s="16">
        <v>0.41111111111111098</v>
      </c>
      <c r="F46">
        <v>180</v>
      </c>
      <c r="G46" s="16">
        <v>0.266666666666667</v>
      </c>
      <c r="H46">
        <v>180</v>
      </c>
      <c r="I46" s="23">
        <v>0.62777777777777799</v>
      </c>
      <c r="J46">
        <v>180</v>
      </c>
      <c r="K46" s="16">
        <v>0.2</v>
      </c>
      <c r="L46">
        <v>180</v>
      </c>
      <c r="M46" s="30">
        <v>0.87777777777777799</v>
      </c>
      <c r="N46">
        <v>180</v>
      </c>
      <c r="O46" s="16">
        <v>0.51020408163265296</v>
      </c>
      <c r="P46">
        <v>98</v>
      </c>
      <c r="Q46" s="16">
        <v>0.42424242424242398</v>
      </c>
      <c r="R46">
        <v>99</v>
      </c>
      <c r="S46" s="16">
        <v>0.30303030303030298</v>
      </c>
      <c r="T46">
        <v>99</v>
      </c>
      <c r="U46" s="16">
        <v>0.63636363636363602</v>
      </c>
      <c r="V46">
        <v>99</v>
      </c>
      <c r="W46" s="16">
        <v>0.20202020202020199</v>
      </c>
      <c r="X46">
        <v>99</v>
      </c>
      <c r="Y46" s="16">
        <v>0.92929292929292895</v>
      </c>
      <c r="Z46">
        <v>99</v>
      </c>
      <c r="AA46" s="16">
        <v>0.42499999999999999</v>
      </c>
      <c r="AB46">
        <v>80</v>
      </c>
      <c r="AC46" s="16">
        <v>0.39506172839506198</v>
      </c>
      <c r="AD46">
        <v>81</v>
      </c>
      <c r="AE46" s="16">
        <v>0.22222222222222199</v>
      </c>
      <c r="AF46">
        <v>81</v>
      </c>
      <c r="AG46" s="16">
        <v>0.61728395061728403</v>
      </c>
      <c r="AH46">
        <v>81</v>
      </c>
      <c r="AI46" s="16">
        <v>0.19753086419753099</v>
      </c>
      <c r="AJ46">
        <v>81</v>
      </c>
      <c r="AK46" s="16">
        <v>0.81481481481481499</v>
      </c>
      <c r="AL46" s="11">
        <v>81</v>
      </c>
    </row>
    <row r="47" spans="1:38" outlineLevel="1" x14ac:dyDescent="0.25">
      <c r="A47" s="6" t="s">
        <v>15</v>
      </c>
      <c r="B47" t="s">
        <v>52</v>
      </c>
      <c r="C47" s="16">
        <v>0.85308350279206602</v>
      </c>
      <c r="D47">
        <v>265</v>
      </c>
      <c r="E47" s="16">
        <v>5.1815947790876997E-2</v>
      </c>
      <c r="F47">
        <v>265</v>
      </c>
      <c r="G47" s="16">
        <v>0.39388647863888299</v>
      </c>
      <c r="H47">
        <v>265</v>
      </c>
      <c r="I47" s="23">
        <v>0.51101297194406003</v>
      </c>
      <c r="J47">
        <v>265</v>
      </c>
      <c r="K47" s="16">
        <v>0.45919702415318298</v>
      </c>
      <c r="L47">
        <v>265</v>
      </c>
      <c r="M47" s="30">
        <v>0.90489945058294297</v>
      </c>
      <c r="N47">
        <v>265</v>
      </c>
      <c r="O47" s="16">
        <v>0.88586237342397001</v>
      </c>
      <c r="P47">
        <v>121</v>
      </c>
      <c r="Q47" s="16">
        <v>3.4366837112074999E-2</v>
      </c>
      <c r="R47">
        <v>121</v>
      </c>
      <c r="S47" s="16">
        <v>0.39283275055028</v>
      </c>
      <c r="T47">
        <v>121</v>
      </c>
      <c r="U47" s="16">
        <v>0.52739645998576501</v>
      </c>
      <c r="V47">
        <v>121</v>
      </c>
      <c r="W47" s="16">
        <v>0.49302962287369001</v>
      </c>
      <c r="X47">
        <v>121</v>
      </c>
      <c r="Y47" s="16">
        <v>0.92022921053604501</v>
      </c>
      <c r="Z47">
        <v>121</v>
      </c>
      <c r="AA47" s="16">
        <v>0.82401224611889501</v>
      </c>
      <c r="AB47">
        <v>143</v>
      </c>
      <c r="AC47" s="16">
        <v>6.7094641793592799E-2</v>
      </c>
      <c r="AD47">
        <v>143</v>
      </c>
      <c r="AE47" s="16">
        <v>0.39772221895790599</v>
      </c>
      <c r="AF47">
        <v>143</v>
      </c>
      <c r="AG47" s="16">
        <v>0.493384668954582</v>
      </c>
      <c r="AH47">
        <v>143</v>
      </c>
      <c r="AI47" s="16">
        <v>0.42629002716098902</v>
      </c>
      <c r="AJ47">
        <v>143</v>
      </c>
      <c r="AK47" s="16">
        <v>0.89110688791248704</v>
      </c>
      <c r="AL47" s="11">
        <v>143</v>
      </c>
    </row>
    <row r="48" spans="1:38" outlineLevel="1" x14ac:dyDescent="0.25">
      <c r="A48" s="6" t="s">
        <v>15</v>
      </c>
      <c r="B48" t="s">
        <v>53</v>
      </c>
      <c r="C48" s="16">
        <v>0.71217712177121795</v>
      </c>
      <c r="D48">
        <v>271</v>
      </c>
      <c r="E48" s="16">
        <v>7.3800738007380098E-3</v>
      </c>
      <c r="F48">
        <v>271</v>
      </c>
      <c r="G48" s="16">
        <v>0.35055350553505499</v>
      </c>
      <c r="H48">
        <v>271</v>
      </c>
      <c r="I48" s="23">
        <v>0.36900369003689998</v>
      </c>
      <c r="J48">
        <v>271</v>
      </c>
      <c r="K48" s="16">
        <v>0.36162361623616202</v>
      </c>
      <c r="L48">
        <v>271</v>
      </c>
      <c r="M48" s="30">
        <v>0.71955719557195597</v>
      </c>
      <c r="N48">
        <v>271</v>
      </c>
      <c r="O48" s="16">
        <v>0.75694444444444497</v>
      </c>
      <c r="P48">
        <v>144</v>
      </c>
      <c r="Q48" s="16"/>
      <c r="S48" s="16">
        <v>0.38194444444444398</v>
      </c>
      <c r="T48">
        <v>144</v>
      </c>
      <c r="U48" s="16">
        <v>0.375</v>
      </c>
      <c r="V48">
        <v>144</v>
      </c>
      <c r="W48" s="16">
        <v>0.375</v>
      </c>
      <c r="X48">
        <v>144</v>
      </c>
      <c r="Y48" s="16">
        <v>0.75694444444444497</v>
      </c>
      <c r="Z48">
        <v>144</v>
      </c>
      <c r="AA48" s="16">
        <v>0.66141732283464605</v>
      </c>
      <c r="AB48">
        <v>127</v>
      </c>
      <c r="AC48" s="16">
        <v>1.5748031496062999E-2</v>
      </c>
      <c r="AD48">
        <v>127</v>
      </c>
      <c r="AE48" s="16">
        <v>0.31496062992126</v>
      </c>
      <c r="AF48">
        <v>127</v>
      </c>
      <c r="AG48" s="16">
        <v>0.36220472440944901</v>
      </c>
      <c r="AH48">
        <v>127</v>
      </c>
      <c r="AI48" s="16">
        <v>0.34645669291338599</v>
      </c>
      <c r="AJ48">
        <v>127</v>
      </c>
      <c r="AK48" s="16">
        <v>0.67716535433070901</v>
      </c>
      <c r="AL48" s="11">
        <v>127</v>
      </c>
    </row>
    <row r="49" spans="1:38" outlineLevel="1" x14ac:dyDescent="0.25">
      <c r="A49" s="6" t="s">
        <v>15</v>
      </c>
      <c r="B49" t="s">
        <v>54</v>
      </c>
      <c r="C49" s="16">
        <v>0.82901877828446602</v>
      </c>
      <c r="D49">
        <v>294</v>
      </c>
      <c r="E49" s="16">
        <v>3.9394517365144897E-2</v>
      </c>
      <c r="F49">
        <v>294</v>
      </c>
      <c r="G49" s="16">
        <v>0.42836913864951198</v>
      </c>
      <c r="H49">
        <v>294</v>
      </c>
      <c r="I49" s="23">
        <v>0.44004415700009802</v>
      </c>
      <c r="J49">
        <v>294</v>
      </c>
      <c r="K49" s="16">
        <v>0.40064963963495298</v>
      </c>
      <c r="L49">
        <v>294</v>
      </c>
      <c r="M49" s="30">
        <v>0.86841329564961101</v>
      </c>
      <c r="N49">
        <v>294</v>
      </c>
      <c r="O49" s="16">
        <v>0.89895573971533704</v>
      </c>
      <c r="P49">
        <v>137</v>
      </c>
      <c r="Q49" s="16">
        <v>2.8144239226033398E-2</v>
      </c>
      <c r="R49">
        <v>137</v>
      </c>
      <c r="S49" s="16">
        <v>0.48621898497404797</v>
      </c>
      <c r="T49">
        <v>137</v>
      </c>
      <c r="U49" s="16">
        <v>0.440880993967322</v>
      </c>
      <c r="V49">
        <v>137</v>
      </c>
      <c r="W49" s="16">
        <v>0.41273675474128901</v>
      </c>
      <c r="X49">
        <v>137</v>
      </c>
      <c r="Y49" s="16">
        <v>0.92709997894136997</v>
      </c>
      <c r="Z49">
        <v>137</v>
      </c>
      <c r="AA49" s="16">
        <v>0.772600409925428</v>
      </c>
      <c r="AB49">
        <v>156</v>
      </c>
      <c r="AC49" s="16">
        <v>4.95399241201867E-2</v>
      </c>
      <c r="AD49">
        <v>156</v>
      </c>
      <c r="AE49" s="16">
        <v>0.38010771444769098</v>
      </c>
      <c r="AF49">
        <v>156</v>
      </c>
      <c r="AG49" s="16">
        <v>0.442032619597924</v>
      </c>
      <c r="AH49">
        <v>156</v>
      </c>
      <c r="AI49" s="16">
        <v>0.39249269547773802</v>
      </c>
      <c r="AJ49">
        <v>156</v>
      </c>
      <c r="AK49" s="16">
        <v>0.82214033404561504</v>
      </c>
      <c r="AL49" s="11">
        <v>156</v>
      </c>
    </row>
    <row r="50" spans="1:38" outlineLevel="1" x14ac:dyDescent="0.25">
      <c r="A50" s="6" t="s">
        <v>15</v>
      </c>
      <c r="B50" t="s">
        <v>55</v>
      </c>
      <c r="C50" s="16">
        <v>0.21567342965335101</v>
      </c>
      <c r="D50">
        <v>235</v>
      </c>
      <c r="E50" s="16">
        <v>0.56672052669880302</v>
      </c>
      <c r="F50">
        <v>235</v>
      </c>
      <c r="G50" s="16">
        <v>0.106049619169454</v>
      </c>
      <c r="H50">
        <v>235</v>
      </c>
      <c r="I50" s="23">
        <v>0.68419718049072298</v>
      </c>
      <c r="J50">
        <v>235</v>
      </c>
      <c r="K50" s="16">
        <v>0.10962381048389699</v>
      </c>
      <c r="L50">
        <v>235</v>
      </c>
      <c r="M50" s="30">
        <v>0.78239395635215403</v>
      </c>
      <c r="N50">
        <v>235</v>
      </c>
      <c r="O50" s="16">
        <v>0.23341027705181999</v>
      </c>
      <c r="P50">
        <v>112</v>
      </c>
      <c r="Q50" s="16">
        <v>0.58583887579286098</v>
      </c>
      <c r="R50">
        <v>112</v>
      </c>
      <c r="S50" s="16">
        <v>9.9433910512391893E-2</v>
      </c>
      <c r="T50">
        <v>112</v>
      </c>
      <c r="U50" s="16">
        <v>0.73638756075102096</v>
      </c>
      <c r="V50">
        <v>112</v>
      </c>
      <c r="W50" s="16">
        <v>0.13397636653942799</v>
      </c>
      <c r="X50">
        <v>112</v>
      </c>
      <c r="Y50" s="16">
        <v>0.81924915284468103</v>
      </c>
      <c r="Z50">
        <v>112</v>
      </c>
      <c r="AA50" s="16">
        <v>0.18757383943506101</v>
      </c>
      <c r="AB50">
        <v>121</v>
      </c>
      <c r="AC50" s="16">
        <v>0.55782804667104702</v>
      </c>
      <c r="AD50">
        <v>121</v>
      </c>
      <c r="AE50" s="16">
        <v>9.8553530609749099E-2</v>
      </c>
      <c r="AF50">
        <v>121</v>
      </c>
      <c r="AG50" s="16">
        <v>0.64684835549635999</v>
      </c>
      <c r="AH50">
        <v>121</v>
      </c>
      <c r="AI50" s="16">
        <v>8.9020308825312297E-2</v>
      </c>
      <c r="AJ50">
        <v>121</v>
      </c>
      <c r="AK50" s="16">
        <v>0.74540188610610902</v>
      </c>
      <c r="AL50" s="11">
        <v>121</v>
      </c>
    </row>
    <row r="51" spans="1:38" outlineLevel="1" x14ac:dyDescent="0.25">
      <c r="A51" s="6" t="s">
        <v>15</v>
      </c>
      <c r="B51" t="s">
        <v>56</v>
      </c>
      <c r="C51" s="16">
        <v>0.27851839763250003</v>
      </c>
      <c r="D51">
        <v>208</v>
      </c>
      <c r="E51" s="16">
        <v>0.46331016290292398</v>
      </c>
      <c r="F51">
        <v>208</v>
      </c>
      <c r="G51" s="16">
        <v>0.17600943556353901</v>
      </c>
      <c r="H51">
        <v>208</v>
      </c>
      <c r="I51" s="23">
        <v>0.59950512664702005</v>
      </c>
      <c r="J51">
        <v>208</v>
      </c>
      <c r="K51" s="16">
        <v>0.102508962068961</v>
      </c>
      <c r="L51">
        <v>208</v>
      </c>
      <c r="M51" s="30">
        <v>0.74182856053542401</v>
      </c>
      <c r="N51">
        <v>208</v>
      </c>
      <c r="O51" s="16">
        <v>0.21400707919069201</v>
      </c>
      <c r="P51">
        <v>114</v>
      </c>
      <c r="Q51" s="16">
        <v>0.42749823604595699</v>
      </c>
      <c r="R51">
        <v>114</v>
      </c>
      <c r="S51" s="16">
        <v>0.115847025943542</v>
      </c>
      <c r="T51">
        <v>114</v>
      </c>
      <c r="U51" s="16">
        <v>0.57019830260595294</v>
      </c>
      <c r="V51">
        <v>114</v>
      </c>
      <c r="W51" s="16">
        <v>9.8160053247149701E-2</v>
      </c>
      <c r="X51">
        <v>114</v>
      </c>
      <c r="Y51" s="16">
        <v>0.641505315236649</v>
      </c>
      <c r="Z51">
        <v>114</v>
      </c>
      <c r="AA51" s="16">
        <v>0.36027018277628198</v>
      </c>
      <c r="AB51">
        <v>93</v>
      </c>
      <c r="AC51" s="16">
        <v>0.50178708895428903</v>
      </c>
      <c r="AD51">
        <v>93</v>
      </c>
      <c r="AE51" s="16">
        <v>0.25141364182264198</v>
      </c>
      <c r="AF51">
        <v>93</v>
      </c>
      <c r="AG51" s="16">
        <v>0.631379521503178</v>
      </c>
      <c r="AH51">
        <v>93</v>
      </c>
      <c r="AI51" s="16">
        <v>0.10885654095364</v>
      </c>
      <c r="AJ51">
        <v>93</v>
      </c>
      <c r="AK51" s="16">
        <v>0.86205727173057101</v>
      </c>
      <c r="AL51" s="11">
        <v>93</v>
      </c>
    </row>
    <row r="52" spans="1:38" outlineLevel="1" x14ac:dyDescent="0.25">
      <c r="A52" s="6" t="s">
        <v>15</v>
      </c>
      <c r="B52" t="s">
        <v>57</v>
      </c>
      <c r="C52" s="16">
        <v>0.47752371956288903</v>
      </c>
      <c r="D52">
        <v>190</v>
      </c>
      <c r="E52" s="16">
        <v>0.37391292990922598</v>
      </c>
      <c r="F52">
        <v>191</v>
      </c>
      <c r="G52" s="16">
        <v>0.34430082185632099</v>
      </c>
      <c r="H52">
        <v>191</v>
      </c>
      <c r="I52" s="23">
        <v>0.562910197603534</v>
      </c>
      <c r="J52">
        <v>191</v>
      </c>
      <c r="K52" s="16">
        <v>0.13073097476477599</v>
      </c>
      <c r="L52">
        <v>191</v>
      </c>
      <c r="M52" s="30">
        <v>0.84894472653032305</v>
      </c>
      <c r="N52">
        <v>191</v>
      </c>
      <c r="O52" s="16">
        <v>0.44471394973053002</v>
      </c>
      <c r="P52">
        <v>93</v>
      </c>
      <c r="Q52" s="16">
        <v>0.41118343872674701</v>
      </c>
      <c r="R52">
        <v>94</v>
      </c>
      <c r="S52" s="16">
        <v>0.31256959649955202</v>
      </c>
      <c r="T52">
        <v>94</v>
      </c>
      <c r="U52" s="16">
        <v>0.59249690097209096</v>
      </c>
      <c r="V52">
        <v>94</v>
      </c>
      <c r="W52" s="16">
        <v>0.12742215250404201</v>
      </c>
      <c r="X52">
        <v>94</v>
      </c>
      <c r="Y52" s="16">
        <v>0.85117518773033995</v>
      </c>
      <c r="Z52">
        <v>94</v>
      </c>
      <c r="AA52" s="16">
        <v>0.50889310539677601</v>
      </c>
      <c r="AB52">
        <v>97</v>
      </c>
      <c r="AC52" s="16">
        <v>0.33789619211614302</v>
      </c>
      <c r="AD52">
        <v>97</v>
      </c>
      <c r="AE52" s="16">
        <v>0.37496461636268102</v>
      </c>
      <c r="AF52">
        <v>97</v>
      </c>
      <c r="AG52" s="16">
        <v>0.53431878387735199</v>
      </c>
      <c r="AH52">
        <v>97</v>
      </c>
      <c r="AI52" s="16">
        <v>0.13392848903409499</v>
      </c>
      <c r="AJ52">
        <v>97</v>
      </c>
      <c r="AK52" s="16">
        <v>0.84678929751291898</v>
      </c>
      <c r="AL52" s="11">
        <v>97</v>
      </c>
    </row>
    <row r="53" spans="1:38" outlineLevel="1" x14ac:dyDescent="0.25">
      <c r="A53" s="6" t="s">
        <v>15</v>
      </c>
      <c r="B53" t="s">
        <v>58</v>
      </c>
      <c r="C53" s="16">
        <v>0.68504937059809101</v>
      </c>
      <c r="D53">
        <v>145</v>
      </c>
      <c r="E53" s="16">
        <v>0.13536614073994399</v>
      </c>
      <c r="F53">
        <v>152</v>
      </c>
      <c r="G53" s="16">
        <v>0.33088252528830397</v>
      </c>
      <c r="H53">
        <v>152</v>
      </c>
      <c r="I53" s="23">
        <v>0.46198227884010001</v>
      </c>
      <c r="J53">
        <v>152</v>
      </c>
      <c r="K53" s="16">
        <v>0.32661613810015599</v>
      </c>
      <c r="L53">
        <v>152</v>
      </c>
      <c r="M53" s="30">
        <v>0.79286480412840399</v>
      </c>
      <c r="N53">
        <v>152</v>
      </c>
      <c r="O53" s="16">
        <v>0.72069942124646802</v>
      </c>
      <c r="P53">
        <v>70</v>
      </c>
      <c r="Q53" s="16">
        <v>0.15630660375672201</v>
      </c>
      <c r="R53">
        <v>73</v>
      </c>
      <c r="S53" s="16">
        <v>0.39561653992458501</v>
      </c>
      <c r="T53">
        <v>73</v>
      </c>
      <c r="U53" s="16">
        <v>0.454075771883864</v>
      </c>
      <c r="V53">
        <v>73</v>
      </c>
      <c r="W53" s="16">
        <v>0.29776916812714199</v>
      </c>
      <c r="X53">
        <v>73</v>
      </c>
      <c r="Y53" s="16">
        <v>0.84969231180844895</v>
      </c>
      <c r="Z53">
        <v>73</v>
      </c>
      <c r="AA53" s="16">
        <v>0.65349297489811098</v>
      </c>
      <c r="AB53">
        <v>75</v>
      </c>
      <c r="AC53" s="16">
        <v>0.11691426530912701</v>
      </c>
      <c r="AD53">
        <v>79</v>
      </c>
      <c r="AE53" s="16">
        <v>0.27384157193172098</v>
      </c>
      <c r="AF53">
        <v>79</v>
      </c>
      <c r="AG53" s="16">
        <v>0.46894916784023599</v>
      </c>
      <c r="AH53">
        <v>79</v>
      </c>
      <c r="AI53" s="16">
        <v>0.35203490253110897</v>
      </c>
      <c r="AJ53">
        <v>79</v>
      </c>
      <c r="AK53" s="16">
        <v>0.74279073977195698</v>
      </c>
      <c r="AL53" s="11">
        <v>79</v>
      </c>
    </row>
    <row r="54" spans="1:38" outlineLevel="1" x14ac:dyDescent="0.25">
      <c r="A54" s="6" t="s">
        <v>15</v>
      </c>
      <c r="B54" t="s">
        <v>59</v>
      </c>
      <c r="C54" s="16">
        <v>0.16447368421052599</v>
      </c>
      <c r="D54">
        <v>152</v>
      </c>
      <c r="E54" s="16">
        <v>0.71337579617834401</v>
      </c>
      <c r="F54">
        <v>157</v>
      </c>
      <c r="G54" s="16">
        <v>0.11464968152866201</v>
      </c>
      <c r="H54">
        <v>157</v>
      </c>
      <c r="I54" s="23">
        <v>0.76433121019108297</v>
      </c>
      <c r="J54">
        <v>157</v>
      </c>
      <c r="K54" s="16">
        <v>4.4585987261146501E-2</v>
      </c>
      <c r="L54">
        <v>157</v>
      </c>
      <c r="M54" s="30">
        <v>0.87261146496815301</v>
      </c>
      <c r="N54">
        <v>157</v>
      </c>
      <c r="O54" s="16">
        <v>0.164556962025316</v>
      </c>
      <c r="P54">
        <v>79</v>
      </c>
      <c r="Q54" s="16">
        <v>0.73493975903614495</v>
      </c>
      <c r="R54">
        <v>83</v>
      </c>
      <c r="S54" s="16">
        <v>0.132530120481928</v>
      </c>
      <c r="T54">
        <v>83</v>
      </c>
      <c r="U54" s="16">
        <v>0.75903614457831303</v>
      </c>
      <c r="V54">
        <v>83</v>
      </c>
      <c r="W54" s="16">
        <v>2.40963855421687E-2</v>
      </c>
      <c r="X54">
        <v>83</v>
      </c>
      <c r="Y54" s="16">
        <v>0.89156626506024095</v>
      </c>
      <c r="Z54">
        <v>83</v>
      </c>
      <c r="AA54" s="16">
        <v>0.164383561643836</v>
      </c>
      <c r="AB54">
        <v>73</v>
      </c>
      <c r="AC54" s="16">
        <v>0.68918918918918903</v>
      </c>
      <c r="AD54">
        <v>74</v>
      </c>
      <c r="AE54" s="16">
        <v>9.45945945945946E-2</v>
      </c>
      <c r="AF54">
        <v>74</v>
      </c>
      <c r="AG54" s="16">
        <v>0.77027027027026995</v>
      </c>
      <c r="AH54">
        <v>74</v>
      </c>
      <c r="AI54" s="16">
        <v>6.7567567567567599E-2</v>
      </c>
      <c r="AJ54">
        <v>74</v>
      </c>
      <c r="AK54" s="16">
        <v>0.85135135135135098</v>
      </c>
      <c r="AL54" s="11">
        <v>74</v>
      </c>
    </row>
    <row r="55" spans="1:38" outlineLevel="1" x14ac:dyDescent="0.25">
      <c r="A55" s="6" t="s">
        <v>15</v>
      </c>
      <c r="B55" t="s">
        <v>60</v>
      </c>
      <c r="C55" s="16">
        <v>0.77181208053691297</v>
      </c>
      <c r="D55">
        <v>149</v>
      </c>
      <c r="E55" s="16">
        <v>9.9378881987577605E-2</v>
      </c>
      <c r="F55">
        <v>161</v>
      </c>
      <c r="G55" s="16">
        <v>0.41614906832298099</v>
      </c>
      <c r="H55">
        <v>161</v>
      </c>
      <c r="I55" s="23">
        <v>0.40372670807453398</v>
      </c>
      <c r="J55">
        <v>161</v>
      </c>
      <c r="K55" s="16">
        <v>0.29813664596273298</v>
      </c>
      <c r="L55">
        <v>161</v>
      </c>
      <c r="M55" s="30">
        <v>0.81366459627329202</v>
      </c>
      <c r="N55">
        <v>161</v>
      </c>
      <c r="O55" s="16">
        <v>0.78666666666666696</v>
      </c>
      <c r="P55">
        <v>75</v>
      </c>
      <c r="Q55" s="16">
        <v>8.7499999999999994E-2</v>
      </c>
      <c r="R55">
        <v>80</v>
      </c>
      <c r="S55" s="16">
        <v>0.46250000000000002</v>
      </c>
      <c r="T55">
        <v>80</v>
      </c>
      <c r="U55" s="16">
        <v>0.375</v>
      </c>
      <c r="V55">
        <v>80</v>
      </c>
      <c r="W55" s="16">
        <v>0.27500000000000002</v>
      </c>
      <c r="X55">
        <v>80</v>
      </c>
      <c r="Y55" s="16">
        <v>0.82499999999999996</v>
      </c>
      <c r="Z55">
        <v>80</v>
      </c>
      <c r="AA55" s="16">
        <v>0.75675675675675702</v>
      </c>
      <c r="AB55">
        <v>74</v>
      </c>
      <c r="AC55" s="16">
        <v>0.11111111111111099</v>
      </c>
      <c r="AD55">
        <v>81</v>
      </c>
      <c r="AE55" s="16">
        <v>0.37037037037037002</v>
      </c>
      <c r="AF55">
        <v>81</v>
      </c>
      <c r="AG55" s="16">
        <v>0.43209876543209902</v>
      </c>
      <c r="AH55">
        <v>81</v>
      </c>
      <c r="AI55" s="16">
        <v>0.32098765432098803</v>
      </c>
      <c r="AJ55">
        <v>81</v>
      </c>
      <c r="AK55" s="16">
        <v>0.80246913580246904</v>
      </c>
      <c r="AL55" s="11">
        <v>81</v>
      </c>
    </row>
    <row r="56" spans="1:38" outlineLevel="1" x14ac:dyDescent="0.25">
      <c r="A56" s="6" t="s">
        <v>15</v>
      </c>
      <c r="B56" t="s">
        <v>61</v>
      </c>
      <c r="C56" s="16">
        <v>0.133333333333333</v>
      </c>
      <c r="D56">
        <v>150</v>
      </c>
      <c r="E56" s="16">
        <v>0.74666666666666703</v>
      </c>
      <c r="F56">
        <v>150</v>
      </c>
      <c r="G56" s="16">
        <v>0.02</v>
      </c>
      <c r="H56">
        <v>150</v>
      </c>
      <c r="I56" s="23">
        <v>0.86666666666666703</v>
      </c>
      <c r="J56">
        <v>150</v>
      </c>
      <c r="K56" s="16">
        <v>0.11333333333333299</v>
      </c>
      <c r="L56">
        <v>150</v>
      </c>
      <c r="M56" s="30">
        <v>0.88</v>
      </c>
      <c r="N56">
        <v>150</v>
      </c>
      <c r="O56" s="16">
        <v>0.11111111111111099</v>
      </c>
      <c r="P56">
        <v>81</v>
      </c>
      <c r="Q56" s="16">
        <v>0.75308641975308599</v>
      </c>
      <c r="R56">
        <v>81</v>
      </c>
      <c r="S56" s="16">
        <v>1.2345679012345699E-2</v>
      </c>
      <c r="T56">
        <v>81</v>
      </c>
      <c r="U56" s="16">
        <v>0.85185185185185197</v>
      </c>
      <c r="V56">
        <v>81</v>
      </c>
      <c r="W56" s="16">
        <v>9.8765432098765399E-2</v>
      </c>
      <c r="X56">
        <v>81</v>
      </c>
      <c r="Y56" s="16">
        <v>0.86419753086419704</v>
      </c>
      <c r="Z56">
        <v>81</v>
      </c>
      <c r="AA56" s="16">
        <v>0.15942028985507201</v>
      </c>
      <c r="AB56">
        <v>69</v>
      </c>
      <c r="AC56" s="16">
        <v>0.73913043478260898</v>
      </c>
      <c r="AD56">
        <v>69</v>
      </c>
      <c r="AE56" s="16">
        <v>2.8985507246376802E-2</v>
      </c>
      <c r="AF56">
        <v>69</v>
      </c>
      <c r="AG56" s="16">
        <v>0.88405797101449302</v>
      </c>
      <c r="AH56">
        <v>69</v>
      </c>
      <c r="AI56" s="16">
        <v>0.13043478260869601</v>
      </c>
      <c r="AJ56">
        <v>69</v>
      </c>
      <c r="AK56" s="16">
        <v>0.89855072463768104</v>
      </c>
      <c r="AL56" s="11">
        <v>69</v>
      </c>
    </row>
    <row r="57" spans="1:38" outlineLevel="1" x14ac:dyDescent="0.25">
      <c r="A57" s="6" t="s">
        <v>15</v>
      </c>
      <c r="B57" t="s">
        <v>62</v>
      </c>
      <c r="C57" s="16">
        <v>0.41296784688687799</v>
      </c>
      <c r="D57">
        <v>195</v>
      </c>
      <c r="E57" s="16">
        <v>0.306310908732918</v>
      </c>
      <c r="F57">
        <v>195</v>
      </c>
      <c r="G57" s="16">
        <v>5.52840861704278E-2</v>
      </c>
      <c r="H57">
        <v>195</v>
      </c>
      <c r="I57" s="23">
        <v>0.66399466944936802</v>
      </c>
      <c r="J57">
        <v>195</v>
      </c>
      <c r="K57" s="16">
        <v>0.35768376071645003</v>
      </c>
      <c r="L57">
        <v>195</v>
      </c>
      <c r="M57" s="30">
        <v>0.71927875561979604</v>
      </c>
      <c r="N57">
        <v>195</v>
      </c>
      <c r="O57" s="16">
        <v>0.45319386256546002</v>
      </c>
      <c r="P57">
        <v>91</v>
      </c>
      <c r="Q57" s="16">
        <v>0.23910083687038999</v>
      </c>
      <c r="R57">
        <v>91</v>
      </c>
      <c r="S57" s="16">
        <v>6.9712758204824393E-2</v>
      </c>
      <c r="T57">
        <v>91</v>
      </c>
      <c r="U57" s="16">
        <v>0.62258194123102495</v>
      </c>
      <c r="V57">
        <v>91</v>
      </c>
      <c r="W57" s="16">
        <v>0.38348110436063498</v>
      </c>
      <c r="X57">
        <v>91</v>
      </c>
      <c r="Y57" s="16">
        <v>0.69229469943584998</v>
      </c>
      <c r="Z57">
        <v>91</v>
      </c>
      <c r="AA57" s="16">
        <v>0.37720870789778399</v>
      </c>
      <c r="AB57">
        <v>104</v>
      </c>
      <c r="AC57" s="16">
        <v>0.36605767362265601</v>
      </c>
      <c r="AD57">
        <v>104</v>
      </c>
      <c r="AE57" s="16">
        <v>4.2457638410135397E-2</v>
      </c>
      <c r="AF57">
        <v>104</v>
      </c>
      <c r="AG57" s="16">
        <v>0.70080874311030406</v>
      </c>
      <c r="AH57">
        <v>104</v>
      </c>
      <c r="AI57" s="16">
        <v>0.33475106948764799</v>
      </c>
      <c r="AJ57">
        <v>104</v>
      </c>
      <c r="AK57" s="16">
        <v>0.74326638152044</v>
      </c>
      <c r="AL57" s="11">
        <v>104</v>
      </c>
    </row>
    <row r="58" spans="1:38" outlineLevel="1" x14ac:dyDescent="0.25">
      <c r="A58" s="6" t="s">
        <v>15</v>
      </c>
      <c r="B58" t="s">
        <v>63</v>
      </c>
      <c r="C58" s="16">
        <v>0.25324657977343801</v>
      </c>
      <c r="D58">
        <v>215</v>
      </c>
      <c r="E58" s="16">
        <v>0.57307531515173105</v>
      </c>
      <c r="F58">
        <v>216</v>
      </c>
      <c r="G58" s="16">
        <v>4.8145885631210401E-3</v>
      </c>
      <c r="H58">
        <v>216</v>
      </c>
      <c r="I58" s="23">
        <v>0.82029153626788298</v>
      </c>
      <c r="J58">
        <v>216</v>
      </c>
      <c r="K58" s="16">
        <v>0.24721622111615199</v>
      </c>
      <c r="L58">
        <v>216</v>
      </c>
      <c r="M58" s="30">
        <v>0.82510612483100398</v>
      </c>
      <c r="N58">
        <v>216</v>
      </c>
      <c r="O58" s="16">
        <v>0.240235086247713</v>
      </c>
      <c r="P58">
        <v>121</v>
      </c>
      <c r="Q58" s="16">
        <v>0.59326158672079599</v>
      </c>
      <c r="R58">
        <v>122</v>
      </c>
      <c r="S58" s="16"/>
      <c r="U58" s="16">
        <v>0.83145471424721595</v>
      </c>
      <c r="V58">
        <v>122</v>
      </c>
      <c r="W58" s="16">
        <v>0.23819312752642</v>
      </c>
      <c r="X58">
        <v>122</v>
      </c>
      <c r="Y58" s="16">
        <v>0.83145471424721595</v>
      </c>
      <c r="Z58">
        <v>122</v>
      </c>
      <c r="AA58" s="16">
        <v>0.26998952467027099</v>
      </c>
      <c r="AB58">
        <v>94</v>
      </c>
      <c r="AC58" s="16">
        <v>0.54687732232061304</v>
      </c>
      <c r="AD58">
        <v>94</v>
      </c>
      <c r="AE58" s="16">
        <v>1.1063021129277701E-2</v>
      </c>
      <c r="AF58">
        <v>94</v>
      </c>
      <c r="AG58" s="16">
        <v>0.80580382586160604</v>
      </c>
      <c r="AH58">
        <v>94</v>
      </c>
      <c r="AI58" s="16">
        <v>0.258926503540993</v>
      </c>
      <c r="AJ58">
        <v>94</v>
      </c>
      <c r="AK58" s="16">
        <v>0.81686684699088397</v>
      </c>
      <c r="AL58" s="11">
        <v>94</v>
      </c>
    </row>
    <row r="59" spans="1:38" outlineLevel="1" x14ac:dyDescent="0.25">
      <c r="A59" s="6" t="s">
        <v>15</v>
      </c>
      <c r="B59" t="s">
        <v>64</v>
      </c>
      <c r="C59" s="16">
        <v>0.37450831986709299</v>
      </c>
      <c r="D59">
        <v>182</v>
      </c>
      <c r="E59" s="16">
        <v>0.26837113565517501</v>
      </c>
      <c r="F59">
        <v>182</v>
      </c>
      <c r="G59" s="16">
        <v>2.20786070425051E-2</v>
      </c>
      <c r="H59">
        <v>182</v>
      </c>
      <c r="I59" s="23">
        <v>0.62080084847976202</v>
      </c>
      <c r="J59">
        <v>182</v>
      </c>
      <c r="K59" s="16">
        <v>0.35242971282458802</v>
      </c>
      <c r="L59">
        <v>182</v>
      </c>
      <c r="M59" s="30">
        <v>0.642879455522267</v>
      </c>
      <c r="N59">
        <v>182</v>
      </c>
      <c r="O59" s="16">
        <v>0.38053658561500198</v>
      </c>
      <c r="P59">
        <v>100</v>
      </c>
      <c r="Q59" s="16">
        <v>0.28895970911497998</v>
      </c>
      <c r="R59">
        <v>100</v>
      </c>
      <c r="S59" s="16">
        <v>2.01758497809118E-2</v>
      </c>
      <c r="T59">
        <v>100</v>
      </c>
      <c r="U59" s="16">
        <v>0.64932044494907004</v>
      </c>
      <c r="V59">
        <v>100</v>
      </c>
      <c r="W59" s="16">
        <v>0.36036073583409101</v>
      </c>
      <c r="X59">
        <v>100</v>
      </c>
      <c r="Y59" s="16">
        <v>0.66949629472998196</v>
      </c>
      <c r="Z59">
        <v>100</v>
      </c>
      <c r="AA59" s="16">
        <v>0.36716598436550402</v>
      </c>
      <c r="AB59">
        <v>82</v>
      </c>
      <c r="AC59" s="16">
        <v>0.243294568004948</v>
      </c>
      <c r="AD59">
        <v>82</v>
      </c>
      <c r="AE59" s="16">
        <v>2.4396136291700499E-2</v>
      </c>
      <c r="AF59">
        <v>82</v>
      </c>
      <c r="AG59" s="16">
        <v>0.58606441607875104</v>
      </c>
      <c r="AH59">
        <v>82</v>
      </c>
      <c r="AI59" s="16">
        <v>0.34276984807380301</v>
      </c>
      <c r="AJ59">
        <v>82</v>
      </c>
      <c r="AK59" s="16">
        <v>0.61046055237045205</v>
      </c>
      <c r="AL59" s="11">
        <v>82</v>
      </c>
    </row>
    <row r="60" spans="1:38" outlineLevel="1" x14ac:dyDescent="0.25">
      <c r="A60" s="6" t="s">
        <v>15</v>
      </c>
      <c r="B60" t="s">
        <v>65</v>
      </c>
      <c r="C60" s="16">
        <v>0.34210526315789502</v>
      </c>
      <c r="D60">
        <v>152</v>
      </c>
      <c r="E60" s="16">
        <v>0.53947368421052599</v>
      </c>
      <c r="F60">
        <v>152</v>
      </c>
      <c r="G60" s="16"/>
      <c r="I60" s="23">
        <v>0.88157894736842102</v>
      </c>
      <c r="J60">
        <v>152</v>
      </c>
      <c r="K60" s="16">
        <v>0.34210526315789502</v>
      </c>
      <c r="L60">
        <v>152</v>
      </c>
      <c r="M60" s="30">
        <v>0.88157894736842102</v>
      </c>
      <c r="N60">
        <v>152</v>
      </c>
      <c r="O60" s="16">
        <v>0.34666666666666701</v>
      </c>
      <c r="P60">
        <v>75</v>
      </c>
      <c r="Q60" s="16">
        <v>0.53333333333333299</v>
      </c>
      <c r="R60">
        <v>75</v>
      </c>
      <c r="S60" s="16"/>
      <c r="U60" s="16">
        <v>0.88</v>
      </c>
      <c r="V60">
        <v>75</v>
      </c>
      <c r="W60" s="16">
        <v>0.34666666666666701</v>
      </c>
      <c r="X60">
        <v>75</v>
      </c>
      <c r="Y60" s="16">
        <v>0.88</v>
      </c>
      <c r="Z60">
        <v>75</v>
      </c>
      <c r="AA60" s="16">
        <v>0.337662337662338</v>
      </c>
      <c r="AB60">
        <v>77</v>
      </c>
      <c r="AC60" s="16">
        <v>0.54545454545454497</v>
      </c>
      <c r="AD60">
        <v>77</v>
      </c>
      <c r="AE60" s="16"/>
      <c r="AG60" s="16">
        <v>0.88311688311688297</v>
      </c>
      <c r="AH60">
        <v>77</v>
      </c>
      <c r="AI60" s="16">
        <v>0.337662337662338</v>
      </c>
      <c r="AJ60">
        <v>77</v>
      </c>
      <c r="AK60" s="16">
        <v>0.88311688311688297</v>
      </c>
      <c r="AL60" s="11">
        <v>77</v>
      </c>
    </row>
    <row r="61" spans="1:38" outlineLevel="1" x14ac:dyDescent="0.25">
      <c r="A61" s="6" t="s">
        <v>15</v>
      </c>
      <c r="B61" t="s">
        <v>66</v>
      </c>
      <c r="C61" s="16">
        <v>0.26625386996903999</v>
      </c>
      <c r="D61">
        <v>323</v>
      </c>
      <c r="E61" s="16">
        <v>0.31481481481481499</v>
      </c>
      <c r="F61">
        <v>324</v>
      </c>
      <c r="G61" s="16">
        <v>0.101851851851852</v>
      </c>
      <c r="H61">
        <v>324</v>
      </c>
      <c r="I61" s="23">
        <v>0.47839506172839502</v>
      </c>
      <c r="J61">
        <v>324</v>
      </c>
      <c r="K61" s="16">
        <v>0.16358024691358</v>
      </c>
      <c r="L61">
        <v>324</v>
      </c>
      <c r="M61" s="30">
        <v>0.58024691358024705</v>
      </c>
      <c r="N61">
        <v>324</v>
      </c>
      <c r="O61" s="16">
        <v>0.26451612903225802</v>
      </c>
      <c r="P61">
        <v>155</v>
      </c>
      <c r="Q61" s="16">
        <v>0.28846153846153799</v>
      </c>
      <c r="R61">
        <v>156</v>
      </c>
      <c r="S61" s="16">
        <v>9.6153846153846104E-2</v>
      </c>
      <c r="T61">
        <v>156</v>
      </c>
      <c r="U61" s="16">
        <v>0.45512820512820501</v>
      </c>
      <c r="V61">
        <v>156</v>
      </c>
      <c r="W61" s="16">
        <v>0.16666666666666699</v>
      </c>
      <c r="X61">
        <v>156</v>
      </c>
      <c r="Y61" s="16">
        <v>0.55128205128205099</v>
      </c>
      <c r="Z61">
        <v>156</v>
      </c>
      <c r="AA61" s="16">
        <v>0.26785714285714302</v>
      </c>
      <c r="AB61">
        <v>168</v>
      </c>
      <c r="AC61" s="16">
        <v>0.33928571428571402</v>
      </c>
      <c r="AD61">
        <v>168</v>
      </c>
      <c r="AE61" s="16">
        <v>0.107142857142857</v>
      </c>
      <c r="AF61">
        <v>168</v>
      </c>
      <c r="AG61" s="16">
        <v>0.5</v>
      </c>
      <c r="AH61">
        <v>168</v>
      </c>
      <c r="AI61" s="16">
        <v>0.160714285714286</v>
      </c>
      <c r="AJ61">
        <v>168</v>
      </c>
      <c r="AK61" s="16">
        <v>0.60714285714285698</v>
      </c>
      <c r="AL61" s="11">
        <v>168</v>
      </c>
    </row>
    <row r="62" spans="1:38" outlineLevel="1" x14ac:dyDescent="0.25">
      <c r="A62" s="6" t="s">
        <v>15</v>
      </c>
      <c r="B62" t="s">
        <v>67</v>
      </c>
      <c r="C62" s="16">
        <v>0.34929577464788703</v>
      </c>
      <c r="D62">
        <v>355</v>
      </c>
      <c r="E62" s="16">
        <v>0.20786516853932599</v>
      </c>
      <c r="F62">
        <v>356</v>
      </c>
      <c r="G62" s="16">
        <v>0.174157303370786</v>
      </c>
      <c r="H62">
        <v>356</v>
      </c>
      <c r="I62" s="23">
        <v>0.38202247191011202</v>
      </c>
      <c r="J62">
        <v>356</v>
      </c>
      <c r="K62" s="16">
        <v>0.174157303370786</v>
      </c>
      <c r="L62">
        <v>356</v>
      </c>
      <c r="M62" s="30">
        <v>0.55617977528089901</v>
      </c>
      <c r="N62">
        <v>356</v>
      </c>
      <c r="O62" s="16">
        <v>0.297752808988764</v>
      </c>
      <c r="P62">
        <v>178</v>
      </c>
      <c r="Q62" s="16">
        <v>0.26404494382022498</v>
      </c>
      <c r="R62">
        <v>178</v>
      </c>
      <c r="S62" s="16">
        <v>0.14044943820224701</v>
      </c>
      <c r="T62">
        <v>178</v>
      </c>
      <c r="U62" s="16">
        <v>0.42134831460674199</v>
      </c>
      <c r="V62">
        <v>178</v>
      </c>
      <c r="W62" s="16">
        <v>0.15730337078651699</v>
      </c>
      <c r="X62">
        <v>178</v>
      </c>
      <c r="Y62" s="16">
        <v>0.56179775280898903</v>
      </c>
      <c r="Z62">
        <v>178</v>
      </c>
      <c r="AA62" s="16">
        <v>0.40340909090909099</v>
      </c>
      <c r="AB62">
        <v>176</v>
      </c>
      <c r="AC62" s="16">
        <v>0.152542372881356</v>
      </c>
      <c r="AD62">
        <v>177</v>
      </c>
      <c r="AE62" s="16">
        <v>0.209039548022599</v>
      </c>
      <c r="AF62">
        <v>177</v>
      </c>
      <c r="AG62" s="16">
        <v>0.34463276836158202</v>
      </c>
      <c r="AH62">
        <v>177</v>
      </c>
      <c r="AI62" s="16">
        <v>0.19209039548022599</v>
      </c>
      <c r="AJ62">
        <v>177</v>
      </c>
      <c r="AK62" s="16">
        <v>0.55367231638418102</v>
      </c>
      <c r="AL62" s="11">
        <v>177</v>
      </c>
    </row>
    <row r="63" spans="1:38" outlineLevel="1" x14ac:dyDescent="0.25">
      <c r="A63" s="6" t="s">
        <v>15</v>
      </c>
      <c r="B63" t="s">
        <v>68</v>
      </c>
      <c r="C63" s="16">
        <v>0.19148936170212799</v>
      </c>
      <c r="D63">
        <v>282</v>
      </c>
      <c r="E63" s="16">
        <v>0.50709219858155996</v>
      </c>
      <c r="F63">
        <v>282</v>
      </c>
      <c r="G63" s="16">
        <v>0.11347517730496499</v>
      </c>
      <c r="H63">
        <v>282</v>
      </c>
      <c r="I63" s="23">
        <v>0.58510638297872297</v>
      </c>
      <c r="J63">
        <v>282</v>
      </c>
      <c r="K63" s="16">
        <v>7.8014184397163094E-2</v>
      </c>
      <c r="L63">
        <v>282</v>
      </c>
      <c r="M63" s="30">
        <v>0.69858156028368801</v>
      </c>
      <c r="N63">
        <v>282</v>
      </c>
      <c r="O63" s="16">
        <v>0.20261437908496699</v>
      </c>
      <c r="P63">
        <v>153</v>
      </c>
      <c r="Q63" s="16">
        <v>0.52287581699346397</v>
      </c>
      <c r="R63">
        <v>153</v>
      </c>
      <c r="S63" s="16">
        <v>0.13725490196078399</v>
      </c>
      <c r="T63">
        <v>153</v>
      </c>
      <c r="U63" s="16">
        <v>0.58823529411764697</v>
      </c>
      <c r="V63">
        <v>153</v>
      </c>
      <c r="W63" s="16">
        <v>6.5359477124182996E-2</v>
      </c>
      <c r="X63">
        <v>153</v>
      </c>
      <c r="Y63" s="16">
        <v>0.72549019607843102</v>
      </c>
      <c r="Z63">
        <v>153</v>
      </c>
      <c r="AA63" s="16">
        <v>0.178294573643411</v>
      </c>
      <c r="AB63">
        <v>129</v>
      </c>
      <c r="AC63" s="16">
        <v>0.48837209302325602</v>
      </c>
      <c r="AD63">
        <v>129</v>
      </c>
      <c r="AE63" s="16">
        <v>8.5271317829457405E-2</v>
      </c>
      <c r="AF63">
        <v>129</v>
      </c>
      <c r="AG63" s="16">
        <v>0.581395348837209</v>
      </c>
      <c r="AH63">
        <v>129</v>
      </c>
      <c r="AI63" s="16">
        <v>9.3023255813953501E-2</v>
      </c>
      <c r="AJ63">
        <v>129</v>
      </c>
      <c r="AK63" s="16">
        <v>0.66666666666666696</v>
      </c>
      <c r="AL63" s="11">
        <v>129</v>
      </c>
    </row>
    <row r="64" spans="1:38" outlineLevel="1" x14ac:dyDescent="0.25">
      <c r="A64" s="6" t="s">
        <v>15</v>
      </c>
      <c r="B64" t="s">
        <v>69</v>
      </c>
      <c r="C64" s="16">
        <v>0.39739413680781799</v>
      </c>
      <c r="D64">
        <v>307</v>
      </c>
      <c r="E64" s="16">
        <v>0.25407166123778502</v>
      </c>
      <c r="F64">
        <v>307</v>
      </c>
      <c r="G64" s="16">
        <v>0.22149837133550501</v>
      </c>
      <c r="H64">
        <v>307</v>
      </c>
      <c r="I64" s="23">
        <v>0.42996742671009802</v>
      </c>
      <c r="J64">
        <v>307</v>
      </c>
      <c r="K64" s="16">
        <v>0.175895765472313</v>
      </c>
      <c r="L64">
        <v>307</v>
      </c>
      <c r="M64" s="30">
        <v>0.65146579804560301</v>
      </c>
      <c r="N64">
        <v>307</v>
      </c>
      <c r="O64" s="16">
        <v>0.38311688311688302</v>
      </c>
      <c r="P64">
        <v>154</v>
      </c>
      <c r="Q64" s="16">
        <v>0.27922077922077898</v>
      </c>
      <c r="R64">
        <v>154</v>
      </c>
      <c r="S64" s="16">
        <v>0.201298701298701</v>
      </c>
      <c r="T64">
        <v>154</v>
      </c>
      <c r="U64" s="16">
        <v>0.46103896103896103</v>
      </c>
      <c r="V64">
        <v>154</v>
      </c>
      <c r="W64" s="16">
        <v>0.18181818181818199</v>
      </c>
      <c r="X64">
        <v>154</v>
      </c>
      <c r="Y64" s="16">
        <v>0.662337662337662</v>
      </c>
      <c r="Z64">
        <v>154</v>
      </c>
      <c r="AA64" s="16">
        <v>0.41176470588235298</v>
      </c>
      <c r="AB64">
        <v>153</v>
      </c>
      <c r="AC64" s="16">
        <v>0.22875816993464099</v>
      </c>
      <c r="AD64">
        <v>153</v>
      </c>
      <c r="AE64" s="16">
        <v>0.24183006535947699</v>
      </c>
      <c r="AF64">
        <v>153</v>
      </c>
      <c r="AG64" s="16">
        <v>0.39869281045751598</v>
      </c>
      <c r="AH64">
        <v>153</v>
      </c>
      <c r="AI64" s="16">
        <v>0.16993464052287599</v>
      </c>
      <c r="AJ64">
        <v>153</v>
      </c>
      <c r="AK64" s="16">
        <v>0.64052287581699396</v>
      </c>
      <c r="AL64" s="11">
        <v>153</v>
      </c>
    </row>
    <row r="65" spans="1:38" outlineLevel="1" x14ac:dyDescent="0.25">
      <c r="A65" s="6" t="s">
        <v>15</v>
      </c>
      <c r="B65" t="s">
        <v>70</v>
      </c>
      <c r="C65" s="16">
        <v>0.79428571428571404</v>
      </c>
      <c r="D65">
        <v>175</v>
      </c>
      <c r="E65" s="16"/>
      <c r="G65" s="16">
        <v>0.64571428571428602</v>
      </c>
      <c r="H65">
        <v>175</v>
      </c>
      <c r="I65" s="23">
        <v>0.14857142857142899</v>
      </c>
      <c r="J65">
        <v>175</v>
      </c>
      <c r="K65" s="16">
        <v>0.14857142857142899</v>
      </c>
      <c r="L65">
        <v>175</v>
      </c>
      <c r="M65" s="30">
        <v>0.79428571428571404</v>
      </c>
      <c r="N65">
        <v>175</v>
      </c>
      <c r="O65" s="16">
        <v>0.8</v>
      </c>
      <c r="P65">
        <v>80</v>
      </c>
      <c r="Q65" s="16"/>
      <c r="S65" s="16">
        <v>0.67500000000000004</v>
      </c>
      <c r="T65">
        <v>80</v>
      </c>
      <c r="U65" s="16">
        <v>0.125</v>
      </c>
      <c r="V65">
        <v>80</v>
      </c>
      <c r="W65" s="16">
        <v>0.125</v>
      </c>
      <c r="X65">
        <v>80</v>
      </c>
      <c r="Y65" s="16">
        <v>0.8</v>
      </c>
      <c r="Z65">
        <v>80</v>
      </c>
      <c r="AA65" s="16">
        <v>0.78947368421052599</v>
      </c>
      <c r="AB65">
        <v>95</v>
      </c>
      <c r="AC65" s="16"/>
      <c r="AE65" s="16">
        <v>0.62105263157894697</v>
      </c>
      <c r="AF65">
        <v>95</v>
      </c>
      <c r="AG65" s="16">
        <v>0.168421052631579</v>
      </c>
      <c r="AH65">
        <v>95</v>
      </c>
      <c r="AI65" s="16">
        <v>0.168421052631579</v>
      </c>
      <c r="AJ65">
        <v>95</v>
      </c>
      <c r="AK65" s="16">
        <v>0.78947368421052599</v>
      </c>
      <c r="AL65" s="11">
        <v>95</v>
      </c>
    </row>
    <row r="66" spans="1:38" outlineLevel="1" x14ac:dyDescent="0.25">
      <c r="A66" s="6" t="s">
        <v>15</v>
      </c>
      <c r="B66" t="s">
        <v>71</v>
      </c>
      <c r="C66" s="16">
        <v>0.52972972972972998</v>
      </c>
      <c r="D66">
        <v>185</v>
      </c>
      <c r="E66" s="16">
        <v>0.18918918918918901</v>
      </c>
      <c r="F66">
        <v>185</v>
      </c>
      <c r="G66" s="16">
        <v>0.464864864864865</v>
      </c>
      <c r="H66">
        <v>185</v>
      </c>
      <c r="I66" s="23">
        <v>0.27567567567567602</v>
      </c>
      <c r="J66">
        <v>185</v>
      </c>
      <c r="K66" s="16">
        <v>6.4864864864864896E-2</v>
      </c>
      <c r="L66">
        <v>185</v>
      </c>
      <c r="M66" s="30">
        <v>0.71891891891891901</v>
      </c>
      <c r="N66">
        <v>185</v>
      </c>
      <c r="O66" s="16">
        <v>0.57446808510638303</v>
      </c>
      <c r="P66">
        <v>94</v>
      </c>
      <c r="Q66" s="16">
        <v>0.20212765957446799</v>
      </c>
      <c r="R66">
        <v>94</v>
      </c>
      <c r="S66" s="16">
        <v>0.48936170212766</v>
      </c>
      <c r="T66">
        <v>94</v>
      </c>
      <c r="U66" s="16">
        <v>0.30851063829787201</v>
      </c>
      <c r="V66">
        <v>94</v>
      </c>
      <c r="W66" s="16">
        <v>8.5106382978723402E-2</v>
      </c>
      <c r="X66">
        <v>94</v>
      </c>
      <c r="Y66" s="16">
        <v>0.77659574468085102</v>
      </c>
      <c r="Z66">
        <v>94</v>
      </c>
      <c r="AA66" s="16">
        <v>0.48351648351648302</v>
      </c>
      <c r="AB66">
        <v>91</v>
      </c>
      <c r="AC66" s="16">
        <v>0.175824175824176</v>
      </c>
      <c r="AD66">
        <v>91</v>
      </c>
      <c r="AE66" s="16">
        <v>0.43956043956044</v>
      </c>
      <c r="AF66">
        <v>91</v>
      </c>
      <c r="AG66" s="16">
        <v>0.24175824175824201</v>
      </c>
      <c r="AH66">
        <v>91</v>
      </c>
      <c r="AI66" s="16">
        <v>4.3956043956044001E-2</v>
      </c>
      <c r="AJ66">
        <v>91</v>
      </c>
      <c r="AK66" s="16">
        <v>0.659340659340659</v>
      </c>
      <c r="AL66" s="11">
        <v>91</v>
      </c>
    </row>
    <row r="67" spans="1:38" outlineLevel="1" x14ac:dyDescent="0.25">
      <c r="A67" s="6" t="s">
        <v>15</v>
      </c>
      <c r="B67" t="s">
        <v>72</v>
      </c>
      <c r="C67" s="16">
        <v>0.89142857142857101</v>
      </c>
      <c r="D67">
        <v>175</v>
      </c>
      <c r="E67" s="16">
        <v>3.97727272727273E-2</v>
      </c>
      <c r="F67">
        <v>176</v>
      </c>
      <c r="G67" s="16">
        <v>0.84090909090909105</v>
      </c>
      <c r="H67">
        <v>176</v>
      </c>
      <c r="I67" s="23">
        <v>0.19318181818181801</v>
      </c>
      <c r="J67">
        <v>176</v>
      </c>
      <c r="K67" s="16">
        <v>3.97727272727273E-2</v>
      </c>
      <c r="L67">
        <v>176</v>
      </c>
      <c r="M67" s="30">
        <v>0.92613636363636398</v>
      </c>
      <c r="N67">
        <v>176</v>
      </c>
      <c r="O67" s="16">
        <v>0.86206896551724099</v>
      </c>
      <c r="P67">
        <v>87</v>
      </c>
      <c r="Q67" s="16">
        <v>4.5454545454545497E-2</v>
      </c>
      <c r="R67">
        <v>88</v>
      </c>
      <c r="S67" s="16">
        <v>0.80681818181818199</v>
      </c>
      <c r="T67">
        <v>88</v>
      </c>
      <c r="U67" s="16">
        <v>0.19318181818181801</v>
      </c>
      <c r="V67">
        <v>88</v>
      </c>
      <c r="W67" s="16">
        <v>4.5454545454545497E-2</v>
      </c>
      <c r="X67">
        <v>88</v>
      </c>
      <c r="Y67" s="16">
        <v>0.89772727272727304</v>
      </c>
      <c r="Z67">
        <v>88</v>
      </c>
      <c r="AA67" s="16">
        <v>0.92045454545454597</v>
      </c>
      <c r="AB67">
        <v>88</v>
      </c>
      <c r="AC67" s="16">
        <v>3.4090909090909102E-2</v>
      </c>
      <c r="AD67">
        <v>88</v>
      </c>
      <c r="AE67" s="16">
        <v>0.875</v>
      </c>
      <c r="AF67">
        <v>88</v>
      </c>
      <c r="AG67" s="16">
        <v>0.19318181818181801</v>
      </c>
      <c r="AH67">
        <v>88</v>
      </c>
      <c r="AI67" s="16">
        <v>3.4090909090909102E-2</v>
      </c>
      <c r="AJ67">
        <v>88</v>
      </c>
      <c r="AK67" s="16">
        <v>0.95454545454545503</v>
      </c>
      <c r="AL67" s="11">
        <v>88</v>
      </c>
    </row>
    <row r="68" spans="1:38" outlineLevel="1" x14ac:dyDescent="0.25">
      <c r="A68" s="6" t="s">
        <v>15</v>
      </c>
      <c r="B68" t="s">
        <v>73</v>
      </c>
      <c r="C68" s="16">
        <v>0.206451612903226</v>
      </c>
      <c r="D68">
        <v>155</v>
      </c>
      <c r="E68" s="16">
        <v>0.65161290322580601</v>
      </c>
      <c r="F68">
        <v>155</v>
      </c>
      <c r="G68" s="16">
        <v>6.4516129032258099E-3</v>
      </c>
      <c r="H68">
        <v>155</v>
      </c>
      <c r="I68" s="23">
        <v>0.85161290322580596</v>
      </c>
      <c r="J68">
        <v>155</v>
      </c>
      <c r="K68" s="16">
        <v>0.2</v>
      </c>
      <c r="L68">
        <v>155</v>
      </c>
      <c r="M68" s="30">
        <v>0.85806451612903201</v>
      </c>
      <c r="N68">
        <v>155</v>
      </c>
      <c r="O68" s="16">
        <v>0.219178082191781</v>
      </c>
      <c r="P68">
        <v>73</v>
      </c>
      <c r="Q68" s="16">
        <v>0.65753424657534199</v>
      </c>
      <c r="R68">
        <v>73</v>
      </c>
      <c r="S68" s="16">
        <v>1.3698630136986301E-2</v>
      </c>
      <c r="T68">
        <v>73</v>
      </c>
      <c r="U68" s="16">
        <v>0.86301369863013699</v>
      </c>
      <c r="V68">
        <v>73</v>
      </c>
      <c r="W68" s="16">
        <v>0.20547945205479501</v>
      </c>
      <c r="X68">
        <v>73</v>
      </c>
      <c r="Y68" s="16">
        <v>0.87671232876712302</v>
      </c>
      <c r="Z68">
        <v>73</v>
      </c>
      <c r="AA68" s="16">
        <v>0.19512195121951201</v>
      </c>
      <c r="AB68">
        <v>82</v>
      </c>
      <c r="AC68" s="16">
        <v>0.64634146341463405</v>
      </c>
      <c r="AD68">
        <v>82</v>
      </c>
      <c r="AE68" s="16"/>
      <c r="AG68" s="16">
        <v>0.84146341463414598</v>
      </c>
      <c r="AH68">
        <v>82</v>
      </c>
      <c r="AI68" s="16">
        <v>0.19512195121951201</v>
      </c>
      <c r="AJ68">
        <v>82</v>
      </c>
      <c r="AK68" s="16">
        <v>0.84146341463414598</v>
      </c>
      <c r="AL68" s="11">
        <v>82</v>
      </c>
    </row>
    <row r="69" spans="1:38" outlineLevel="1" x14ac:dyDescent="0.25">
      <c r="A69" s="6" t="s">
        <v>15</v>
      </c>
      <c r="B69" t="s">
        <v>74</v>
      </c>
      <c r="C69" s="16">
        <v>0.28767123287671198</v>
      </c>
      <c r="D69">
        <v>146</v>
      </c>
      <c r="E69" s="16">
        <v>0.16</v>
      </c>
      <c r="F69">
        <v>150</v>
      </c>
      <c r="G69" s="16">
        <v>0.233333333333333</v>
      </c>
      <c r="H69">
        <v>150</v>
      </c>
      <c r="I69" s="23">
        <v>0.22</v>
      </c>
      <c r="J69">
        <v>150</v>
      </c>
      <c r="K69" s="16">
        <v>4.6666666666666697E-2</v>
      </c>
      <c r="L69">
        <v>150</v>
      </c>
      <c r="M69" s="30">
        <v>0.44</v>
      </c>
      <c r="N69">
        <v>150</v>
      </c>
      <c r="O69" s="16">
        <v>0.329113924050633</v>
      </c>
      <c r="P69">
        <v>79</v>
      </c>
      <c r="Q69" s="16">
        <v>0.12195121951219499</v>
      </c>
      <c r="R69">
        <v>82</v>
      </c>
      <c r="S69" s="16">
        <v>0.25609756097560998</v>
      </c>
      <c r="T69">
        <v>82</v>
      </c>
      <c r="U69" s="16">
        <v>0.207317073170732</v>
      </c>
      <c r="V69">
        <v>82</v>
      </c>
      <c r="W69" s="16">
        <v>6.0975609756097601E-2</v>
      </c>
      <c r="X69">
        <v>82</v>
      </c>
      <c r="Y69" s="16">
        <v>0.439024390243902</v>
      </c>
      <c r="Z69">
        <v>82</v>
      </c>
      <c r="AA69" s="16">
        <v>0.238805970149254</v>
      </c>
      <c r="AB69">
        <v>67</v>
      </c>
      <c r="AC69" s="16">
        <v>0.20588235294117599</v>
      </c>
      <c r="AD69">
        <v>68</v>
      </c>
      <c r="AE69" s="16">
        <v>0.20588235294117599</v>
      </c>
      <c r="AF69">
        <v>68</v>
      </c>
      <c r="AG69" s="16">
        <v>0.23529411764705899</v>
      </c>
      <c r="AH69">
        <v>68</v>
      </c>
      <c r="AI69" s="16">
        <v>2.9411764705882401E-2</v>
      </c>
      <c r="AJ69">
        <v>68</v>
      </c>
      <c r="AK69" s="16">
        <v>0.441176470588235</v>
      </c>
      <c r="AL69" s="11">
        <v>68</v>
      </c>
    </row>
    <row r="70" spans="1:38" outlineLevel="1" x14ac:dyDescent="0.25">
      <c r="A70" s="6" t="s">
        <v>15</v>
      </c>
      <c r="B70" t="s">
        <v>75</v>
      </c>
      <c r="C70" s="16">
        <v>0.26250000000000001</v>
      </c>
      <c r="D70">
        <v>160</v>
      </c>
      <c r="E70" s="16">
        <v>0.46012269938650302</v>
      </c>
      <c r="F70">
        <v>163</v>
      </c>
      <c r="G70" s="16">
        <v>0.11656441717791401</v>
      </c>
      <c r="H70">
        <v>163</v>
      </c>
      <c r="I70" s="23">
        <v>0.65030674846625802</v>
      </c>
      <c r="J70">
        <v>163</v>
      </c>
      <c r="K70" s="16">
        <v>0.14110429447852799</v>
      </c>
      <c r="L70">
        <v>163</v>
      </c>
      <c r="M70" s="30">
        <v>0.71779141104294497</v>
      </c>
      <c r="N70">
        <v>163</v>
      </c>
      <c r="O70" s="16">
        <v>0.297619047619048</v>
      </c>
      <c r="P70">
        <v>84</v>
      </c>
      <c r="Q70" s="16">
        <v>0.39534883720930197</v>
      </c>
      <c r="R70">
        <v>86</v>
      </c>
      <c r="S70" s="16">
        <v>9.3023255813953501E-2</v>
      </c>
      <c r="T70">
        <v>86</v>
      </c>
      <c r="U70" s="16">
        <v>0.62790697674418605</v>
      </c>
      <c r="V70">
        <v>86</v>
      </c>
      <c r="W70" s="16">
        <v>0.19767441860465099</v>
      </c>
      <c r="X70">
        <v>86</v>
      </c>
      <c r="Y70" s="16">
        <v>0.68604651162790697</v>
      </c>
      <c r="Z70">
        <v>86</v>
      </c>
      <c r="AA70" s="16">
        <v>0.22368421052631601</v>
      </c>
      <c r="AB70">
        <v>76</v>
      </c>
      <c r="AC70" s="16">
        <v>0.53246753246753298</v>
      </c>
      <c r="AD70">
        <v>77</v>
      </c>
      <c r="AE70" s="16">
        <v>0.14285714285714299</v>
      </c>
      <c r="AF70">
        <v>77</v>
      </c>
      <c r="AG70" s="16">
        <v>0.67532467532467499</v>
      </c>
      <c r="AH70">
        <v>77</v>
      </c>
      <c r="AI70" s="16">
        <v>7.7922077922077906E-2</v>
      </c>
      <c r="AJ70">
        <v>77</v>
      </c>
      <c r="AK70" s="16">
        <v>0.75324675324675305</v>
      </c>
      <c r="AL70" s="11">
        <v>77</v>
      </c>
    </row>
    <row r="71" spans="1:38" outlineLevel="1" x14ac:dyDescent="0.25">
      <c r="A71" s="6" t="s">
        <v>15</v>
      </c>
      <c r="B71" t="s">
        <v>76</v>
      </c>
      <c r="C71" s="16">
        <v>0.219858156028369</v>
      </c>
      <c r="D71">
        <v>141</v>
      </c>
      <c r="E71" s="16">
        <v>0.36879432624113501</v>
      </c>
      <c r="F71">
        <v>141</v>
      </c>
      <c r="G71" s="16">
        <v>0.14184397163120599</v>
      </c>
      <c r="H71">
        <v>141</v>
      </c>
      <c r="I71" s="23">
        <v>0.46808510638297901</v>
      </c>
      <c r="J71">
        <v>141</v>
      </c>
      <c r="K71" s="16">
        <v>7.8014184397163094E-2</v>
      </c>
      <c r="L71">
        <v>141</v>
      </c>
      <c r="M71" s="30">
        <v>0.58865248226950395</v>
      </c>
      <c r="N71">
        <v>141</v>
      </c>
      <c r="O71" s="16">
        <v>0.23863636363636401</v>
      </c>
      <c r="P71">
        <v>88</v>
      </c>
      <c r="Q71" s="16">
        <v>0.32954545454545497</v>
      </c>
      <c r="R71">
        <v>88</v>
      </c>
      <c r="S71" s="16">
        <v>0.18181818181818199</v>
      </c>
      <c r="T71">
        <v>88</v>
      </c>
      <c r="U71" s="16">
        <v>0.42045454545454503</v>
      </c>
      <c r="V71">
        <v>88</v>
      </c>
      <c r="W71" s="16">
        <v>5.6818181818181802E-2</v>
      </c>
      <c r="X71">
        <v>88</v>
      </c>
      <c r="Y71" s="16">
        <v>0.56818181818181801</v>
      </c>
      <c r="Z71">
        <v>88</v>
      </c>
      <c r="AA71" s="16">
        <v>0.18867924528301899</v>
      </c>
      <c r="AB71">
        <v>53</v>
      </c>
      <c r="AC71" s="16">
        <v>0.43396226415094302</v>
      </c>
      <c r="AD71">
        <v>53</v>
      </c>
      <c r="AE71" s="16">
        <v>7.5471698113207503E-2</v>
      </c>
      <c r="AF71">
        <v>53</v>
      </c>
      <c r="AG71" s="16">
        <v>0.54716981132075504</v>
      </c>
      <c r="AH71">
        <v>53</v>
      </c>
      <c r="AI71" s="16">
        <v>0.113207547169811</v>
      </c>
      <c r="AJ71">
        <v>53</v>
      </c>
      <c r="AK71" s="16">
        <v>0.62264150943396201</v>
      </c>
      <c r="AL71" s="11">
        <v>53</v>
      </c>
    </row>
    <row r="72" spans="1:38" outlineLevel="1" x14ac:dyDescent="0.25">
      <c r="A72" s="6" t="s">
        <v>15</v>
      </c>
      <c r="B72" t="s">
        <v>77</v>
      </c>
      <c r="C72" s="16">
        <v>0.3</v>
      </c>
      <c r="D72">
        <v>170</v>
      </c>
      <c r="E72" s="16">
        <v>0.54117647058823504</v>
      </c>
      <c r="F72">
        <v>170</v>
      </c>
      <c r="G72" s="16">
        <v>0.29411764705882398</v>
      </c>
      <c r="H72">
        <v>170</v>
      </c>
      <c r="I72" s="23">
        <v>0.54705882352941204</v>
      </c>
      <c r="J72">
        <v>170</v>
      </c>
      <c r="K72" s="16">
        <v>5.8823529411764696E-3</v>
      </c>
      <c r="L72">
        <v>170</v>
      </c>
      <c r="M72" s="30">
        <v>0.84117647058823497</v>
      </c>
      <c r="N72">
        <v>170</v>
      </c>
      <c r="O72" s="16">
        <v>0.355263157894737</v>
      </c>
      <c r="P72">
        <v>76</v>
      </c>
      <c r="Q72" s="16">
        <v>0.48684210526315802</v>
      </c>
      <c r="R72">
        <v>76</v>
      </c>
      <c r="S72" s="16">
        <v>0.355263157894737</v>
      </c>
      <c r="T72">
        <v>76</v>
      </c>
      <c r="U72" s="16">
        <v>0.48684210526315802</v>
      </c>
      <c r="V72">
        <v>76</v>
      </c>
      <c r="W72" s="16"/>
      <c r="Y72" s="16">
        <v>0.84210526315789502</v>
      </c>
      <c r="Z72">
        <v>76</v>
      </c>
      <c r="AA72" s="16">
        <v>0.25531914893617003</v>
      </c>
      <c r="AB72">
        <v>94</v>
      </c>
      <c r="AC72" s="16">
        <v>0.58510638297872397</v>
      </c>
      <c r="AD72">
        <v>94</v>
      </c>
      <c r="AE72" s="16">
        <v>0.24468085106383</v>
      </c>
      <c r="AF72">
        <v>94</v>
      </c>
      <c r="AG72" s="16">
        <v>0.59574468085106402</v>
      </c>
      <c r="AH72">
        <v>94</v>
      </c>
      <c r="AI72" s="16">
        <v>1.0638297872340399E-2</v>
      </c>
      <c r="AJ72">
        <v>94</v>
      </c>
      <c r="AK72" s="16">
        <v>0.840425531914894</v>
      </c>
      <c r="AL72" s="11">
        <v>94</v>
      </c>
    </row>
    <row r="73" spans="1:38" outlineLevel="1" x14ac:dyDescent="0.25">
      <c r="A73" s="6" t="s">
        <v>15</v>
      </c>
      <c r="B73" t="s">
        <v>78</v>
      </c>
      <c r="C73" s="16">
        <v>5.1282051282051301E-2</v>
      </c>
      <c r="D73">
        <v>156</v>
      </c>
      <c r="E73" s="16">
        <v>0.83439490445859898</v>
      </c>
      <c r="F73">
        <v>157</v>
      </c>
      <c r="G73" s="16">
        <v>1.27388535031847E-2</v>
      </c>
      <c r="H73">
        <v>157</v>
      </c>
      <c r="I73" s="23">
        <v>0.87261146496815301</v>
      </c>
      <c r="J73">
        <v>157</v>
      </c>
      <c r="K73" s="16">
        <v>3.8216560509554097E-2</v>
      </c>
      <c r="L73">
        <v>157</v>
      </c>
      <c r="M73" s="30">
        <v>0.88535031847133705</v>
      </c>
      <c r="N73">
        <v>157</v>
      </c>
      <c r="O73" s="16">
        <v>4.9382716049382699E-2</v>
      </c>
      <c r="P73">
        <v>81</v>
      </c>
      <c r="Q73" s="16">
        <v>0.85365853658536595</v>
      </c>
      <c r="R73">
        <v>82</v>
      </c>
      <c r="S73" s="16">
        <v>1.21951219512195E-2</v>
      </c>
      <c r="T73">
        <v>82</v>
      </c>
      <c r="U73" s="16">
        <v>0.89024390243902396</v>
      </c>
      <c r="V73">
        <v>82</v>
      </c>
      <c r="W73" s="16">
        <v>3.65853658536585E-2</v>
      </c>
      <c r="X73">
        <v>82</v>
      </c>
      <c r="Y73" s="16">
        <v>0.90243902439024404</v>
      </c>
      <c r="Z73">
        <v>82</v>
      </c>
      <c r="AA73" s="16">
        <v>5.3333333333333302E-2</v>
      </c>
      <c r="AB73">
        <v>75</v>
      </c>
      <c r="AC73" s="16">
        <v>0.81333333333333302</v>
      </c>
      <c r="AD73">
        <v>75</v>
      </c>
      <c r="AE73" s="16">
        <v>1.3333333333333299E-2</v>
      </c>
      <c r="AF73">
        <v>75</v>
      </c>
      <c r="AG73" s="16">
        <v>0.85333333333333306</v>
      </c>
      <c r="AH73">
        <v>75</v>
      </c>
      <c r="AI73" s="16">
        <v>0.04</v>
      </c>
      <c r="AJ73">
        <v>75</v>
      </c>
      <c r="AK73" s="16">
        <v>0.86666666666666703</v>
      </c>
      <c r="AL73" s="11">
        <v>75</v>
      </c>
    </row>
    <row r="74" spans="1:38" outlineLevel="1" x14ac:dyDescent="0.25">
      <c r="A74" s="6" t="s">
        <v>15</v>
      </c>
      <c r="B74" t="s">
        <v>79</v>
      </c>
      <c r="C74" s="16">
        <v>5.34351145038168E-2</v>
      </c>
      <c r="D74">
        <v>131</v>
      </c>
      <c r="E74" s="16">
        <v>0.60305343511450404</v>
      </c>
      <c r="F74">
        <v>131</v>
      </c>
      <c r="G74" s="16">
        <v>3.8167938931297697E-2</v>
      </c>
      <c r="H74">
        <v>131</v>
      </c>
      <c r="I74" s="23">
        <v>0.61832061068702304</v>
      </c>
      <c r="J74">
        <v>131</v>
      </c>
      <c r="K74" s="16">
        <v>1.5267175572519101E-2</v>
      </c>
      <c r="L74">
        <v>131</v>
      </c>
      <c r="M74" s="30">
        <v>0.65648854961832104</v>
      </c>
      <c r="N74">
        <v>131</v>
      </c>
      <c r="O74" s="16">
        <v>6.8965517241379296E-2</v>
      </c>
      <c r="P74">
        <v>58</v>
      </c>
      <c r="Q74" s="16">
        <v>0.60344827586206895</v>
      </c>
      <c r="R74">
        <v>58</v>
      </c>
      <c r="S74" s="16">
        <v>3.4482758620689703E-2</v>
      </c>
      <c r="T74">
        <v>58</v>
      </c>
      <c r="U74" s="16">
        <v>0.63793103448275901</v>
      </c>
      <c r="V74">
        <v>58</v>
      </c>
      <c r="W74" s="16">
        <v>3.4482758620689703E-2</v>
      </c>
      <c r="X74">
        <v>58</v>
      </c>
      <c r="Y74" s="16">
        <v>0.67241379310344795</v>
      </c>
      <c r="Z74">
        <v>58</v>
      </c>
      <c r="AA74" s="16">
        <v>4.1095890410958902E-2</v>
      </c>
      <c r="AB74">
        <v>73</v>
      </c>
      <c r="AC74" s="16">
        <v>0.602739726027397</v>
      </c>
      <c r="AD74">
        <v>73</v>
      </c>
      <c r="AE74" s="16">
        <v>4.1095890410958902E-2</v>
      </c>
      <c r="AF74">
        <v>73</v>
      </c>
      <c r="AG74" s="16">
        <v>0.602739726027397</v>
      </c>
      <c r="AH74">
        <v>73</v>
      </c>
      <c r="AI74" s="16"/>
      <c r="AK74" s="16">
        <v>0.64383561643835596</v>
      </c>
      <c r="AL74" s="11">
        <v>73</v>
      </c>
    </row>
    <row r="75" spans="1:38" outlineLevel="1" x14ac:dyDescent="0.25">
      <c r="A75" s="6" t="s">
        <v>15</v>
      </c>
      <c r="B75" t="s">
        <v>80</v>
      </c>
      <c r="C75" s="16">
        <v>0.38666666666666699</v>
      </c>
      <c r="D75">
        <v>75</v>
      </c>
      <c r="E75" s="16">
        <v>0.33333333333333298</v>
      </c>
      <c r="F75">
        <v>75</v>
      </c>
      <c r="G75" s="16">
        <v>0.30666666666666698</v>
      </c>
      <c r="H75">
        <v>75</v>
      </c>
      <c r="I75" s="23">
        <v>0.413333333333333</v>
      </c>
      <c r="J75">
        <v>75</v>
      </c>
      <c r="K75" s="16">
        <v>0.08</v>
      </c>
      <c r="L75">
        <v>75</v>
      </c>
      <c r="M75" s="30">
        <v>0.72</v>
      </c>
      <c r="N75">
        <v>75</v>
      </c>
      <c r="O75" s="16">
        <v>0.3125</v>
      </c>
      <c r="P75">
        <v>32</v>
      </c>
      <c r="Q75" s="16">
        <v>0.3125</v>
      </c>
      <c r="R75">
        <v>32</v>
      </c>
      <c r="S75" s="16">
        <v>0.21875</v>
      </c>
      <c r="T75">
        <v>32</v>
      </c>
      <c r="U75" s="16">
        <v>0.40625</v>
      </c>
      <c r="V75">
        <v>32</v>
      </c>
      <c r="W75" s="16">
        <v>9.375E-2</v>
      </c>
      <c r="X75">
        <v>32</v>
      </c>
      <c r="Y75" s="16">
        <v>0.625</v>
      </c>
      <c r="Z75">
        <v>32</v>
      </c>
      <c r="AA75" s="16">
        <v>0.452380952380952</v>
      </c>
      <c r="AB75">
        <v>42</v>
      </c>
      <c r="AC75" s="16">
        <v>0.33333333333333298</v>
      </c>
      <c r="AD75">
        <v>42</v>
      </c>
      <c r="AE75" s="16">
        <v>0.38095238095238099</v>
      </c>
      <c r="AF75">
        <v>42</v>
      </c>
      <c r="AG75" s="16">
        <v>0.40476190476190499</v>
      </c>
      <c r="AH75">
        <v>42</v>
      </c>
      <c r="AI75" s="16">
        <v>7.1428571428571397E-2</v>
      </c>
      <c r="AJ75">
        <v>42</v>
      </c>
      <c r="AK75" s="16">
        <v>0.78571428571428603</v>
      </c>
      <c r="AL75" s="11">
        <v>42</v>
      </c>
    </row>
    <row r="76" spans="1:38" outlineLevel="1" x14ac:dyDescent="0.25">
      <c r="A76" s="6" t="s">
        <v>15</v>
      </c>
      <c r="B76" t="s">
        <v>81</v>
      </c>
      <c r="C76" s="16">
        <v>6.19047619047619E-2</v>
      </c>
      <c r="D76">
        <v>210</v>
      </c>
      <c r="E76" s="16">
        <v>0.72380952380952401</v>
      </c>
      <c r="F76">
        <v>210</v>
      </c>
      <c r="G76" s="16">
        <v>2.3809523809523801E-2</v>
      </c>
      <c r="H76">
        <v>210</v>
      </c>
      <c r="I76" s="23">
        <v>0.76190476190476197</v>
      </c>
      <c r="J76">
        <v>210</v>
      </c>
      <c r="K76" s="16">
        <v>3.8095238095238099E-2</v>
      </c>
      <c r="L76">
        <v>210</v>
      </c>
      <c r="M76" s="30">
        <v>0.78571428571428603</v>
      </c>
      <c r="N76">
        <v>210</v>
      </c>
      <c r="O76" s="16">
        <v>6.6666666666666693E-2</v>
      </c>
      <c r="P76">
        <v>105</v>
      </c>
      <c r="Q76" s="16">
        <v>0.68571428571428605</v>
      </c>
      <c r="R76">
        <v>105</v>
      </c>
      <c r="S76" s="16">
        <v>4.7619047619047603E-2</v>
      </c>
      <c r="T76">
        <v>105</v>
      </c>
      <c r="U76" s="16">
        <v>0.70476190476190503</v>
      </c>
      <c r="V76">
        <v>105</v>
      </c>
      <c r="W76" s="16">
        <v>1.9047619047619001E-2</v>
      </c>
      <c r="X76">
        <v>105</v>
      </c>
      <c r="Y76" s="16">
        <v>0.75238095238095204</v>
      </c>
      <c r="Z76">
        <v>105</v>
      </c>
      <c r="AA76" s="16">
        <v>5.7142857142857099E-2</v>
      </c>
      <c r="AB76">
        <v>105</v>
      </c>
      <c r="AC76" s="16">
        <v>0.76190476190476197</v>
      </c>
      <c r="AD76">
        <v>105</v>
      </c>
      <c r="AE76" s="16"/>
      <c r="AG76" s="16">
        <v>0.81904761904761902</v>
      </c>
      <c r="AH76">
        <v>105</v>
      </c>
      <c r="AI76" s="16">
        <v>5.7142857142857099E-2</v>
      </c>
      <c r="AJ76">
        <v>105</v>
      </c>
      <c r="AK76" s="16">
        <v>0.81904761904761902</v>
      </c>
      <c r="AL76" s="11">
        <v>105</v>
      </c>
    </row>
    <row r="77" spans="1:38" outlineLevel="1" x14ac:dyDescent="0.25">
      <c r="A77" s="6" t="s">
        <v>15</v>
      </c>
      <c r="B77" t="s">
        <v>82</v>
      </c>
      <c r="C77" s="16">
        <v>0.27083333333333298</v>
      </c>
      <c r="D77">
        <v>48</v>
      </c>
      <c r="E77" s="16">
        <v>0.52083333333333304</v>
      </c>
      <c r="F77">
        <v>48</v>
      </c>
      <c r="G77" s="16">
        <v>0.25</v>
      </c>
      <c r="H77">
        <v>48</v>
      </c>
      <c r="I77" s="23">
        <v>0.54166666666666696</v>
      </c>
      <c r="J77">
        <v>48</v>
      </c>
      <c r="K77" s="16">
        <v>2.0833333333333301E-2</v>
      </c>
      <c r="L77">
        <v>48</v>
      </c>
      <c r="M77" s="30">
        <v>0.79166666666666696</v>
      </c>
      <c r="N77">
        <v>48</v>
      </c>
      <c r="O77" s="16">
        <v>0.26086956521739102</v>
      </c>
      <c r="P77">
        <v>23</v>
      </c>
      <c r="Q77" s="16">
        <v>0.69565217391304301</v>
      </c>
      <c r="R77">
        <v>23</v>
      </c>
      <c r="S77" s="16">
        <v>0.26086956521739102</v>
      </c>
      <c r="T77">
        <v>23</v>
      </c>
      <c r="U77" s="16">
        <v>0.69565217391304301</v>
      </c>
      <c r="V77">
        <v>23</v>
      </c>
      <c r="W77" s="16"/>
      <c r="Y77" s="16">
        <v>0.95652173913043503</v>
      </c>
      <c r="Z77">
        <v>23</v>
      </c>
      <c r="AA77" s="16">
        <v>0.28000000000000003</v>
      </c>
      <c r="AB77">
        <v>25</v>
      </c>
      <c r="AC77" s="16">
        <v>0.36</v>
      </c>
      <c r="AD77">
        <v>25</v>
      </c>
      <c r="AE77" s="16">
        <v>0.24</v>
      </c>
      <c r="AF77">
        <v>25</v>
      </c>
      <c r="AG77" s="16">
        <v>0.4</v>
      </c>
      <c r="AH77">
        <v>25</v>
      </c>
      <c r="AI77" s="16">
        <v>0.04</v>
      </c>
      <c r="AJ77">
        <v>25</v>
      </c>
      <c r="AK77" s="16">
        <v>0.64</v>
      </c>
      <c r="AL77" s="11">
        <v>25</v>
      </c>
    </row>
    <row r="78" spans="1:38" outlineLevel="1" x14ac:dyDescent="0.25">
      <c r="A78" s="7" t="s">
        <v>15</v>
      </c>
      <c r="B78" s="9" t="s">
        <v>83</v>
      </c>
      <c r="C78" s="15">
        <v>9.9032812460793401E-2</v>
      </c>
      <c r="D78" s="9">
        <v>465</v>
      </c>
      <c r="E78" s="15">
        <v>0.80073291582128203</v>
      </c>
      <c r="F78" s="9">
        <v>465</v>
      </c>
      <c r="G78" s="15">
        <v>2.8396382728382699E-2</v>
      </c>
      <c r="H78" s="9">
        <v>465</v>
      </c>
      <c r="I78" s="25">
        <v>0.88374777008913397</v>
      </c>
      <c r="J78" s="9">
        <v>465</v>
      </c>
      <c r="K78" s="15">
        <v>7.0636429732410702E-2</v>
      </c>
      <c r="L78" s="9">
        <v>465</v>
      </c>
      <c r="M78" s="32">
        <v>0.89976572828207502</v>
      </c>
      <c r="N78" s="9">
        <v>465</v>
      </c>
      <c r="O78" s="15">
        <v>8.3443776365121902E-2</v>
      </c>
      <c r="P78" s="9">
        <v>215</v>
      </c>
      <c r="Q78" s="15">
        <v>0.80813916018980503</v>
      </c>
      <c r="R78" s="9">
        <v>215</v>
      </c>
      <c r="S78" s="15">
        <v>2.85669407409276E-2</v>
      </c>
      <c r="T78" s="9">
        <v>215</v>
      </c>
      <c r="U78" s="15">
        <v>0.87601760900381298</v>
      </c>
      <c r="V78" s="9">
        <v>215</v>
      </c>
      <c r="W78" s="15">
        <v>5.4876835624194299E-2</v>
      </c>
      <c r="X78" s="9">
        <v>215</v>
      </c>
      <c r="Y78" s="15">
        <v>0.89158293655492704</v>
      </c>
      <c r="Z78" s="9">
        <v>215</v>
      </c>
      <c r="AA78" s="15">
        <v>0.113195785918853</v>
      </c>
      <c r="AB78" s="9">
        <v>250</v>
      </c>
      <c r="AC78" s="15">
        <v>0.79400418405290596</v>
      </c>
      <c r="AD78" s="9">
        <v>250</v>
      </c>
      <c r="AE78" s="15">
        <v>2.8241427117919798E-2</v>
      </c>
      <c r="AF78" s="9">
        <v>250</v>
      </c>
      <c r="AG78" s="15">
        <v>0.89077078713816904</v>
      </c>
      <c r="AH78" s="9">
        <v>250</v>
      </c>
      <c r="AI78" s="15">
        <v>8.4954358800933605E-2</v>
      </c>
      <c r="AJ78" s="9">
        <v>250</v>
      </c>
      <c r="AK78" s="15">
        <v>0.907199969971759</v>
      </c>
      <c r="AL78" s="12">
        <v>250</v>
      </c>
    </row>
    <row r="79" spans="1:38" x14ac:dyDescent="0.25">
      <c r="C79" s="16"/>
      <c r="E79" s="16"/>
      <c r="G79" s="16"/>
      <c r="I79" s="23"/>
      <c r="K79" s="16"/>
      <c r="M79" s="30"/>
      <c r="O79" s="16"/>
      <c r="Q79" s="16"/>
      <c r="S79" s="16"/>
      <c r="U79" s="16"/>
      <c r="W79" s="16"/>
      <c r="Y79" s="16"/>
      <c r="AA79" s="16"/>
      <c r="AC79" s="16"/>
      <c r="AE79" s="16"/>
      <c r="AG79" s="16"/>
      <c r="AI79" s="16"/>
      <c r="AK79" s="16"/>
    </row>
    <row r="80" spans="1:38" x14ac:dyDescent="0.25">
      <c r="A80" s="19" t="s">
        <v>84</v>
      </c>
      <c r="B80" s="19"/>
      <c r="C80" s="20"/>
      <c r="D80" s="19"/>
      <c r="E80" s="20"/>
      <c r="F80" s="19"/>
      <c r="G80" s="20"/>
      <c r="H80" s="19"/>
      <c r="I80" s="20"/>
      <c r="J80" s="19"/>
      <c r="K80" s="20"/>
      <c r="L80" s="19"/>
      <c r="M80" s="20"/>
      <c r="N80" s="19"/>
      <c r="O80" s="20"/>
      <c r="P80" s="19"/>
      <c r="Q80" s="20"/>
      <c r="R80" s="19"/>
      <c r="S80" s="20"/>
      <c r="T80" s="19"/>
      <c r="U80" s="20"/>
      <c r="V80" s="19"/>
      <c r="W80" s="20"/>
      <c r="X80" s="19"/>
      <c r="Y80" s="20"/>
      <c r="Z80" s="19"/>
      <c r="AA80" s="20"/>
      <c r="AB80" s="19"/>
      <c r="AC80" s="20"/>
      <c r="AD80" s="19"/>
      <c r="AE80" s="20"/>
      <c r="AF80" s="19"/>
      <c r="AG80" s="20"/>
      <c r="AH80" s="19"/>
      <c r="AI80" s="20"/>
      <c r="AJ80" s="19"/>
      <c r="AK80" s="20"/>
      <c r="AL80" s="19"/>
    </row>
    <row r="81" spans="1:38" outlineLevel="1" x14ac:dyDescent="0.25">
      <c r="A81" s="5" t="s">
        <v>15</v>
      </c>
      <c r="B81" s="8" t="s">
        <v>85</v>
      </c>
      <c r="C81" s="14">
        <v>0.51582443350808804</v>
      </c>
      <c r="D81" s="8">
        <v>2461</v>
      </c>
      <c r="E81" s="14">
        <v>0.23969283255909599</v>
      </c>
      <c r="F81" s="8">
        <v>2479</v>
      </c>
      <c r="G81" s="14">
        <v>0.34707630207221801</v>
      </c>
      <c r="H81" s="8">
        <v>2479</v>
      </c>
      <c r="I81" s="24">
        <v>0.40700876419031701</v>
      </c>
      <c r="J81" s="8">
        <v>2479</v>
      </c>
      <c r="K81" s="14">
        <v>0.165993204845127</v>
      </c>
      <c r="L81" s="8">
        <v>2479</v>
      </c>
      <c r="M81" s="31">
        <v>0.75276233947644</v>
      </c>
      <c r="N81" s="8">
        <v>2479</v>
      </c>
      <c r="O81" s="14">
        <v>0.51819070115368504</v>
      </c>
      <c r="P81" s="8">
        <v>1194</v>
      </c>
      <c r="Q81" s="14">
        <v>0.23879953132297499</v>
      </c>
      <c r="R81" s="8">
        <v>1202</v>
      </c>
      <c r="S81" s="14">
        <v>0.352828075949362</v>
      </c>
      <c r="T81" s="8">
        <v>1202</v>
      </c>
      <c r="U81" s="14">
        <v>0.40390070448315202</v>
      </c>
      <c r="V81" s="8">
        <v>1202</v>
      </c>
      <c r="W81" s="14">
        <v>0.16259476533896999</v>
      </c>
      <c r="X81" s="8">
        <v>1202</v>
      </c>
      <c r="Y81" s="14">
        <v>0.75422237261130698</v>
      </c>
      <c r="Z81" s="8">
        <v>1202</v>
      </c>
      <c r="AA81" s="14">
        <v>0.51325167337757205</v>
      </c>
      <c r="AB81" s="8">
        <v>1263</v>
      </c>
      <c r="AC81" s="14">
        <v>0.240248833974568</v>
      </c>
      <c r="AD81" s="8">
        <v>1273</v>
      </c>
      <c r="AE81" s="14">
        <v>0.34142250413459502</v>
      </c>
      <c r="AF81" s="8">
        <v>1273</v>
      </c>
      <c r="AG81" s="14">
        <v>0.40958720578174801</v>
      </c>
      <c r="AH81" s="8">
        <v>1273</v>
      </c>
      <c r="AI81" s="14">
        <v>0.16908057171781499</v>
      </c>
      <c r="AJ81" s="8">
        <v>1273</v>
      </c>
      <c r="AK81" s="14">
        <v>0.75075190982697904</v>
      </c>
      <c r="AL81" s="10">
        <v>1273</v>
      </c>
    </row>
    <row r="82" spans="1:38" outlineLevel="1" x14ac:dyDescent="0.25">
      <c r="A82" s="6" t="s">
        <v>15</v>
      </c>
      <c r="B82" t="s">
        <v>86</v>
      </c>
      <c r="C82" s="16">
        <v>0.34929577464788703</v>
      </c>
      <c r="D82">
        <v>355</v>
      </c>
      <c r="E82" s="16">
        <v>0.20786516853932599</v>
      </c>
      <c r="F82">
        <v>356</v>
      </c>
      <c r="G82" s="16">
        <v>0.174157303370786</v>
      </c>
      <c r="H82">
        <v>356</v>
      </c>
      <c r="I82" s="23">
        <v>0.38202247191011202</v>
      </c>
      <c r="J82">
        <v>356</v>
      </c>
      <c r="K82" s="16">
        <v>0.174157303370786</v>
      </c>
      <c r="L82">
        <v>356</v>
      </c>
      <c r="M82" s="30">
        <v>0.55617977528089901</v>
      </c>
      <c r="N82">
        <v>356</v>
      </c>
      <c r="O82" s="16">
        <v>0.297752808988764</v>
      </c>
      <c r="P82">
        <v>178</v>
      </c>
      <c r="Q82" s="16">
        <v>0.26404494382022498</v>
      </c>
      <c r="R82">
        <v>178</v>
      </c>
      <c r="S82" s="16">
        <v>0.14044943820224701</v>
      </c>
      <c r="T82">
        <v>178</v>
      </c>
      <c r="U82" s="16">
        <v>0.42134831460674199</v>
      </c>
      <c r="V82">
        <v>178</v>
      </c>
      <c r="W82" s="16">
        <v>0.15730337078651699</v>
      </c>
      <c r="X82">
        <v>178</v>
      </c>
      <c r="Y82" s="16">
        <v>0.56179775280898903</v>
      </c>
      <c r="Z82">
        <v>178</v>
      </c>
      <c r="AA82" s="16">
        <v>0.40340909090909099</v>
      </c>
      <c r="AB82">
        <v>176</v>
      </c>
      <c r="AC82" s="16">
        <v>0.152542372881356</v>
      </c>
      <c r="AD82">
        <v>177</v>
      </c>
      <c r="AE82" s="16">
        <v>0.209039548022599</v>
      </c>
      <c r="AF82">
        <v>177</v>
      </c>
      <c r="AG82" s="16">
        <v>0.34463276836158202</v>
      </c>
      <c r="AH82">
        <v>177</v>
      </c>
      <c r="AI82" s="16">
        <v>0.19209039548022599</v>
      </c>
      <c r="AJ82">
        <v>177</v>
      </c>
      <c r="AK82" s="16">
        <v>0.55367231638418102</v>
      </c>
      <c r="AL82" s="11">
        <v>177</v>
      </c>
    </row>
    <row r="83" spans="1:38" outlineLevel="1" x14ac:dyDescent="0.25">
      <c r="A83" s="6" t="s">
        <v>15</v>
      </c>
      <c r="B83" t="s">
        <v>87</v>
      </c>
      <c r="C83" s="16">
        <v>0.18651500268953</v>
      </c>
      <c r="D83">
        <v>3761</v>
      </c>
      <c r="E83" s="16">
        <v>0.64719690064167401</v>
      </c>
      <c r="F83">
        <v>3775</v>
      </c>
      <c r="G83" s="16">
        <v>9.6825906875027096E-2</v>
      </c>
      <c r="H83">
        <v>3775</v>
      </c>
      <c r="I83" s="23">
        <v>0.74505122370392796</v>
      </c>
      <c r="J83">
        <v>3775</v>
      </c>
      <c r="K83" s="16">
        <v>8.8651360437764906E-2</v>
      </c>
      <c r="L83">
        <v>3775</v>
      </c>
      <c r="M83" s="30">
        <v>0.83267416795446603</v>
      </c>
      <c r="N83">
        <v>3775</v>
      </c>
      <c r="O83" s="16">
        <v>0.18931595348737301</v>
      </c>
      <c r="P83">
        <v>1934</v>
      </c>
      <c r="Q83" s="16">
        <v>0.64866965150148603</v>
      </c>
      <c r="R83">
        <v>1944</v>
      </c>
      <c r="S83" s="16">
        <v>9.9420090976356498E-2</v>
      </c>
      <c r="T83">
        <v>1944</v>
      </c>
      <c r="U83" s="16">
        <v>0.74541221475205499</v>
      </c>
      <c r="V83">
        <v>1944</v>
      </c>
      <c r="W83" s="16">
        <v>8.86557266022764E-2</v>
      </c>
      <c r="X83">
        <v>1944</v>
      </c>
      <c r="Y83" s="16">
        <v>0.83674546908011804</v>
      </c>
      <c r="Z83">
        <v>1944</v>
      </c>
      <c r="AA83" s="16">
        <v>0.183590425346108</v>
      </c>
      <c r="AB83">
        <v>1826</v>
      </c>
      <c r="AC83" s="16">
        <v>0.64549505283641595</v>
      </c>
      <c r="AD83">
        <v>1830</v>
      </c>
      <c r="AE83" s="16">
        <v>9.40841916415531E-2</v>
      </c>
      <c r="AF83">
        <v>1830</v>
      </c>
      <c r="AG83" s="16">
        <v>0.74457402970495901</v>
      </c>
      <c r="AH83">
        <v>1830</v>
      </c>
      <c r="AI83" s="16">
        <v>8.8678285750249705E-2</v>
      </c>
      <c r="AJ83">
        <v>1830</v>
      </c>
      <c r="AK83" s="16">
        <v>0.82825753022821902</v>
      </c>
      <c r="AL83" s="11">
        <v>1830</v>
      </c>
    </row>
    <row r="84" spans="1:38" outlineLevel="1" x14ac:dyDescent="0.25">
      <c r="A84" s="7" t="s">
        <v>15</v>
      </c>
      <c r="B84" s="9" t="s">
        <v>88</v>
      </c>
      <c r="C84" s="15">
        <v>0.56243334874724304</v>
      </c>
      <c r="D84" s="9">
        <v>2056</v>
      </c>
      <c r="E84" s="15">
        <v>0.24834368551831201</v>
      </c>
      <c r="F84" s="9">
        <v>2072</v>
      </c>
      <c r="G84" s="15">
        <v>0.420415077610231</v>
      </c>
      <c r="H84" s="9">
        <v>2072</v>
      </c>
      <c r="I84" s="25">
        <v>0.42194226665127699</v>
      </c>
      <c r="J84" s="9">
        <v>2072</v>
      </c>
      <c r="K84" s="15">
        <v>0.13318615759761601</v>
      </c>
      <c r="L84" s="9">
        <v>2072</v>
      </c>
      <c r="M84" s="32">
        <v>0.80351436338257598</v>
      </c>
      <c r="N84" s="9">
        <v>2072</v>
      </c>
      <c r="O84" s="15">
        <v>0.54902060703887001</v>
      </c>
      <c r="P84" s="9">
        <v>1053</v>
      </c>
      <c r="Q84" s="15">
        <v>0.27689215934595401</v>
      </c>
      <c r="R84" s="9">
        <v>1061</v>
      </c>
      <c r="S84" s="15">
        <v>0.41321241627841399</v>
      </c>
      <c r="T84" s="9">
        <v>1061</v>
      </c>
      <c r="U84" s="15">
        <v>0.44338220932669897</v>
      </c>
      <c r="V84" s="9">
        <v>1061</v>
      </c>
      <c r="W84" s="15">
        <v>0.128761070826163</v>
      </c>
      <c r="X84" s="9">
        <v>1061</v>
      </c>
      <c r="Y84" s="15">
        <v>0.81886564645053095</v>
      </c>
      <c r="Z84" s="9">
        <v>1061</v>
      </c>
      <c r="AA84" s="15">
        <v>0.576775206935216</v>
      </c>
      <c r="AB84" s="9">
        <v>1002</v>
      </c>
      <c r="AC84" s="15">
        <v>0.21786313252828399</v>
      </c>
      <c r="AD84" s="9">
        <v>1010</v>
      </c>
      <c r="AE84" s="15">
        <v>0.428118606271638</v>
      </c>
      <c r="AF84" s="9">
        <v>1010</v>
      </c>
      <c r="AG84" s="15">
        <v>0.39905786643805102</v>
      </c>
      <c r="AH84" s="9">
        <v>1010</v>
      </c>
      <c r="AI84" s="15">
        <v>0.137915488055044</v>
      </c>
      <c r="AJ84" s="9">
        <v>1010</v>
      </c>
      <c r="AK84" s="15">
        <v>0.78714275018247004</v>
      </c>
      <c r="AL84" s="12">
        <v>1010</v>
      </c>
    </row>
    <row r="85" spans="1:38" x14ac:dyDescent="0.25">
      <c r="C85" s="16"/>
      <c r="E85" s="16"/>
      <c r="G85" s="16"/>
      <c r="I85" s="23"/>
      <c r="K85" s="16"/>
      <c r="M85" s="30"/>
      <c r="O85" s="16"/>
      <c r="Q85" s="16"/>
      <c r="S85" s="16"/>
      <c r="U85" s="16"/>
      <c r="W85" s="16"/>
      <c r="Y85" s="16"/>
      <c r="AA85" s="16"/>
      <c r="AC85" s="16"/>
      <c r="AE85" s="16"/>
      <c r="AG85" s="16"/>
      <c r="AI85" s="16"/>
      <c r="AK85" s="16"/>
    </row>
    <row r="86" spans="1:38" x14ac:dyDescent="0.25">
      <c r="A86" s="19" t="s">
        <v>89</v>
      </c>
      <c r="B86" s="19"/>
      <c r="C86" s="20"/>
      <c r="D86" s="19"/>
      <c r="E86" s="20"/>
      <c r="F86" s="19"/>
      <c r="G86" s="20"/>
      <c r="H86" s="19"/>
      <c r="I86" s="20"/>
      <c r="J86" s="19"/>
      <c r="K86" s="20"/>
      <c r="L86" s="19"/>
      <c r="M86" s="20"/>
      <c r="N86" s="19"/>
      <c r="O86" s="20"/>
      <c r="P86" s="19"/>
      <c r="Q86" s="20"/>
      <c r="R86" s="19"/>
      <c r="S86" s="20"/>
      <c r="T86" s="19"/>
      <c r="U86" s="20"/>
      <c r="V86" s="19"/>
      <c r="W86" s="20"/>
      <c r="X86" s="19"/>
      <c r="Y86" s="20"/>
      <c r="Z86" s="19"/>
      <c r="AA86" s="20"/>
      <c r="AB86" s="19"/>
      <c r="AC86" s="20"/>
      <c r="AD86" s="19"/>
      <c r="AE86" s="20"/>
      <c r="AF86" s="19"/>
      <c r="AG86" s="20"/>
      <c r="AH86" s="19"/>
      <c r="AI86" s="20"/>
      <c r="AJ86" s="19"/>
      <c r="AK86" s="20"/>
      <c r="AL86" s="19"/>
    </row>
    <row r="87" spans="1:38" outlineLevel="1" x14ac:dyDescent="0.25">
      <c r="A87" s="5" t="s">
        <v>15</v>
      </c>
      <c r="B87" s="8" t="s">
        <v>90</v>
      </c>
      <c r="C87" s="14">
        <v>0.56148732931697498</v>
      </c>
      <c r="D87" s="8">
        <v>1870</v>
      </c>
      <c r="E87" s="14">
        <v>0.18867930537524399</v>
      </c>
      <c r="F87" s="8">
        <v>1882</v>
      </c>
      <c r="G87" s="14">
        <v>0.39652830672501699</v>
      </c>
      <c r="H87" s="8">
        <v>1882</v>
      </c>
      <c r="I87" s="24">
        <v>0.35234971100444601</v>
      </c>
      <c r="J87" s="8">
        <v>1882</v>
      </c>
      <c r="K87" s="14">
        <v>0.162291804169545</v>
      </c>
      <c r="L87" s="8">
        <v>1882</v>
      </c>
      <c r="M87" s="31">
        <v>0.74749941626980598</v>
      </c>
      <c r="N87" s="8">
        <v>1882</v>
      </c>
      <c r="O87" s="14">
        <v>0.557157429729364</v>
      </c>
      <c r="P87" s="8">
        <v>921</v>
      </c>
      <c r="Q87" s="14">
        <v>0.19132606263776</v>
      </c>
      <c r="R87" s="8">
        <v>925</v>
      </c>
      <c r="S87" s="14">
        <v>0.39086282970777497</v>
      </c>
      <c r="T87" s="8">
        <v>925</v>
      </c>
      <c r="U87" s="14">
        <v>0.35809708461803202</v>
      </c>
      <c r="V87" s="8">
        <v>925</v>
      </c>
      <c r="W87" s="14">
        <v>0.164226873779516</v>
      </c>
      <c r="X87" s="8">
        <v>925</v>
      </c>
      <c r="Y87" s="14">
        <v>0.74641576612505101</v>
      </c>
      <c r="Z87" s="8">
        <v>925</v>
      </c>
      <c r="AA87" s="14">
        <v>0.56439366437077598</v>
      </c>
      <c r="AB87" s="8">
        <v>946</v>
      </c>
      <c r="AC87" s="14">
        <v>0.18671738138400701</v>
      </c>
      <c r="AD87" s="8">
        <v>954</v>
      </c>
      <c r="AE87" s="14">
        <v>0.40081623391589699</v>
      </c>
      <c r="AF87" s="8">
        <v>954</v>
      </c>
      <c r="AG87" s="14">
        <v>0.347397091054225</v>
      </c>
      <c r="AH87" s="8">
        <v>954</v>
      </c>
      <c r="AI87" s="14">
        <v>0.16035713556484599</v>
      </c>
      <c r="AJ87" s="8">
        <v>954</v>
      </c>
      <c r="AK87" s="14">
        <v>0.74789075086474999</v>
      </c>
      <c r="AL87" s="10">
        <v>954</v>
      </c>
    </row>
    <row r="88" spans="1:38" outlineLevel="1" x14ac:dyDescent="0.25">
      <c r="A88" s="6" t="s">
        <v>15</v>
      </c>
      <c r="B88" t="s">
        <v>91</v>
      </c>
      <c r="C88" s="16">
        <v>0.33085993967925498</v>
      </c>
      <c r="D88">
        <v>591</v>
      </c>
      <c r="E88" s="16">
        <v>0.44571308437657398</v>
      </c>
      <c r="F88">
        <v>597</v>
      </c>
      <c r="G88" s="16">
        <v>0.147362323959491</v>
      </c>
      <c r="H88">
        <v>597</v>
      </c>
      <c r="I88" s="23">
        <v>0.62775162442960197</v>
      </c>
      <c r="J88">
        <v>597</v>
      </c>
      <c r="K88" s="16">
        <v>0.18094146546064099</v>
      </c>
      <c r="L88">
        <v>597</v>
      </c>
      <c r="M88" s="30">
        <v>0.77401687379670603</v>
      </c>
      <c r="N88">
        <v>597</v>
      </c>
      <c r="O88" s="16">
        <v>0.35646524309601302</v>
      </c>
      <c r="P88">
        <v>273</v>
      </c>
      <c r="Q88" s="16">
        <v>0.43418167314554001</v>
      </c>
      <c r="R88">
        <v>277</v>
      </c>
      <c r="S88" s="16">
        <v>0.19629197570592299</v>
      </c>
      <c r="T88">
        <v>277</v>
      </c>
      <c r="U88" s="16">
        <v>0.59241040474992102</v>
      </c>
      <c r="V88">
        <v>277</v>
      </c>
      <c r="W88" s="16">
        <v>0.15587764835484999</v>
      </c>
      <c r="X88">
        <v>277</v>
      </c>
      <c r="Y88" s="16">
        <v>0.78635129720631303</v>
      </c>
      <c r="Z88">
        <v>277</v>
      </c>
      <c r="AA88" s="16">
        <v>0.31006363436780399</v>
      </c>
      <c r="AB88">
        <v>317</v>
      </c>
      <c r="AC88" s="16">
        <v>0.45330360674050801</v>
      </c>
      <c r="AD88">
        <v>319</v>
      </c>
      <c r="AE88" s="16">
        <v>0.105035912889582</v>
      </c>
      <c r="AF88">
        <v>319</v>
      </c>
      <c r="AG88" s="16">
        <v>0.657103387771106</v>
      </c>
      <c r="AH88">
        <v>319</v>
      </c>
      <c r="AI88" s="16">
        <v>0.20379978103059801</v>
      </c>
      <c r="AJ88">
        <v>319</v>
      </c>
      <c r="AK88" s="16">
        <v>0.76213930066068802</v>
      </c>
      <c r="AL88" s="11">
        <v>319</v>
      </c>
    </row>
    <row r="89" spans="1:38" outlineLevel="1" x14ac:dyDescent="0.25">
      <c r="A89" s="6" t="s">
        <v>15</v>
      </c>
      <c r="B89" t="s">
        <v>92</v>
      </c>
      <c r="C89" s="16">
        <v>0.35849056603773599</v>
      </c>
      <c r="D89">
        <v>212</v>
      </c>
      <c r="E89" s="16">
        <v>0.155660377358491</v>
      </c>
      <c r="F89">
        <v>212</v>
      </c>
      <c r="G89" s="16">
        <v>0.235849056603774</v>
      </c>
      <c r="H89">
        <v>212</v>
      </c>
      <c r="I89" s="23">
        <v>0.27830188679245299</v>
      </c>
      <c r="J89">
        <v>212</v>
      </c>
      <c r="K89" s="16">
        <v>0.122641509433962</v>
      </c>
      <c r="L89">
        <v>212</v>
      </c>
      <c r="M89" s="30">
        <v>0.51415094339622602</v>
      </c>
      <c r="N89">
        <v>212</v>
      </c>
      <c r="O89" s="16">
        <v>0.33333333333333298</v>
      </c>
      <c r="P89">
        <v>102</v>
      </c>
      <c r="Q89" s="16">
        <v>0.17647058823529399</v>
      </c>
      <c r="R89">
        <v>102</v>
      </c>
      <c r="S89" s="16">
        <v>0.20588235294117599</v>
      </c>
      <c r="T89">
        <v>102</v>
      </c>
      <c r="U89" s="16">
        <v>0.30392156862745101</v>
      </c>
      <c r="V89">
        <v>102</v>
      </c>
      <c r="W89" s="16">
        <v>0.12745098039215699</v>
      </c>
      <c r="X89">
        <v>102</v>
      </c>
      <c r="Y89" s="16">
        <v>0.50980392156862697</v>
      </c>
      <c r="Z89">
        <v>102</v>
      </c>
      <c r="AA89" s="16">
        <v>0.38532110091743099</v>
      </c>
      <c r="AB89">
        <v>109</v>
      </c>
      <c r="AC89" s="16">
        <v>0.13761467889908299</v>
      </c>
      <c r="AD89">
        <v>109</v>
      </c>
      <c r="AE89" s="16">
        <v>0.26605504587155998</v>
      </c>
      <c r="AF89">
        <v>109</v>
      </c>
      <c r="AG89" s="16">
        <v>0.25688073394495398</v>
      </c>
      <c r="AH89">
        <v>109</v>
      </c>
      <c r="AI89" s="16">
        <v>0.119266055045872</v>
      </c>
      <c r="AJ89">
        <v>109</v>
      </c>
      <c r="AK89" s="16">
        <v>0.52293577981651396</v>
      </c>
      <c r="AL89" s="11">
        <v>109</v>
      </c>
    </row>
    <row r="90" spans="1:38" outlineLevel="1" x14ac:dyDescent="0.25">
      <c r="A90" s="6" t="s">
        <v>15</v>
      </c>
      <c r="B90" t="s">
        <v>93</v>
      </c>
      <c r="C90" s="16">
        <v>0.33566433566433601</v>
      </c>
      <c r="D90">
        <v>143</v>
      </c>
      <c r="E90" s="16">
        <v>0.28472222222222199</v>
      </c>
      <c r="F90">
        <v>144</v>
      </c>
      <c r="G90" s="16">
        <v>8.3333333333333301E-2</v>
      </c>
      <c r="H90">
        <v>144</v>
      </c>
      <c r="I90" s="23">
        <v>0.53472222222222199</v>
      </c>
      <c r="J90">
        <v>144</v>
      </c>
      <c r="K90" s="16">
        <v>0.25</v>
      </c>
      <c r="L90">
        <v>144</v>
      </c>
      <c r="M90" s="30">
        <v>0.61805555555555503</v>
      </c>
      <c r="N90">
        <v>144</v>
      </c>
      <c r="O90" s="16">
        <v>0.25</v>
      </c>
      <c r="P90">
        <v>76</v>
      </c>
      <c r="Q90" s="16">
        <v>0.38157894736842102</v>
      </c>
      <c r="R90">
        <v>76</v>
      </c>
      <c r="S90" s="16">
        <v>5.2631578947368397E-2</v>
      </c>
      <c r="T90">
        <v>76</v>
      </c>
      <c r="U90" s="16">
        <v>0.57894736842105299</v>
      </c>
      <c r="V90">
        <v>76</v>
      </c>
      <c r="W90" s="16">
        <v>0.197368421052632</v>
      </c>
      <c r="X90">
        <v>76</v>
      </c>
      <c r="Y90" s="16">
        <v>0.63157894736842102</v>
      </c>
      <c r="Z90">
        <v>76</v>
      </c>
      <c r="AA90" s="16">
        <v>0.43283582089552203</v>
      </c>
      <c r="AB90">
        <v>67</v>
      </c>
      <c r="AC90" s="16">
        <v>0.17647058823529399</v>
      </c>
      <c r="AD90">
        <v>68</v>
      </c>
      <c r="AE90" s="16">
        <v>0.11764705882352899</v>
      </c>
      <c r="AF90">
        <v>68</v>
      </c>
      <c r="AG90" s="16">
        <v>0.48529411764705899</v>
      </c>
      <c r="AH90">
        <v>68</v>
      </c>
      <c r="AI90" s="16">
        <v>0.308823529411765</v>
      </c>
      <c r="AJ90">
        <v>68</v>
      </c>
      <c r="AK90" s="16">
        <v>0.60294117647058798</v>
      </c>
      <c r="AL90" s="11">
        <v>68</v>
      </c>
    </row>
    <row r="91" spans="1:38" outlineLevel="1" x14ac:dyDescent="0.25">
      <c r="A91" s="6" t="s">
        <v>15</v>
      </c>
      <c r="B91" t="s">
        <v>94</v>
      </c>
      <c r="C91" s="16">
        <v>0.199275548466713</v>
      </c>
      <c r="D91">
        <v>2679</v>
      </c>
      <c r="E91" s="16">
        <v>0.62160511725147904</v>
      </c>
      <c r="F91">
        <v>2691</v>
      </c>
      <c r="G91" s="16">
        <v>0.103834731767285</v>
      </c>
      <c r="H91">
        <v>2691</v>
      </c>
      <c r="I91" s="23">
        <v>0.72219079505378203</v>
      </c>
      <c r="J91">
        <v>2691</v>
      </c>
      <c r="K91" s="16">
        <v>9.4108420401816398E-2</v>
      </c>
      <c r="L91">
        <v>2691</v>
      </c>
      <c r="M91" s="30">
        <v>0.81954826942058001</v>
      </c>
      <c r="N91">
        <v>2691</v>
      </c>
      <c r="O91" s="16">
        <v>0.20904742501621101</v>
      </c>
      <c r="P91">
        <v>1393</v>
      </c>
      <c r="Q91" s="16">
        <v>0.61783431341550299</v>
      </c>
      <c r="R91">
        <v>1402</v>
      </c>
      <c r="S91" s="16">
        <v>0.112505540802987</v>
      </c>
      <c r="T91">
        <v>1402</v>
      </c>
      <c r="U91" s="16">
        <v>0.71761340227469295</v>
      </c>
      <c r="V91">
        <v>1402</v>
      </c>
      <c r="W91" s="16">
        <v>9.4846839843897607E-2</v>
      </c>
      <c r="X91">
        <v>1402</v>
      </c>
      <c r="Y91" s="16">
        <v>0.82518669406238798</v>
      </c>
      <c r="Z91">
        <v>1402</v>
      </c>
      <c r="AA91" s="16">
        <v>0.18898198925531801</v>
      </c>
      <c r="AB91">
        <v>1286</v>
      </c>
      <c r="AC91" s="16">
        <v>0.62558894224684602</v>
      </c>
      <c r="AD91">
        <v>1289</v>
      </c>
      <c r="AE91" s="16">
        <v>9.46740892971243E-2</v>
      </c>
      <c r="AF91">
        <v>1289</v>
      </c>
      <c r="AG91" s="16">
        <v>0.72702677500929402</v>
      </c>
      <c r="AH91">
        <v>1289</v>
      </c>
      <c r="AI91" s="16">
        <v>9.3328285990590398E-2</v>
      </c>
      <c r="AJ91">
        <v>1289</v>
      </c>
      <c r="AK91" s="16">
        <v>0.81359131753456104</v>
      </c>
      <c r="AL91" s="11">
        <v>1289</v>
      </c>
    </row>
    <row r="92" spans="1:38" outlineLevel="1" x14ac:dyDescent="0.25">
      <c r="A92" s="6" t="s">
        <v>15</v>
      </c>
      <c r="B92" t="s">
        <v>95</v>
      </c>
      <c r="C92" s="16">
        <v>0.15029914760966001</v>
      </c>
      <c r="D92">
        <v>1082</v>
      </c>
      <c r="E92" s="16">
        <v>0.72014524965367199</v>
      </c>
      <c r="F92">
        <v>1084</v>
      </c>
      <c r="G92" s="16">
        <v>7.6847533480373903E-2</v>
      </c>
      <c r="H92">
        <v>1084</v>
      </c>
      <c r="I92" s="23">
        <v>0.810213955910144</v>
      </c>
      <c r="J92">
        <v>1084</v>
      </c>
      <c r="K92" s="16">
        <v>7.3096230544411903E-2</v>
      </c>
      <c r="L92">
        <v>1084</v>
      </c>
      <c r="M92" s="30">
        <v>0.87008901367845803</v>
      </c>
      <c r="N92">
        <v>1084</v>
      </c>
      <c r="O92" s="16">
        <v>0.13468399036016601</v>
      </c>
      <c r="P92">
        <v>541</v>
      </c>
      <c r="Q92" s="16">
        <v>0.73455324773058295</v>
      </c>
      <c r="R92">
        <v>542</v>
      </c>
      <c r="S92" s="16">
        <v>6.2974066410233703E-2</v>
      </c>
      <c r="T92">
        <v>542</v>
      </c>
      <c r="U92" s="16">
        <v>0.82283838014050703</v>
      </c>
      <c r="V92">
        <v>542</v>
      </c>
      <c r="W92" s="16">
        <v>7.14120346936825E-2</v>
      </c>
      <c r="X92">
        <v>542</v>
      </c>
      <c r="Y92" s="16">
        <v>0.86893934883449897</v>
      </c>
      <c r="Z92">
        <v>542</v>
      </c>
      <c r="AA92" s="16">
        <v>0.16785190838262201</v>
      </c>
      <c r="AB92">
        <v>540</v>
      </c>
      <c r="AC92" s="16">
        <v>0.70375755921739402</v>
      </c>
      <c r="AD92">
        <v>541</v>
      </c>
      <c r="AE92" s="16">
        <v>9.2357640602504301E-2</v>
      </c>
      <c r="AF92">
        <v>541</v>
      </c>
      <c r="AG92" s="16">
        <v>0.79593248238081604</v>
      </c>
      <c r="AH92">
        <v>541</v>
      </c>
      <c r="AI92" s="16">
        <v>7.5068360925640801E-2</v>
      </c>
      <c r="AJ92">
        <v>541</v>
      </c>
      <c r="AK92" s="16">
        <v>0.87118356074553904</v>
      </c>
      <c r="AL92" s="11">
        <v>541</v>
      </c>
    </row>
    <row r="93" spans="1:38" outlineLevel="1" x14ac:dyDescent="0.25">
      <c r="A93" s="6" t="s">
        <v>15</v>
      </c>
      <c r="B93" t="s">
        <v>96</v>
      </c>
      <c r="C93" s="16">
        <v>0.61579814223358897</v>
      </c>
      <c r="D93">
        <v>1612</v>
      </c>
      <c r="E93" s="16">
        <v>0.186805289046405</v>
      </c>
      <c r="F93">
        <v>1627</v>
      </c>
      <c r="G93" s="16">
        <v>0.48343086997309398</v>
      </c>
      <c r="H93">
        <v>1627</v>
      </c>
      <c r="I93" s="23">
        <v>0.346387018699365</v>
      </c>
      <c r="J93">
        <v>1627</v>
      </c>
      <c r="K93" s="16">
        <v>0.120245003073324</v>
      </c>
      <c r="L93">
        <v>1627</v>
      </c>
      <c r="M93" s="30">
        <v>0.79257917252337795</v>
      </c>
      <c r="N93">
        <v>1627</v>
      </c>
      <c r="O93" s="16">
        <v>0.60996666149592005</v>
      </c>
      <c r="P93">
        <v>805</v>
      </c>
      <c r="Q93" s="16">
        <v>0.207078272851422</v>
      </c>
      <c r="R93">
        <v>813</v>
      </c>
      <c r="S93" s="16">
        <v>0.48562752608152798</v>
      </c>
      <c r="T93">
        <v>813</v>
      </c>
      <c r="U93" s="16">
        <v>0.35965161749643099</v>
      </c>
      <c r="V93">
        <v>813</v>
      </c>
      <c r="W93" s="16">
        <v>0.113702298562413</v>
      </c>
      <c r="X93">
        <v>813</v>
      </c>
      <c r="Y93" s="16">
        <v>0.80640809749536302</v>
      </c>
      <c r="Z93">
        <v>813</v>
      </c>
      <c r="AA93" s="16">
        <v>0.62183109086334798</v>
      </c>
      <c r="AB93">
        <v>806</v>
      </c>
      <c r="AC93" s="16">
        <v>0.16586790215224501</v>
      </c>
      <c r="AD93">
        <v>813</v>
      </c>
      <c r="AE93" s="16">
        <v>0.48117912474552099</v>
      </c>
      <c r="AF93">
        <v>813</v>
      </c>
      <c r="AG93" s="16">
        <v>0.33269588091900898</v>
      </c>
      <c r="AH93">
        <v>813</v>
      </c>
      <c r="AI93" s="16">
        <v>0.12700871807111599</v>
      </c>
      <c r="AJ93">
        <v>813</v>
      </c>
      <c r="AK93" s="16">
        <v>0.77832130554527701</v>
      </c>
      <c r="AL93" s="11">
        <v>813</v>
      </c>
    </row>
    <row r="94" spans="1:38" outlineLevel="1" x14ac:dyDescent="0.25">
      <c r="A94" s="7" t="s">
        <v>15</v>
      </c>
      <c r="B94" s="9" t="s">
        <v>97</v>
      </c>
      <c r="C94" s="15">
        <v>0.40610356963800298</v>
      </c>
      <c r="D94" s="9">
        <v>444</v>
      </c>
      <c r="E94" s="15">
        <v>0.43106573017597999</v>
      </c>
      <c r="F94" s="9">
        <v>445</v>
      </c>
      <c r="G94" s="15">
        <v>0.23330629534740399</v>
      </c>
      <c r="H94" s="9">
        <v>445</v>
      </c>
      <c r="I94" s="25">
        <v>0.64628365644834596</v>
      </c>
      <c r="J94" s="9">
        <v>445</v>
      </c>
      <c r="K94" s="15">
        <v>0.17161150421822799</v>
      </c>
      <c r="L94" s="9">
        <v>445</v>
      </c>
      <c r="M94" s="32">
        <v>0.83598352974161205</v>
      </c>
      <c r="N94" s="9">
        <v>445</v>
      </c>
      <c r="O94" s="15">
        <v>0.38201683694591398</v>
      </c>
      <c r="P94" s="9">
        <v>248</v>
      </c>
      <c r="Q94" s="15">
        <v>0.47159070352266802</v>
      </c>
      <c r="R94" s="9">
        <v>248</v>
      </c>
      <c r="S94" s="15">
        <v>0.21125952176125501</v>
      </c>
      <c r="T94" s="9">
        <v>248</v>
      </c>
      <c r="U94" s="15">
        <v>0.67689197580681804</v>
      </c>
      <c r="V94" s="9">
        <v>248</v>
      </c>
      <c r="W94" s="15">
        <v>0.170757315184659</v>
      </c>
      <c r="X94" s="9">
        <v>248</v>
      </c>
      <c r="Y94" s="15">
        <v>0.853607540468582</v>
      </c>
      <c r="Z94" s="9">
        <v>248</v>
      </c>
      <c r="AA94" s="15">
        <v>0.43467575421762999</v>
      </c>
      <c r="AB94" s="9">
        <v>196</v>
      </c>
      <c r="AC94" s="15">
        <v>0.38329996661252003</v>
      </c>
      <c r="AD94" s="9">
        <v>197</v>
      </c>
      <c r="AE94" s="15">
        <v>0.25929227109238701</v>
      </c>
      <c r="AF94" s="9">
        <v>197</v>
      </c>
      <c r="AG94" s="15">
        <v>0.61020640272521298</v>
      </c>
      <c r="AH94" s="9">
        <v>197</v>
      </c>
      <c r="AI94" s="15">
        <v>0.17261831527932001</v>
      </c>
      <c r="AJ94" s="9">
        <v>197</v>
      </c>
      <c r="AK94" s="15">
        <v>0.81521055298422795</v>
      </c>
      <c r="AL94" s="12">
        <v>197</v>
      </c>
    </row>
    <row r="95" spans="1:38" x14ac:dyDescent="0.25">
      <c r="C95" s="16"/>
      <c r="E95" s="16"/>
      <c r="G95" s="16"/>
      <c r="I95" s="23"/>
      <c r="K95" s="16"/>
      <c r="M95" s="30"/>
      <c r="O95" s="16"/>
      <c r="Q95" s="16"/>
      <c r="S95" s="16"/>
      <c r="U95" s="16"/>
      <c r="W95" s="16"/>
      <c r="Y95" s="16"/>
      <c r="AA95" s="16"/>
      <c r="AC95" s="16"/>
      <c r="AE95" s="16"/>
      <c r="AG95" s="16"/>
      <c r="AI95" s="16"/>
      <c r="AK95" s="16"/>
    </row>
    <row r="96" spans="1:38" x14ac:dyDescent="0.25">
      <c r="A96" s="19" t="s">
        <v>98</v>
      </c>
      <c r="B96" s="19"/>
      <c r="C96" s="20"/>
      <c r="D96" s="19"/>
      <c r="E96" s="20"/>
      <c r="F96" s="19"/>
      <c r="G96" s="20"/>
      <c r="H96" s="19"/>
      <c r="I96" s="20"/>
      <c r="J96" s="19"/>
      <c r="K96" s="20"/>
      <c r="L96" s="19"/>
      <c r="M96" s="20"/>
      <c r="N96" s="19"/>
      <c r="O96" s="20"/>
      <c r="P96" s="19"/>
      <c r="Q96" s="20"/>
      <c r="R96" s="19"/>
      <c r="S96" s="20"/>
      <c r="T96" s="19"/>
      <c r="U96" s="20"/>
      <c r="V96" s="19"/>
      <c r="W96" s="20"/>
      <c r="X96" s="19"/>
      <c r="Y96" s="20"/>
      <c r="Z96" s="19"/>
      <c r="AA96" s="20"/>
      <c r="AB96" s="19"/>
      <c r="AC96" s="20"/>
      <c r="AD96" s="19"/>
      <c r="AE96" s="20"/>
      <c r="AF96" s="19"/>
      <c r="AG96" s="20"/>
      <c r="AH96" s="19"/>
      <c r="AI96" s="20"/>
      <c r="AJ96" s="19"/>
      <c r="AK96" s="20"/>
      <c r="AL96" s="19"/>
    </row>
    <row r="97" spans="1:38" outlineLevel="1" x14ac:dyDescent="0.25">
      <c r="A97" s="5" t="s">
        <v>15</v>
      </c>
      <c r="B97" s="8" t="s">
        <v>99</v>
      </c>
      <c r="C97" s="14">
        <v>0.52489959860824997</v>
      </c>
      <c r="D97" s="8">
        <v>1012</v>
      </c>
      <c r="E97" s="14">
        <v>0.193507696092762</v>
      </c>
      <c r="F97" s="8">
        <v>1018</v>
      </c>
      <c r="G97" s="14">
        <v>0.32256389265699797</v>
      </c>
      <c r="H97" s="8">
        <v>1018</v>
      </c>
      <c r="I97" s="24">
        <v>0.39534192121853801</v>
      </c>
      <c r="J97" s="8">
        <v>1018</v>
      </c>
      <c r="K97" s="14">
        <v>0.20020697607757501</v>
      </c>
      <c r="L97" s="8">
        <v>1018</v>
      </c>
      <c r="M97" s="31">
        <v>0.71627856482733598</v>
      </c>
      <c r="N97" s="8">
        <v>1018</v>
      </c>
      <c r="O97" s="14">
        <v>0.50678708737006695</v>
      </c>
      <c r="P97" s="8">
        <v>481</v>
      </c>
      <c r="Q97" s="14">
        <v>0.18691667234621401</v>
      </c>
      <c r="R97" s="8">
        <v>483</v>
      </c>
      <c r="S97" s="14">
        <v>0.32962595500043801</v>
      </c>
      <c r="T97" s="8">
        <v>483</v>
      </c>
      <c r="U97" s="14">
        <v>0.36609647584865002</v>
      </c>
      <c r="V97" s="8">
        <v>483</v>
      </c>
      <c r="W97" s="14">
        <v>0.175668515437261</v>
      </c>
      <c r="X97" s="8">
        <v>483</v>
      </c>
      <c r="Y97" s="14">
        <v>0.69221114278391405</v>
      </c>
      <c r="Z97" s="8">
        <v>483</v>
      </c>
      <c r="AA97" s="14">
        <v>0.54023367368751996</v>
      </c>
      <c r="AB97" s="8">
        <v>528</v>
      </c>
      <c r="AC97" s="14">
        <v>0.198237664301916</v>
      </c>
      <c r="AD97" s="8">
        <v>532</v>
      </c>
      <c r="AE97" s="14">
        <v>0.31500141116545499</v>
      </c>
      <c r="AF97" s="8">
        <v>532</v>
      </c>
      <c r="AG97" s="14">
        <v>0.420747401036622</v>
      </c>
      <c r="AH97" s="8">
        <v>532</v>
      </c>
      <c r="AI97" s="14">
        <v>0.222509736734705</v>
      </c>
      <c r="AJ97" s="8">
        <v>532</v>
      </c>
      <c r="AK97" s="14">
        <v>0.735748812202077</v>
      </c>
      <c r="AL97" s="10">
        <v>532</v>
      </c>
    </row>
    <row r="98" spans="1:38" outlineLevel="1" x14ac:dyDescent="0.25">
      <c r="A98" s="6" t="s">
        <v>15</v>
      </c>
      <c r="B98" t="s">
        <v>100</v>
      </c>
      <c r="C98" s="16">
        <v>0.508009054263868</v>
      </c>
      <c r="D98">
        <v>1449</v>
      </c>
      <c r="E98" s="16">
        <v>0.27937126447104199</v>
      </c>
      <c r="F98">
        <v>1461</v>
      </c>
      <c r="G98" s="16">
        <v>0.36813532760283402</v>
      </c>
      <c r="H98">
        <v>1461</v>
      </c>
      <c r="I98" s="23">
        <v>0.41703194631993001</v>
      </c>
      <c r="J98">
        <v>1461</v>
      </c>
      <c r="K98" s="16">
        <v>0.136599575288848</v>
      </c>
      <c r="L98">
        <v>1461</v>
      </c>
      <c r="M98" s="30">
        <v>0.78410616736272498</v>
      </c>
      <c r="N98">
        <v>1461</v>
      </c>
      <c r="O98" s="16">
        <v>0.52763939347177202</v>
      </c>
      <c r="P98">
        <v>713</v>
      </c>
      <c r="Q98" s="16">
        <v>0.281599576298111</v>
      </c>
      <c r="R98">
        <v>719</v>
      </c>
      <c r="S98" s="16">
        <v>0.371968343847422</v>
      </c>
      <c r="T98">
        <v>719</v>
      </c>
      <c r="U98" s="16">
        <v>0.435086778607012</v>
      </c>
      <c r="V98">
        <v>719</v>
      </c>
      <c r="W98" s="16">
        <v>0.15180975650876699</v>
      </c>
      <c r="X98">
        <v>719</v>
      </c>
      <c r="Y98" s="16">
        <v>0.80537767665430104</v>
      </c>
      <c r="Z98">
        <v>719</v>
      </c>
      <c r="AA98" s="16">
        <v>0.48929596349215199</v>
      </c>
      <c r="AB98">
        <v>735</v>
      </c>
      <c r="AC98" s="16">
        <v>0.27752570920520298</v>
      </c>
      <c r="AD98">
        <v>741</v>
      </c>
      <c r="AE98" s="16">
        <v>0.36486616908707997</v>
      </c>
      <c r="AF98">
        <v>741</v>
      </c>
      <c r="AG98" s="16">
        <v>0.39968466773515199</v>
      </c>
      <c r="AH98">
        <v>741</v>
      </c>
      <c r="AI98" s="16">
        <v>0.121672410185285</v>
      </c>
      <c r="AJ98">
        <v>741</v>
      </c>
      <c r="AK98" s="16">
        <v>0.76406428847756902</v>
      </c>
      <c r="AL98" s="11">
        <v>741</v>
      </c>
    </row>
    <row r="99" spans="1:38" outlineLevel="1" x14ac:dyDescent="0.25">
      <c r="A99" s="7" t="s">
        <v>15</v>
      </c>
      <c r="B99" s="9" t="s">
        <v>101</v>
      </c>
      <c r="C99" s="15">
        <v>0.19118951630835801</v>
      </c>
      <c r="D99" s="9">
        <v>6172</v>
      </c>
      <c r="E99" s="15">
        <v>0.638018462322545</v>
      </c>
      <c r="F99" s="9">
        <v>6203</v>
      </c>
      <c r="G99" s="15">
        <v>9.9865633818475394E-2</v>
      </c>
      <c r="H99" s="9">
        <v>6203</v>
      </c>
      <c r="I99" s="25">
        <v>0.73750326666939603</v>
      </c>
      <c r="J99" s="9">
        <v>6203</v>
      </c>
      <c r="K99" s="15">
        <v>9.0251736820426406E-2</v>
      </c>
      <c r="L99" s="9">
        <v>6203</v>
      </c>
      <c r="M99" s="32">
        <v>0.82814465398521897</v>
      </c>
      <c r="N99" s="9">
        <v>6203</v>
      </c>
      <c r="O99" s="15">
        <v>0.19299202186507</v>
      </c>
      <c r="P99" s="9">
        <v>3165</v>
      </c>
      <c r="Q99" s="15">
        <v>0.64070292220466996</v>
      </c>
      <c r="R99" s="9">
        <v>3183</v>
      </c>
      <c r="S99" s="15">
        <v>0.101810168866623</v>
      </c>
      <c r="T99" s="9">
        <v>3183</v>
      </c>
      <c r="U99" s="15">
        <v>0.73876286259668</v>
      </c>
      <c r="V99" s="9">
        <v>3183</v>
      </c>
      <c r="W99" s="15">
        <v>8.9930141187983703E-2</v>
      </c>
      <c r="X99" s="9">
        <v>3183</v>
      </c>
      <c r="Y99" s="15">
        <v>0.83244323225927697</v>
      </c>
      <c r="Z99" s="9">
        <v>3183</v>
      </c>
      <c r="AA99" s="15">
        <v>0.18935075349699801</v>
      </c>
      <c r="AB99" s="9">
        <v>3004</v>
      </c>
      <c r="AC99" s="15">
        <v>0.63508093643765096</v>
      </c>
      <c r="AD99" s="9">
        <v>3017</v>
      </c>
      <c r="AE99" s="15">
        <v>9.7830705792584793E-2</v>
      </c>
      <c r="AF99" s="9">
        <v>3017</v>
      </c>
      <c r="AG99" s="15">
        <v>0.73613291124092795</v>
      </c>
      <c r="AH99" s="9">
        <v>3017</v>
      </c>
      <c r="AI99" s="15">
        <v>9.0635321550465803E-2</v>
      </c>
      <c r="AJ99" s="9">
        <v>3017</v>
      </c>
      <c r="AK99" s="15">
        <v>0.82356521935674298</v>
      </c>
      <c r="AL99" s="12">
        <v>3017</v>
      </c>
    </row>
    <row r="100" spans="1:38" x14ac:dyDescent="0.25">
      <c r="C100" s="16"/>
      <c r="E100" s="16"/>
      <c r="G100" s="16"/>
      <c r="I100" s="23"/>
      <c r="K100" s="16"/>
      <c r="M100" s="30"/>
      <c r="O100" s="16"/>
      <c r="Q100" s="16"/>
      <c r="S100" s="16"/>
      <c r="U100" s="16"/>
      <c r="W100" s="16"/>
      <c r="Y100" s="16"/>
      <c r="AA100" s="16"/>
      <c r="AC100" s="16"/>
      <c r="AE100" s="16"/>
      <c r="AG100" s="16"/>
      <c r="AI100" s="16"/>
      <c r="AK100" s="16"/>
    </row>
    <row r="101" spans="1:38" x14ac:dyDescent="0.25">
      <c r="A101" s="19" t="s">
        <v>102</v>
      </c>
      <c r="B101" s="19"/>
      <c r="C101" s="20"/>
      <c r="D101" s="19"/>
      <c r="E101" s="20"/>
      <c r="F101" s="19"/>
      <c r="G101" s="20"/>
      <c r="H101" s="19"/>
      <c r="I101" s="20"/>
      <c r="J101" s="19"/>
      <c r="K101" s="20"/>
      <c r="L101" s="19"/>
      <c r="M101" s="20"/>
      <c r="N101" s="19"/>
      <c r="O101" s="20"/>
      <c r="P101" s="19"/>
      <c r="Q101" s="20"/>
      <c r="R101" s="19"/>
      <c r="S101" s="20"/>
      <c r="T101" s="19"/>
      <c r="U101" s="20"/>
      <c r="V101" s="19"/>
      <c r="W101" s="20"/>
      <c r="X101" s="19"/>
      <c r="Y101" s="20"/>
      <c r="Z101" s="19"/>
      <c r="AA101" s="20"/>
      <c r="AB101" s="19"/>
      <c r="AC101" s="20"/>
      <c r="AD101" s="19"/>
      <c r="AE101" s="20"/>
      <c r="AF101" s="19"/>
      <c r="AG101" s="20"/>
      <c r="AH101" s="19"/>
      <c r="AI101" s="20"/>
      <c r="AJ101" s="19"/>
      <c r="AK101" s="20"/>
      <c r="AL101" s="19"/>
    </row>
    <row r="102" spans="1:38" outlineLevel="1" x14ac:dyDescent="0.25">
      <c r="A102" s="5" t="s">
        <v>15</v>
      </c>
      <c r="B102" s="8" t="s">
        <v>101</v>
      </c>
      <c r="C102" s="14">
        <v>0.18913233623009401</v>
      </c>
      <c r="D102" s="8">
        <v>4124</v>
      </c>
      <c r="E102" s="14">
        <v>0.64021248784226603</v>
      </c>
      <c r="F102" s="8">
        <v>4140</v>
      </c>
      <c r="G102" s="14">
        <v>9.8046787395917406E-2</v>
      </c>
      <c r="H102" s="8">
        <v>4140</v>
      </c>
      <c r="I102" s="24">
        <v>0.739305563807238</v>
      </c>
      <c r="J102" s="8">
        <v>4140</v>
      </c>
      <c r="K102" s="14">
        <v>9.0036890439289696E-2</v>
      </c>
      <c r="L102" s="8">
        <v>4140</v>
      </c>
      <c r="M102" s="31">
        <v>0.828296165677473</v>
      </c>
      <c r="N102" s="8">
        <v>4140</v>
      </c>
      <c r="O102" s="14">
        <v>0.19102185159870999</v>
      </c>
      <c r="P102" s="8">
        <v>2117</v>
      </c>
      <c r="Q102" s="14">
        <v>0.64275817342421304</v>
      </c>
      <c r="R102" s="8">
        <v>2128</v>
      </c>
      <c r="S102" s="14">
        <v>0.100039340160385</v>
      </c>
      <c r="T102" s="8">
        <v>2128</v>
      </c>
      <c r="U102" s="14">
        <v>0.74046119357879003</v>
      </c>
      <c r="V102" s="8">
        <v>2128</v>
      </c>
      <c r="W102" s="14">
        <v>8.9741365580897195E-2</v>
      </c>
      <c r="X102" s="8">
        <v>2128</v>
      </c>
      <c r="Y102" s="14">
        <v>0.83253887916549496</v>
      </c>
      <c r="Z102" s="8">
        <v>2128</v>
      </c>
      <c r="AA102" s="14">
        <v>0.18720019017591599</v>
      </c>
      <c r="AB102" s="8">
        <v>2005</v>
      </c>
      <c r="AC102" s="14">
        <v>0.63742356823758795</v>
      </c>
      <c r="AD102" s="8">
        <v>2010</v>
      </c>
      <c r="AE102" s="14">
        <v>9.5959753459718605E-2</v>
      </c>
      <c r="AF102" s="8">
        <v>2010</v>
      </c>
      <c r="AG102" s="14">
        <v>0.73804679518390104</v>
      </c>
      <c r="AH102" s="8">
        <v>2010</v>
      </c>
      <c r="AI102" s="14">
        <v>9.0392746153539399E-2</v>
      </c>
      <c r="AJ102" s="8">
        <v>2010</v>
      </c>
      <c r="AK102" s="14">
        <v>0.82377606785084601</v>
      </c>
      <c r="AL102" s="10">
        <v>2010</v>
      </c>
    </row>
    <row r="103" spans="1:38" outlineLevel="1" x14ac:dyDescent="0.25">
      <c r="A103" s="6" t="s">
        <v>15</v>
      </c>
      <c r="B103" t="s">
        <v>103</v>
      </c>
      <c r="C103" s="16">
        <v>0.51273732652707904</v>
      </c>
      <c r="D103">
        <v>3357</v>
      </c>
      <c r="E103" s="16">
        <v>0.24516504518417501</v>
      </c>
      <c r="F103">
        <v>3378</v>
      </c>
      <c r="G103" s="16">
        <v>0.35418642838059899</v>
      </c>
      <c r="H103">
        <v>3378</v>
      </c>
      <c r="I103" s="23">
        <v>0.40764051304703303</v>
      </c>
      <c r="J103">
        <v>3378</v>
      </c>
      <c r="K103" s="16">
        <v>0.15634016956219701</v>
      </c>
      <c r="L103">
        <v>3378</v>
      </c>
      <c r="M103" s="30">
        <v>0.75588565266638197</v>
      </c>
      <c r="N103">
        <v>3378</v>
      </c>
      <c r="O103" s="16">
        <v>0.50617481302084699</v>
      </c>
      <c r="P103">
        <v>1667</v>
      </c>
      <c r="Q103" s="16">
        <v>0.247450293724084</v>
      </c>
      <c r="R103">
        <v>1677</v>
      </c>
      <c r="S103" s="16">
        <v>0.35745920139086501</v>
      </c>
      <c r="T103">
        <v>1677</v>
      </c>
      <c r="U103" s="16">
        <v>0.40123679814720897</v>
      </c>
      <c r="V103">
        <v>1677</v>
      </c>
      <c r="W103" s="16">
        <v>0.14660558698656201</v>
      </c>
      <c r="X103">
        <v>1677</v>
      </c>
      <c r="Y103" s="16">
        <v>0.75151508210150997</v>
      </c>
      <c r="Z103">
        <v>1677</v>
      </c>
      <c r="AA103" s="16">
        <v>0.51865047831153999</v>
      </c>
      <c r="AB103">
        <v>1687</v>
      </c>
      <c r="AC103" s="16">
        <v>0.242596485460227</v>
      </c>
      <c r="AD103">
        <v>1698</v>
      </c>
      <c r="AE103" s="16">
        <v>0.35038084541344899</v>
      </c>
      <c r="AF103">
        <v>1698</v>
      </c>
      <c r="AG103" s="16">
        <v>0.41372466489079801</v>
      </c>
      <c r="AH103">
        <v>1698</v>
      </c>
      <c r="AI103" s="16">
        <v>0.165961477392324</v>
      </c>
      <c r="AJ103">
        <v>1698</v>
      </c>
      <c r="AK103" s="16">
        <v>0.75931630495972502</v>
      </c>
      <c r="AL103" s="11">
        <v>1698</v>
      </c>
    </row>
    <row r="104" spans="1:38" outlineLevel="1" x14ac:dyDescent="0.25">
      <c r="A104" s="6" t="s">
        <v>15</v>
      </c>
      <c r="B104" t="s">
        <v>104</v>
      </c>
      <c r="C104" s="16">
        <v>0.56146760842298404</v>
      </c>
      <c r="D104">
        <v>557</v>
      </c>
      <c r="E104" s="16">
        <v>0.19179164980023</v>
      </c>
      <c r="F104">
        <v>564</v>
      </c>
      <c r="G104" s="16">
        <v>0.45863994246937301</v>
      </c>
      <c r="H104">
        <v>564</v>
      </c>
      <c r="I104" s="23">
        <v>0.28846130237961498</v>
      </c>
      <c r="J104">
        <v>564</v>
      </c>
      <c r="K104" s="16">
        <v>9.5332861689697707E-2</v>
      </c>
      <c r="L104">
        <v>564</v>
      </c>
      <c r="M104" s="30">
        <v>0.74576445395930102</v>
      </c>
      <c r="N104">
        <v>564</v>
      </c>
      <c r="O104" s="16">
        <v>0.59467644579608103</v>
      </c>
      <c r="P104">
        <v>279</v>
      </c>
      <c r="Q104" s="16">
        <v>0.22139987406630701</v>
      </c>
      <c r="R104">
        <v>282</v>
      </c>
      <c r="S104" s="16">
        <v>0.49932717961290102</v>
      </c>
      <c r="T104">
        <v>282</v>
      </c>
      <c r="U104" s="16">
        <v>0.31499510173395201</v>
      </c>
      <c r="V104">
        <v>282</v>
      </c>
      <c r="W104" s="16">
        <v>9.0586289269673104E-2</v>
      </c>
      <c r="X104">
        <v>282</v>
      </c>
      <c r="Y104" s="16">
        <v>0.81131334294888102</v>
      </c>
      <c r="Z104">
        <v>282</v>
      </c>
      <c r="AA104" s="16">
        <v>0.53465930623284397</v>
      </c>
      <c r="AB104">
        <v>278</v>
      </c>
      <c r="AC104" s="16">
        <v>0.16812148657443601</v>
      </c>
      <c r="AD104">
        <v>282</v>
      </c>
      <c r="AE104" s="16">
        <v>0.42611271166555298</v>
      </c>
      <c r="AF104">
        <v>282</v>
      </c>
      <c r="AG104" s="16">
        <v>0.26724897447796397</v>
      </c>
      <c r="AH104">
        <v>282</v>
      </c>
      <c r="AI104" s="16">
        <v>9.9127487903528599E-2</v>
      </c>
      <c r="AJ104">
        <v>282</v>
      </c>
      <c r="AK104" s="16">
        <v>0.69336168614351701</v>
      </c>
      <c r="AL104" s="11">
        <v>282</v>
      </c>
    </row>
    <row r="105" spans="1:38" outlineLevel="1" x14ac:dyDescent="0.25">
      <c r="A105" s="6" t="s">
        <v>15</v>
      </c>
      <c r="B105" t="s">
        <v>105</v>
      </c>
      <c r="C105" s="16">
        <v>0.25</v>
      </c>
      <c r="D105">
        <v>4</v>
      </c>
      <c r="E105" s="16">
        <v>0.5</v>
      </c>
      <c r="F105">
        <v>4</v>
      </c>
      <c r="G105" s="16"/>
      <c r="I105" s="23">
        <v>0.75</v>
      </c>
      <c r="J105">
        <v>4</v>
      </c>
      <c r="K105" s="16">
        <v>0.25</v>
      </c>
      <c r="L105">
        <v>4</v>
      </c>
      <c r="M105" s="30">
        <v>0.75</v>
      </c>
      <c r="N105">
        <v>4</v>
      </c>
      <c r="O105" s="16">
        <v>0.5</v>
      </c>
      <c r="P105">
        <v>2</v>
      </c>
      <c r="Q105" s="16"/>
      <c r="S105" s="16"/>
      <c r="U105" s="16">
        <v>0.5</v>
      </c>
      <c r="V105">
        <v>2</v>
      </c>
      <c r="W105" s="16">
        <v>0.5</v>
      </c>
      <c r="X105">
        <v>2</v>
      </c>
      <c r="Y105" s="16">
        <v>0.5</v>
      </c>
      <c r="Z105">
        <v>2</v>
      </c>
      <c r="AA105" s="16"/>
      <c r="AC105" s="16">
        <v>1</v>
      </c>
      <c r="AD105">
        <v>2</v>
      </c>
      <c r="AE105" s="16"/>
      <c r="AG105" s="16">
        <v>1</v>
      </c>
      <c r="AH105">
        <v>2</v>
      </c>
      <c r="AI105" s="16"/>
      <c r="AK105" s="16">
        <v>1</v>
      </c>
      <c r="AL105" s="11">
        <v>2</v>
      </c>
    </row>
    <row r="106" spans="1:38" outlineLevel="1" x14ac:dyDescent="0.25">
      <c r="A106" s="6" t="s">
        <v>15</v>
      </c>
      <c r="B106" t="s">
        <v>106</v>
      </c>
      <c r="C106" s="16">
        <v>0.50994392951138601</v>
      </c>
      <c r="D106">
        <v>2</v>
      </c>
      <c r="E106" s="16">
        <v>0.49005607048861399</v>
      </c>
      <c r="F106">
        <v>2</v>
      </c>
      <c r="G106" s="16">
        <v>0.50994392951138601</v>
      </c>
      <c r="H106">
        <v>2</v>
      </c>
      <c r="I106" s="23">
        <v>0.49005607048861399</v>
      </c>
      <c r="J106">
        <v>2</v>
      </c>
      <c r="K106" s="16"/>
      <c r="M106" s="30">
        <v>1</v>
      </c>
      <c r="N106">
        <v>2</v>
      </c>
      <c r="O106" s="16"/>
      <c r="Q106" s="16">
        <v>1</v>
      </c>
      <c r="R106">
        <v>1</v>
      </c>
      <c r="S106" s="16"/>
      <c r="U106" s="16">
        <v>1</v>
      </c>
      <c r="V106">
        <v>1</v>
      </c>
      <c r="W106" s="16"/>
      <c r="Y106" s="16">
        <v>1</v>
      </c>
      <c r="Z106">
        <v>1</v>
      </c>
      <c r="AA106" s="16">
        <v>1</v>
      </c>
      <c r="AB106">
        <v>1</v>
      </c>
      <c r="AC106" s="16"/>
      <c r="AE106" s="16">
        <v>1</v>
      </c>
      <c r="AF106">
        <v>1</v>
      </c>
      <c r="AG106" s="16"/>
      <c r="AI106" s="16"/>
      <c r="AK106" s="16">
        <v>1</v>
      </c>
      <c r="AL106" s="11">
        <v>1</v>
      </c>
    </row>
    <row r="107" spans="1:38" outlineLevel="1" x14ac:dyDescent="0.25">
      <c r="A107" s="6" t="s">
        <v>15</v>
      </c>
      <c r="B107" t="s">
        <v>108</v>
      </c>
      <c r="C107" s="16">
        <v>0.77815755788808505</v>
      </c>
      <c r="D107">
        <v>28</v>
      </c>
      <c r="E107" s="16"/>
      <c r="G107" s="16">
        <v>1.7090104963832899E-3</v>
      </c>
      <c r="H107">
        <v>28</v>
      </c>
      <c r="I107" s="23">
        <v>0.77644854739170199</v>
      </c>
      <c r="J107">
        <v>28</v>
      </c>
      <c r="K107" s="16">
        <v>0.77644854739170199</v>
      </c>
      <c r="L107">
        <v>28</v>
      </c>
      <c r="M107" s="30">
        <v>0.77815755788808505</v>
      </c>
      <c r="N107">
        <v>28</v>
      </c>
      <c r="O107" s="16">
        <v>0.75</v>
      </c>
      <c r="P107">
        <v>16</v>
      </c>
      <c r="Q107" s="16"/>
      <c r="S107" s="16"/>
      <c r="U107" s="16">
        <v>0.75</v>
      </c>
      <c r="V107">
        <v>16</v>
      </c>
      <c r="W107" s="16">
        <v>0.75</v>
      </c>
      <c r="X107">
        <v>16</v>
      </c>
      <c r="Y107" s="16">
        <v>0.75</v>
      </c>
      <c r="Z107">
        <v>16</v>
      </c>
      <c r="AA107" s="16">
        <v>0.81894262583990596</v>
      </c>
      <c r="AB107">
        <v>12</v>
      </c>
      <c r="AC107" s="16"/>
      <c r="AE107" s="16">
        <v>4.1844421194808801E-3</v>
      </c>
      <c r="AF107">
        <v>12</v>
      </c>
      <c r="AG107" s="16">
        <v>0.81475818372042497</v>
      </c>
      <c r="AH107">
        <v>12</v>
      </c>
      <c r="AI107" s="16">
        <v>0.81475818372042497</v>
      </c>
      <c r="AJ107">
        <v>12</v>
      </c>
      <c r="AK107" s="16">
        <v>0.81894262583990596</v>
      </c>
      <c r="AL107" s="11">
        <v>12</v>
      </c>
    </row>
    <row r="108" spans="1:38" outlineLevel="1" x14ac:dyDescent="0.25">
      <c r="A108" s="6" t="s">
        <v>15</v>
      </c>
      <c r="B108" t="s">
        <v>109</v>
      </c>
      <c r="C108" s="16">
        <v>0.389622321294886</v>
      </c>
      <c r="D108">
        <v>191</v>
      </c>
      <c r="E108" s="16">
        <v>0.395002835831402</v>
      </c>
      <c r="F108">
        <v>195</v>
      </c>
      <c r="G108" s="16">
        <v>0.31737235524700003</v>
      </c>
      <c r="H108">
        <v>195</v>
      </c>
      <c r="I108" s="23">
        <v>0.46747717456410498</v>
      </c>
      <c r="J108">
        <v>195</v>
      </c>
      <c r="K108" s="16">
        <v>6.7796503412192594E-2</v>
      </c>
      <c r="L108">
        <v>195</v>
      </c>
      <c r="M108" s="30">
        <v>0.78017169449059498</v>
      </c>
      <c r="N108">
        <v>195</v>
      </c>
      <c r="O108" s="16">
        <v>0.37917420093642101</v>
      </c>
      <c r="P108">
        <v>102</v>
      </c>
      <c r="Q108" s="16">
        <v>0.35820616195622401</v>
      </c>
      <c r="R108">
        <v>103</v>
      </c>
      <c r="S108" s="16">
        <v>0.29732734353312701</v>
      </c>
      <c r="T108">
        <v>103</v>
      </c>
      <c r="U108" s="16">
        <v>0.442001226186992</v>
      </c>
      <c r="V108">
        <v>103</v>
      </c>
      <c r="W108" s="16">
        <v>7.9607013551098393E-2</v>
      </c>
      <c r="X108">
        <v>103</v>
      </c>
      <c r="Y108" s="16">
        <v>0.73514051904044897</v>
      </c>
      <c r="Z108">
        <v>103</v>
      </c>
      <c r="AA108" s="16">
        <v>0.39951893655604698</v>
      </c>
      <c r="AB108">
        <v>89</v>
      </c>
      <c r="AC108" s="16">
        <v>0.42948209724288</v>
      </c>
      <c r="AD108">
        <v>92</v>
      </c>
      <c r="AE108" s="16">
        <v>0.33615495503368797</v>
      </c>
      <c r="AF108">
        <v>92</v>
      </c>
      <c r="AG108" s="16">
        <v>0.49134867683029998</v>
      </c>
      <c r="AH108">
        <v>92</v>
      </c>
      <c r="AI108" s="16">
        <v>5.6729805702948603E-2</v>
      </c>
      <c r="AJ108">
        <v>92</v>
      </c>
      <c r="AK108" s="16">
        <v>0.82236685797951703</v>
      </c>
      <c r="AL108" s="11">
        <v>92</v>
      </c>
    </row>
    <row r="109" spans="1:38" outlineLevel="1" x14ac:dyDescent="0.25">
      <c r="A109" s="6" t="s">
        <v>15</v>
      </c>
      <c r="B109" t="s">
        <v>110</v>
      </c>
      <c r="C109" s="16">
        <v>0.55642077263849199</v>
      </c>
      <c r="D109">
        <v>44</v>
      </c>
      <c r="E109" s="16">
        <v>0.137769862733507</v>
      </c>
      <c r="F109">
        <v>44</v>
      </c>
      <c r="G109" s="16"/>
      <c r="I109" s="23">
        <v>0.69419063537199799</v>
      </c>
      <c r="J109">
        <v>44</v>
      </c>
      <c r="K109" s="16">
        <v>0.55642077263849199</v>
      </c>
      <c r="L109">
        <v>44</v>
      </c>
      <c r="M109" s="30">
        <v>0.69419063537199799</v>
      </c>
      <c r="N109">
        <v>44</v>
      </c>
      <c r="O109" s="16">
        <v>0.65959328176954102</v>
      </c>
      <c r="P109">
        <v>22</v>
      </c>
      <c r="Q109" s="16">
        <v>3.58213662573756E-2</v>
      </c>
      <c r="R109">
        <v>22</v>
      </c>
      <c r="S109" s="16"/>
      <c r="U109" s="16">
        <v>0.69541464802691599</v>
      </c>
      <c r="V109">
        <v>22</v>
      </c>
      <c r="W109" s="16">
        <v>0.65959328176954102</v>
      </c>
      <c r="X109">
        <v>22</v>
      </c>
      <c r="Y109" s="16">
        <v>0.69541464802691599</v>
      </c>
      <c r="Z109">
        <v>22</v>
      </c>
      <c r="AA109" s="16">
        <v>0.47121248361418999</v>
      </c>
      <c r="AB109">
        <v>22</v>
      </c>
      <c r="AC109" s="16">
        <v>0.221967262084308</v>
      </c>
      <c r="AD109">
        <v>22</v>
      </c>
      <c r="AE109" s="16"/>
      <c r="AG109" s="16">
        <v>0.69317974569849805</v>
      </c>
      <c r="AH109">
        <v>22</v>
      </c>
      <c r="AI109" s="16">
        <v>0.47121248361418999</v>
      </c>
      <c r="AJ109">
        <v>22</v>
      </c>
      <c r="AK109" s="16">
        <v>0.69317974569849805</v>
      </c>
      <c r="AL109" s="11">
        <v>22</v>
      </c>
    </row>
    <row r="110" spans="1:38" outlineLevel="1" x14ac:dyDescent="0.25">
      <c r="A110" s="6" t="s">
        <v>15</v>
      </c>
      <c r="B110" t="s">
        <v>111</v>
      </c>
      <c r="C110" s="16">
        <v>0.19259240529036201</v>
      </c>
      <c r="D110">
        <v>10</v>
      </c>
      <c r="E110" s="16">
        <v>0.77575788225213504</v>
      </c>
      <c r="F110">
        <v>10</v>
      </c>
      <c r="G110" s="16"/>
      <c r="I110" s="23">
        <v>0.96835028754249697</v>
      </c>
      <c r="J110">
        <v>10</v>
      </c>
      <c r="K110" s="16">
        <v>0.19259240529036201</v>
      </c>
      <c r="L110">
        <v>10</v>
      </c>
      <c r="M110" s="30">
        <v>0.96835028754249697</v>
      </c>
      <c r="N110">
        <v>10</v>
      </c>
      <c r="O110" s="16">
        <v>1</v>
      </c>
      <c r="P110">
        <v>1</v>
      </c>
      <c r="Q110" s="16"/>
      <c r="S110" s="16"/>
      <c r="U110" s="16">
        <v>1</v>
      </c>
      <c r="V110">
        <v>1</v>
      </c>
      <c r="W110" s="16">
        <v>1</v>
      </c>
      <c r="X110">
        <v>1</v>
      </c>
      <c r="Y110" s="16">
        <v>1</v>
      </c>
      <c r="Z110">
        <v>1</v>
      </c>
      <c r="AA110" s="16">
        <v>7.2698879747511505E-2</v>
      </c>
      <c r="AB110">
        <v>9</v>
      </c>
      <c r="AC110" s="16">
        <v>0.89095168037873296</v>
      </c>
      <c r="AD110">
        <v>9</v>
      </c>
      <c r="AE110" s="16"/>
      <c r="AG110" s="16">
        <v>0.96365056012624395</v>
      </c>
      <c r="AH110">
        <v>9</v>
      </c>
      <c r="AI110" s="16">
        <v>7.2698879747511505E-2</v>
      </c>
      <c r="AJ110">
        <v>9</v>
      </c>
      <c r="AK110" s="16">
        <v>0.96365056012624395</v>
      </c>
      <c r="AL110" s="11">
        <v>9</v>
      </c>
    </row>
    <row r="111" spans="1:38" outlineLevel="1" x14ac:dyDescent="0.25">
      <c r="A111" s="6" t="s">
        <v>15</v>
      </c>
      <c r="B111" t="s">
        <v>112</v>
      </c>
      <c r="C111" s="16">
        <v>0.387123425996514</v>
      </c>
      <c r="D111">
        <v>34</v>
      </c>
      <c r="E111" s="16">
        <v>0.48366330948987002</v>
      </c>
      <c r="F111">
        <v>34</v>
      </c>
      <c r="G111" s="16">
        <v>0.24284124397942899</v>
      </c>
      <c r="H111">
        <v>34</v>
      </c>
      <c r="I111" s="23">
        <v>0.627945491506955</v>
      </c>
      <c r="J111">
        <v>34</v>
      </c>
      <c r="K111" s="16">
        <v>0.14428218201708501</v>
      </c>
      <c r="L111">
        <v>34</v>
      </c>
      <c r="M111" s="30">
        <v>0.87078673548638397</v>
      </c>
      <c r="N111">
        <v>34</v>
      </c>
      <c r="O111" s="16">
        <v>0.314027337357701</v>
      </c>
      <c r="P111">
        <v>12</v>
      </c>
      <c r="Q111" s="16">
        <v>0.51259202670870296</v>
      </c>
      <c r="R111">
        <v>12</v>
      </c>
      <c r="S111" s="16">
        <v>0.25235823925389</v>
      </c>
      <c r="T111">
        <v>12</v>
      </c>
      <c r="U111" s="16">
        <v>0.57426112481251401</v>
      </c>
      <c r="V111">
        <v>12</v>
      </c>
      <c r="W111" s="16">
        <v>6.1669098103811E-2</v>
      </c>
      <c r="X111">
        <v>12</v>
      </c>
      <c r="Y111" s="16">
        <v>0.82661936406640302</v>
      </c>
      <c r="Z111">
        <v>12</v>
      </c>
      <c r="AA111" s="16">
        <v>0.45164864958575501</v>
      </c>
      <c r="AB111">
        <v>22</v>
      </c>
      <c r="AC111" s="16">
        <v>0.45812662235030799</v>
      </c>
      <c r="AD111">
        <v>22</v>
      </c>
      <c r="AE111" s="16">
        <v>0.23444016179544599</v>
      </c>
      <c r="AF111">
        <v>22</v>
      </c>
      <c r="AG111" s="16">
        <v>0.67533511014061698</v>
      </c>
      <c r="AH111">
        <v>22</v>
      </c>
      <c r="AI111" s="16">
        <v>0.21720848779030799</v>
      </c>
      <c r="AJ111">
        <v>22</v>
      </c>
      <c r="AK111" s="16">
        <v>0.909775271936063</v>
      </c>
      <c r="AL111" s="11">
        <v>22</v>
      </c>
    </row>
    <row r="112" spans="1:38" outlineLevel="1" x14ac:dyDescent="0.25">
      <c r="A112" s="6" t="s">
        <v>15</v>
      </c>
      <c r="B112" t="s">
        <v>113</v>
      </c>
      <c r="C112" s="16">
        <v>0.50329483116957596</v>
      </c>
      <c r="D112">
        <v>81</v>
      </c>
      <c r="E112" s="16">
        <v>0.269997396255727</v>
      </c>
      <c r="F112">
        <v>81</v>
      </c>
      <c r="G112" s="16"/>
      <c r="I112" s="23">
        <v>0.77329222742530301</v>
      </c>
      <c r="J112">
        <v>81</v>
      </c>
      <c r="K112" s="16">
        <v>0.50329483116957596</v>
      </c>
      <c r="L112">
        <v>81</v>
      </c>
      <c r="M112" s="30">
        <v>0.77329222742530301</v>
      </c>
      <c r="N112">
        <v>81</v>
      </c>
      <c r="O112" s="16">
        <v>0.61329446312613001</v>
      </c>
      <c r="P112">
        <v>42</v>
      </c>
      <c r="Q112" s="16">
        <v>0.33043459435592298</v>
      </c>
      <c r="R112">
        <v>42</v>
      </c>
      <c r="S112" s="16"/>
      <c r="U112" s="16">
        <v>0.94372905748205305</v>
      </c>
      <c r="V112">
        <v>42</v>
      </c>
      <c r="W112" s="16">
        <v>0.61329446312613001</v>
      </c>
      <c r="X112">
        <v>42</v>
      </c>
      <c r="Y112" s="16">
        <v>0.94372905748205305</v>
      </c>
      <c r="Z112">
        <v>42</v>
      </c>
      <c r="AA112" s="16">
        <v>0.40183524740249199</v>
      </c>
      <c r="AB112">
        <v>38</v>
      </c>
      <c r="AC112" s="16">
        <v>0.21424885870708099</v>
      </c>
      <c r="AD112">
        <v>38</v>
      </c>
      <c r="AE112" s="16"/>
      <c r="AG112" s="16">
        <v>0.61608410610957298</v>
      </c>
      <c r="AH112">
        <v>38</v>
      </c>
      <c r="AI112" s="16">
        <v>0.40183524740249199</v>
      </c>
      <c r="AJ112">
        <v>38</v>
      </c>
      <c r="AK112" s="16">
        <v>0.61608410610957298</v>
      </c>
      <c r="AL112" s="11">
        <v>38</v>
      </c>
    </row>
    <row r="113" spans="1:38" outlineLevel="1" x14ac:dyDescent="0.25">
      <c r="A113" s="6" t="s">
        <v>15</v>
      </c>
      <c r="B113" t="s">
        <v>114</v>
      </c>
      <c r="C113" s="16">
        <v>0.72337198148766202</v>
      </c>
      <c r="D113">
        <v>181</v>
      </c>
      <c r="E113" s="16">
        <v>0.113567073422517</v>
      </c>
      <c r="F113">
        <v>181</v>
      </c>
      <c r="G113" s="16">
        <v>0.214341226710482</v>
      </c>
      <c r="H113">
        <v>181</v>
      </c>
      <c r="I113" s="23">
        <v>0.622597828199697</v>
      </c>
      <c r="J113">
        <v>181</v>
      </c>
      <c r="K113" s="16">
        <v>0.50903075477717996</v>
      </c>
      <c r="L113">
        <v>181</v>
      </c>
      <c r="M113" s="30">
        <v>0.83693905491017895</v>
      </c>
      <c r="N113">
        <v>181</v>
      </c>
      <c r="O113" s="16">
        <v>0.72982322041077496</v>
      </c>
      <c r="P113">
        <v>87</v>
      </c>
      <c r="Q113" s="16">
        <v>0.115516464548479</v>
      </c>
      <c r="R113">
        <v>87</v>
      </c>
      <c r="S113" s="16">
        <v>0.113765227414402</v>
      </c>
      <c r="T113">
        <v>87</v>
      </c>
      <c r="U113" s="16">
        <v>0.73157445754485195</v>
      </c>
      <c r="V113">
        <v>87</v>
      </c>
      <c r="W113" s="16">
        <v>0.61605799299637298</v>
      </c>
      <c r="X113">
        <v>87</v>
      </c>
      <c r="Y113" s="16">
        <v>0.84533968495925405</v>
      </c>
      <c r="Z113">
        <v>87</v>
      </c>
      <c r="AA113" s="16">
        <v>0.71233064102209798</v>
      </c>
      <c r="AB113">
        <v>93</v>
      </c>
      <c r="AC113" s="16">
        <v>0.114748198802021</v>
      </c>
      <c r="AD113">
        <v>93</v>
      </c>
      <c r="AE113" s="16">
        <v>0.29257098159910899</v>
      </c>
      <c r="AF113">
        <v>93</v>
      </c>
      <c r="AG113" s="16">
        <v>0.53450785822501101</v>
      </c>
      <c r="AH113">
        <v>93</v>
      </c>
      <c r="AI113" s="16">
        <v>0.41975965942298898</v>
      </c>
      <c r="AJ113">
        <v>93</v>
      </c>
      <c r="AK113" s="16">
        <v>0.82707883982412</v>
      </c>
      <c r="AL113" s="11">
        <v>93</v>
      </c>
    </row>
    <row r="114" spans="1:38" outlineLevel="1" x14ac:dyDescent="0.25">
      <c r="A114" s="6" t="s">
        <v>15</v>
      </c>
      <c r="B114" t="s">
        <v>115</v>
      </c>
      <c r="C114" s="16">
        <v>0.68480018990689295</v>
      </c>
      <c r="D114">
        <v>4</v>
      </c>
      <c r="E114" s="16"/>
      <c r="G114" s="16">
        <v>0.63039962018621398</v>
      </c>
      <c r="H114">
        <v>4</v>
      </c>
      <c r="I114" s="23">
        <v>5.4400569720679297E-2</v>
      </c>
      <c r="J114">
        <v>4</v>
      </c>
      <c r="K114" s="16">
        <v>5.4400569720679297E-2</v>
      </c>
      <c r="L114">
        <v>4</v>
      </c>
      <c r="M114" s="30">
        <v>0.68480018990689295</v>
      </c>
      <c r="N114">
        <v>4</v>
      </c>
      <c r="O114" s="16">
        <v>0.53972003112913502</v>
      </c>
      <c r="P114">
        <v>3</v>
      </c>
      <c r="Q114" s="16"/>
      <c r="S114" s="16">
        <v>0.46027996887086498</v>
      </c>
      <c r="T114">
        <v>3</v>
      </c>
      <c r="U114" s="16">
        <v>7.9440062258270897E-2</v>
      </c>
      <c r="V114">
        <v>3</v>
      </c>
      <c r="W114" s="16">
        <v>7.9440062258270897E-2</v>
      </c>
      <c r="X114">
        <v>3</v>
      </c>
      <c r="Y114" s="16">
        <v>0.53972003112913502</v>
      </c>
      <c r="Z114">
        <v>3</v>
      </c>
      <c r="AA114" s="16">
        <v>1</v>
      </c>
      <c r="AB114">
        <v>1</v>
      </c>
      <c r="AC114" s="16"/>
      <c r="AE114" s="16">
        <v>1</v>
      </c>
      <c r="AF114">
        <v>1</v>
      </c>
      <c r="AG114" s="16"/>
      <c r="AI114" s="16"/>
      <c r="AK114" s="16">
        <v>1</v>
      </c>
      <c r="AL114" s="11">
        <v>1</v>
      </c>
    </row>
    <row r="115" spans="1:38" outlineLevel="1" x14ac:dyDescent="0.25">
      <c r="A115" s="7" t="s">
        <v>15</v>
      </c>
      <c r="B115" s="9" t="s">
        <v>116</v>
      </c>
      <c r="C115" s="15">
        <v>0.16091259813046799</v>
      </c>
      <c r="D115" s="9">
        <v>12</v>
      </c>
      <c r="E115" s="15">
        <v>0.57283648977186297</v>
      </c>
      <c r="F115" s="9">
        <v>13</v>
      </c>
      <c r="G115" s="15">
        <v>0.14211887151576899</v>
      </c>
      <c r="H115" s="9">
        <v>13</v>
      </c>
      <c r="I115" s="25">
        <v>0.57283648977186297</v>
      </c>
      <c r="J115" s="9">
        <v>13</v>
      </c>
      <c r="K115" s="15"/>
      <c r="L115" s="9"/>
      <c r="M115" s="32">
        <v>0.71495536128763304</v>
      </c>
      <c r="N115" s="9">
        <v>13</v>
      </c>
      <c r="O115" s="15">
        <v>0.13343867625972</v>
      </c>
      <c r="P115" s="9">
        <v>7</v>
      </c>
      <c r="Q115" s="15">
        <v>0.56101030652168304</v>
      </c>
      <c r="R115" s="9">
        <v>8</v>
      </c>
      <c r="S115" s="15">
        <v>0.109436753706403</v>
      </c>
      <c r="T115" s="9">
        <v>8</v>
      </c>
      <c r="U115" s="15">
        <v>0.56101030652168304</v>
      </c>
      <c r="V115" s="9">
        <v>8</v>
      </c>
      <c r="W115" s="15"/>
      <c r="X115" s="9"/>
      <c r="Y115" s="15">
        <v>0.67044706022808598</v>
      </c>
      <c r="Z115" s="9">
        <v>8</v>
      </c>
      <c r="AA115" s="15">
        <v>0.20263307560949101</v>
      </c>
      <c r="AB115" s="9">
        <v>5</v>
      </c>
      <c r="AC115" s="15">
        <v>0.59473384878101798</v>
      </c>
      <c r="AD115" s="9">
        <v>5</v>
      </c>
      <c r="AE115" s="15">
        <v>0.20263307560949101</v>
      </c>
      <c r="AF115" s="9">
        <v>5</v>
      </c>
      <c r="AG115" s="15">
        <v>0.59473384878101798</v>
      </c>
      <c r="AH115" s="9">
        <v>5</v>
      </c>
      <c r="AI115" s="15"/>
      <c r="AJ115" s="9"/>
      <c r="AK115" s="15">
        <v>0.79736692439050905</v>
      </c>
      <c r="AL115" s="12">
        <v>5</v>
      </c>
    </row>
    <row r="116" spans="1:38" x14ac:dyDescent="0.25">
      <c r="C116" s="16"/>
      <c r="E116" s="16"/>
      <c r="G116" s="16"/>
      <c r="I116" s="23"/>
      <c r="K116" s="16"/>
      <c r="M116" s="30"/>
      <c r="O116" s="16"/>
      <c r="Q116" s="16"/>
      <c r="S116" s="16"/>
      <c r="U116" s="16"/>
      <c r="W116" s="16"/>
      <c r="Y116" s="16"/>
      <c r="AA116" s="16"/>
      <c r="AC116" s="16"/>
      <c r="AE116" s="16"/>
      <c r="AG116" s="16"/>
      <c r="AI116" s="16"/>
      <c r="AK116" s="16"/>
    </row>
    <row r="117" spans="1:38" x14ac:dyDescent="0.25">
      <c r="A117" s="19" t="s">
        <v>117</v>
      </c>
      <c r="B117" s="19"/>
      <c r="C117" s="20"/>
      <c r="D117" s="19"/>
      <c r="E117" s="20"/>
      <c r="F117" s="19"/>
      <c r="G117" s="20"/>
      <c r="H117" s="19"/>
      <c r="I117" s="20"/>
      <c r="J117" s="19"/>
      <c r="K117" s="20"/>
      <c r="L117" s="19"/>
      <c r="M117" s="20"/>
      <c r="N117" s="19"/>
      <c r="O117" s="20"/>
      <c r="P117" s="19"/>
      <c r="Q117" s="20"/>
      <c r="R117" s="19"/>
      <c r="S117" s="20"/>
      <c r="T117" s="19"/>
      <c r="U117" s="20"/>
      <c r="V117" s="19"/>
      <c r="W117" s="20"/>
      <c r="X117" s="19"/>
      <c r="Y117" s="20"/>
      <c r="Z117" s="19"/>
      <c r="AA117" s="20"/>
      <c r="AB117" s="19"/>
      <c r="AC117" s="20"/>
      <c r="AD117" s="19"/>
      <c r="AE117" s="20"/>
      <c r="AF117" s="19"/>
      <c r="AG117" s="20"/>
      <c r="AH117" s="19"/>
      <c r="AI117" s="20"/>
      <c r="AJ117" s="19"/>
      <c r="AK117" s="20"/>
      <c r="AL117" s="19"/>
    </row>
    <row r="118" spans="1:38" outlineLevel="1" x14ac:dyDescent="0.25">
      <c r="A118" s="5" t="s">
        <v>15</v>
      </c>
      <c r="B118" s="8" t="s">
        <v>101</v>
      </c>
      <c r="C118" s="14">
        <v>0.26890323101886698</v>
      </c>
      <c r="D118" s="8">
        <v>83</v>
      </c>
      <c r="E118" s="14">
        <v>0.58628988725426601</v>
      </c>
      <c r="F118" s="8">
        <v>83</v>
      </c>
      <c r="G118" s="14">
        <v>6.7327523219174396E-3</v>
      </c>
      <c r="H118" s="8">
        <v>83</v>
      </c>
      <c r="I118" s="24">
        <v>0.84846036595121599</v>
      </c>
      <c r="J118" s="8">
        <v>83</v>
      </c>
      <c r="K118" s="14">
        <v>0.26217047869694998</v>
      </c>
      <c r="L118" s="8">
        <v>83</v>
      </c>
      <c r="M118" s="31">
        <v>0.85519311827313305</v>
      </c>
      <c r="N118" s="8">
        <v>83</v>
      </c>
      <c r="O118" s="14">
        <v>0.34465175335307302</v>
      </c>
      <c r="P118" s="8">
        <v>45</v>
      </c>
      <c r="Q118" s="14">
        <v>0.48682356110395902</v>
      </c>
      <c r="R118" s="8">
        <v>45</v>
      </c>
      <c r="S118" s="14">
        <v>3.6519139614981902E-3</v>
      </c>
      <c r="T118" s="8">
        <v>45</v>
      </c>
      <c r="U118" s="14">
        <v>0.82782340049553405</v>
      </c>
      <c r="V118" s="8">
        <v>45</v>
      </c>
      <c r="W118" s="14">
        <v>0.34099983939157502</v>
      </c>
      <c r="X118" s="8">
        <v>45</v>
      </c>
      <c r="Y118" s="14">
        <v>0.83147531445703204</v>
      </c>
      <c r="Z118" s="8">
        <v>45</v>
      </c>
      <c r="AA118" s="14">
        <v>0.154957484199125</v>
      </c>
      <c r="AB118" s="8">
        <v>38</v>
      </c>
      <c r="AC118" s="14">
        <v>0.73591346362725096</v>
      </c>
      <c r="AD118" s="8">
        <v>38</v>
      </c>
      <c r="AE118" s="14">
        <v>1.13671454030133E-2</v>
      </c>
      <c r="AF118" s="8">
        <v>38</v>
      </c>
      <c r="AG118" s="14">
        <v>0.87950380242336301</v>
      </c>
      <c r="AH118" s="8">
        <v>38</v>
      </c>
      <c r="AI118" s="14">
        <v>0.14359033879611199</v>
      </c>
      <c r="AJ118" s="8">
        <v>38</v>
      </c>
      <c r="AK118" s="14">
        <v>0.89087094782637599</v>
      </c>
      <c r="AL118" s="10">
        <v>38</v>
      </c>
    </row>
    <row r="119" spans="1:38" outlineLevel="1" x14ac:dyDescent="0.25">
      <c r="A119" s="6" t="s">
        <v>15</v>
      </c>
      <c r="B119" t="s">
        <v>118</v>
      </c>
      <c r="C119" s="16">
        <v>0.20702556433324301</v>
      </c>
      <c r="D119">
        <v>6075</v>
      </c>
      <c r="E119" s="16">
        <v>0.63562800491990601</v>
      </c>
      <c r="F119">
        <v>6098</v>
      </c>
      <c r="G119" s="16">
        <v>0.113116501532097</v>
      </c>
      <c r="H119">
        <v>6098</v>
      </c>
      <c r="I119" s="23">
        <v>0.73816092759082297</v>
      </c>
      <c r="J119">
        <v>6098</v>
      </c>
      <c r="K119" s="16">
        <v>9.2831845949123304E-2</v>
      </c>
      <c r="L119">
        <v>6098</v>
      </c>
      <c r="M119" s="30">
        <v>0.84158618637432603</v>
      </c>
      <c r="N119">
        <v>6098</v>
      </c>
      <c r="O119" s="16">
        <v>0.211144300431135</v>
      </c>
      <c r="P119">
        <v>3090</v>
      </c>
      <c r="Q119" s="16">
        <v>0.64216137354421599</v>
      </c>
      <c r="R119">
        <v>3104</v>
      </c>
      <c r="S119" s="16">
        <v>0.117841452530227</v>
      </c>
      <c r="T119">
        <v>3104</v>
      </c>
      <c r="U119" s="16">
        <v>0.74345790394268796</v>
      </c>
      <c r="V119">
        <v>3104</v>
      </c>
      <c r="W119" s="16">
        <v>9.2029367737556197E-2</v>
      </c>
      <c r="X119">
        <v>3104</v>
      </c>
      <c r="Y119" s="16">
        <v>0.85203219381199902</v>
      </c>
      <c r="Z119">
        <v>3104</v>
      </c>
      <c r="AA119" s="16">
        <v>0.20280720014724901</v>
      </c>
      <c r="AB119">
        <v>2982</v>
      </c>
      <c r="AC119" s="16">
        <v>0.62877599950273799</v>
      </c>
      <c r="AD119">
        <v>2991</v>
      </c>
      <c r="AE119" s="16">
        <v>0.10820890538320301</v>
      </c>
      <c r="AF119">
        <v>2991</v>
      </c>
      <c r="AG119" s="16">
        <v>0.73265119480121799</v>
      </c>
      <c r="AH119">
        <v>2991</v>
      </c>
      <c r="AI119" s="16">
        <v>9.3716983366067097E-2</v>
      </c>
      <c r="AJ119">
        <v>2991</v>
      </c>
      <c r="AK119" s="16">
        <v>0.83072197109351298</v>
      </c>
      <c r="AL119" s="11">
        <v>2991</v>
      </c>
    </row>
    <row r="120" spans="1:38" outlineLevel="1" x14ac:dyDescent="0.25">
      <c r="A120" s="6" t="s">
        <v>15</v>
      </c>
      <c r="B120" t="s">
        <v>119</v>
      </c>
      <c r="C120" s="16">
        <v>0.20155442914183599</v>
      </c>
      <c r="D120">
        <v>2150</v>
      </c>
      <c r="E120" s="16">
        <v>0.52801390446791197</v>
      </c>
      <c r="F120">
        <v>2172</v>
      </c>
      <c r="G120" s="16">
        <v>0.121742984626533</v>
      </c>
      <c r="H120">
        <v>2172</v>
      </c>
      <c r="I120" s="23">
        <v>0.61086596216273104</v>
      </c>
      <c r="J120">
        <v>2172</v>
      </c>
      <c r="K120" s="16">
        <v>7.8491401530461594E-2</v>
      </c>
      <c r="L120">
        <v>2172</v>
      </c>
      <c r="M120" s="30">
        <v>0.72824829062490604</v>
      </c>
      <c r="N120">
        <v>2172</v>
      </c>
      <c r="O120" s="16">
        <v>0.17702155010481699</v>
      </c>
      <c r="P120">
        <v>1064</v>
      </c>
      <c r="Q120" s="16">
        <v>0.53796108373669105</v>
      </c>
      <c r="R120">
        <v>1072</v>
      </c>
      <c r="S120" s="16">
        <v>0.103010822672644</v>
      </c>
      <c r="T120">
        <v>1072</v>
      </c>
      <c r="U120" s="16">
        <v>0.61116919317073504</v>
      </c>
      <c r="V120">
        <v>1072</v>
      </c>
      <c r="W120" s="16">
        <v>7.3045442448198897E-2</v>
      </c>
      <c r="X120">
        <v>1072</v>
      </c>
      <c r="Y120" s="16">
        <v>0.71401734885753398</v>
      </c>
      <c r="Z120">
        <v>1072</v>
      </c>
      <c r="AA120" s="16">
        <v>0.229009423115804</v>
      </c>
      <c r="AB120">
        <v>1083</v>
      </c>
      <c r="AC120" s="16">
        <v>0.51681441135572004</v>
      </c>
      <c r="AD120">
        <v>1097</v>
      </c>
      <c r="AE120" s="16">
        <v>0.142560023526694</v>
      </c>
      <c r="AF120">
        <v>1097</v>
      </c>
      <c r="AG120" s="16">
        <v>0.61056082646941001</v>
      </c>
      <c r="AH120">
        <v>1097</v>
      </c>
      <c r="AI120" s="16">
        <v>8.4666381964520102E-2</v>
      </c>
      <c r="AJ120">
        <v>1097</v>
      </c>
      <c r="AK120" s="16">
        <v>0.74404081684693402</v>
      </c>
      <c r="AL120" s="11">
        <v>1097</v>
      </c>
    </row>
    <row r="121" spans="1:38" outlineLevel="1" x14ac:dyDescent="0.25">
      <c r="A121" s="7" t="s">
        <v>15</v>
      </c>
      <c r="B121" s="9" t="s">
        <v>120</v>
      </c>
      <c r="C121" s="15">
        <v>0.2775096024541</v>
      </c>
      <c r="D121" s="9">
        <v>325</v>
      </c>
      <c r="E121" s="15">
        <v>0.384247794611567</v>
      </c>
      <c r="F121" s="9">
        <v>329</v>
      </c>
      <c r="G121" s="15">
        <v>2.85194627786759E-2</v>
      </c>
      <c r="H121" s="9">
        <v>329</v>
      </c>
      <c r="I121" s="25">
        <v>0.62805239726871798</v>
      </c>
      <c r="J121" s="9">
        <v>329</v>
      </c>
      <c r="K121" s="15">
        <v>0.24306420865823999</v>
      </c>
      <c r="L121" s="9">
        <v>329</v>
      </c>
      <c r="M121" s="32">
        <v>0.65583146604848297</v>
      </c>
      <c r="N121" s="9">
        <v>329</v>
      </c>
      <c r="O121" s="15">
        <v>0.25681993006075199</v>
      </c>
      <c r="P121" s="9">
        <v>160</v>
      </c>
      <c r="Q121" s="15">
        <v>0.32729485499010902</v>
      </c>
      <c r="R121" s="9">
        <v>164</v>
      </c>
      <c r="S121" s="15">
        <v>2.4275908694856099E-2</v>
      </c>
      <c r="T121" s="9">
        <v>164</v>
      </c>
      <c r="U121" s="15">
        <v>0.55203899853766802</v>
      </c>
      <c r="V121" s="9">
        <v>164</v>
      </c>
      <c r="W121" s="15">
        <v>0.22352675086110399</v>
      </c>
      <c r="X121" s="9">
        <v>164</v>
      </c>
      <c r="Y121" s="15">
        <v>0.57509751454606906</v>
      </c>
      <c r="Z121" s="9">
        <v>164</v>
      </c>
      <c r="AA121" s="15">
        <v>0.30709034759106801</v>
      </c>
      <c r="AB121" s="9">
        <v>164</v>
      </c>
      <c r="AC121" s="15">
        <v>0.47361079037862802</v>
      </c>
      <c r="AD121" s="9">
        <v>164</v>
      </c>
      <c r="AE121" s="15">
        <v>3.5177659526172099E-2</v>
      </c>
      <c r="AF121" s="9">
        <v>164</v>
      </c>
      <c r="AG121" s="15">
        <v>0.74552347844352396</v>
      </c>
      <c r="AH121" s="9">
        <v>164</v>
      </c>
      <c r="AI121" s="15">
        <v>0.27191268806489599</v>
      </c>
      <c r="AJ121" s="9">
        <v>164</v>
      </c>
      <c r="AK121" s="15">
        <v>0.78070113796969598</v>
      </c>
      <c r="AL121" s="12">
        <v>164</v>
      </c>
    </row>
    <row r="122" spans="1:38" x14ac:dyDescent="0.25">
      <c r="C122" s="16"/>
      <c r="E122" s="16"/>
      <c r="G122" s="16"/>
      <c r="I122" s="23"/>
      <c r="K122" s="16"/>
      <c r="M122" s="30"/>
      <c r="O122" s="16"/>
      <c r="Q122" s="16"/>
      <c r="S122" s="16"/>
      <c r="U122" s="16"/>
      <c r="W122" s="16"/>
      <c r="Y122" s="16"/>
      <c r="AA122" s="16"/>
      <c r="AC122" s="16"/>
      <c r="AE122" s="16"/>
      <c r="AG122" s="16"/>
      <c r="AI122" s="16"/>
      <c r="AK122" s="16"/>
    </row>
    <row r="123" spans="1:38" x14ac:dyDescent="0.25">
      <c r="A123" s="19" t="s">
        <v>121</v>
      </c>
      <c r="B123" s="19"/>
      <c r="C123" s="20"/>
      <c r="D123" s="19"/>
      <c r="E123" s="20"/>
      <c r="F123" s="19"/>
      <c r="G123" s="20"/>
      <c r="H123" s="19"/>
      <c r="I123" s="20"/>
      <c r="J123" s="19"/>
      <c r="K123" s="20"/>
      <c r="L123" s="19"/>
      <c r="M123" s="20"/>
      <c r="N123" s="19"/>
      <c r="O123" s="20"/>
      <c r="P123" s="19"/>
      <c r="Q123" s="20"/>
      <c r="R123" s="19"/>
      <c r="S123" s="20"/>
      <c r="T123" s="19"/>
      <c r="U123" s="20"/>
      <c r="V123" s="19"/>
      <c r="W123" s="20"/>
      <c r="X123" s="19"/>
      <c r="Y123" s="20"/>
      <c r="Z123" s="19"/>
      <c r="AA123" s="20"/>
      <c r="AB123" s="19"/>
      <c r="AC123" s="20"/>
      <c r="AD123" s="19"/>
      <c r="AE123" s="20"/>
      <c r="AF123" s="19"/>
      <c r="AG123" s="20"/>
      <c r="AH123" s="19"/>
      <c r="AI123" s="20"/>
      <c r="AJ123" s="19"/>
      <c r="AK123" s="20"/>
      <c r="AL123" s="19"/>
    </row>
    <row r="124" spans="1:38" outlineLevel="1" x14ac:dyDescent="0.25">
      <c r="A124" s="5" t="s">
        <v>15</v>
      </c>
      <c r="B124" s="8" t="s">
        <v>101</v>
      </c>
      <c r="C124" s="14">
        <v>0.34938060384678499</v>
      </c>
      <c r="D124" s="8">
        <v>107</v>
      </c>
      <c r="E124" s="14">
        <v>0.190700666345681</v>
      </c>
      <c r="F124" s="8">
        <v>111</v>
      </c>
      <c r="G124" s="14">
        <v>9.85844571776303E-2</v>
      </c>
      <c r="H124" s="8">
        <v>111</v>
      </c>
      <c r="I124" s="24">
        <v>0.42366217833518599</v>
      </c>
      <c r="J124" s="8">
        <v>111</v>
      </c>
      <c r="K124" s="14">
        <v>0.22861632361231801</v>
      </c>
      <c r="L124" s="8">
        <v>111</v>
      </c>
      <c r="M124" s="31">
        <v>0.51790144713562802</v>
      </c>
      <c r="N124" s="8">
        <v>111</v>
      </c>
      <c r="O124" s="14">
        <v>0.26617993632616699</v>
      </c>
      <c r="P124" s="8">
        <v>60</v>
      </c>
      <c r="Q124" s="14">
        <v>0.16969506033328599</v>
      </c>
      <c r="R124" s="8">
        <v>64</v>
      </c>
      <c r="S124" s="14">
        <v>4.94776146539583E-2</v>
      </c>
      <c r="T124" s="8">
        <v>64</v>
      </c>
      <c r="U124" s="14">
        <v>0.36442205782417603</v>
      </c>
      <c r="V124" s="8">
        <v>64</v>
      </c>
      <c r="W124" s="14">
        <v>0.18712016532314099</v>
      </c>
      <c r="X124" s="8">
        <v>64</v>
      </c>
      <c r="Y124" s="14">
        <v>0.40629284031038498</v>
      </c>
      <c r="Z124" s="8">
        <v>64</v>
      </c>
      <c r="AA124" s="14">
        <v>0.447902835137374</v>
      </c>
      <c r="AB124" s="8">
        <v>47</v>
      </c>
      <c r="AC124" s="14">
        <v>0.21868450546537899</v>
      </c>
      <c r="AD124" s="8">
        <v>47</v>
      </c>
      <c r="AE124" s="14">
        <v>0.16400499205998201</v>
      </c>
      <c r="AF124" s="8">
        <v>47</v>
      </c>
      <c r="AG124" s="14">
        <v>0.50258234854277095</v>
      </c>
      <c r="AH124" s="8">
        <v>47</v>
      </c>
      <c r="AI124" s="14">
        <v>0.28389784307739202</v>
      </c>
      <c r="AJ124" s="8">
        <v>47</v>
      </c>
      <c r="AK124" s="14">
        <v>0.66658734060275304</v>
      </c>
      <c r="AL124" s="10">
        <v>47</v>
      </c>
    </row>
    <row r="125" spans="1:38" outlineLevel="1" x14ac:dyDescent="0.25">
      <c r="A125" s="6" t="s">
        <v>15</v>
      </c>
      <c r="B125" t="s">
        <v>122</v>
      </c>
      <c r="C125" s="16">
        <v>0.27338984949698403</v>
      </c>
      <c r="D125">
        <v>597</v>
      </c>
      <c r="E125" s="16">
        <v>0.363004710139121</v>
      </c>
      <c r="F125">
        <v>600</v>
      </c>
      <c r="G125" s="16">
        <v>6.9415151988099597E-2</v>
      </c>
      <c r="H125">
        <v>600</v>
      </c>
      <c r="I125" s="23">
        <v>0.56655328368353497</v>
      </c>
      <c r="J125">
        <v>600</v>
      </c>
      <c r="K125" s="16">
        <v>0.203548573544414</v>
      </c>
      <c r="L125">
        <v>600</v>
      </c>
      <c r="M125" s="30">
        <v>0.63596843567163497</v>
      </c>
      <c r="N125">
        <v>600</v>
      </c>
      <c r="O125" s="16">
        <v>0.25420563614151698</v>
      </c>
      <c r="P125">
        <v>301</v>
      </c>
      <c r="Q125" s="16">
        <v>0.361438313965946</v>
      </c>
      <c r="R125">
        <v>302</v>
      </c>
      <c r="S125" s="16">
        <v>8.0466728203949206E-2</v>
      </c>
      <c r="T125">
        <v>302</v>
      </c>
      <c r="U125" s="16">
        <v>0.534955045360197</v>
      </c>
      <c r="V125">
        <v>302</v>
      </c>
      <c r="W125" s="16">
        <v>0.173516731394251</v>
      </c>
      <c r="X125">
        <v>302</v>
      </c>
      <c r="Y125" s="16">
        <v>0.61542177356414596</v>
      </c>
      <c r="Z125">
        <v>302</v>
      </c>
      <c r="AA125" s="16">
        <v>0.301559375379298</v>
      </c>
      <c r="AB125">
        <v>295</v>
      </c>
      <c r="AC125" s="16">
        <v>0.36530236362256002</v>
      </c>
      <c r="AD125">
        <v>297</v>
      </c>
      <c r="AE125" s="16">
        <v>5.3215761950580899E-2</v>
      </c>
      <c r="AF125">
        <v>297</v>
      </c>
      <c r="AG125" s="16">
        <v>0.61287329923619505</v>
      </c>
      <c r="AH125">
        <v>297</v>
      </c>
      <c r="AI125" s="16">
        <v>0.247570935613635</v>
      </c>
      <c r="AJ125">
        <v>297</v>
      </c>
      <c r="AK125" s="16">
        <v>0.66608906118677602</v>
      </c>
      <c r="AL125" s="11">
        <v>297</v>
      </c>
    </row>
    <row r="126" spans="1:38" outlineLevel="1" x14ac:dyDescent="0.25">
      <c r="A126" s="6" t="s">
        <v>15</v>
      </c>
      <c r="B126" t="s">
        <v>123</v>
      </c>
      <c r="C126" s="16">
        <v>0.28015813524338401</v>
      </c>
      <c r="D126">
        <v>3059</v>
      </c>
      <c r="E126" s="16">
        <v>0.42436487484235103</v>
      </c>
      <c r="F126">
        <v>3072</v>
      </c>
      <c r="G126" s="16">
        <v>0.14264651234400899</v>
      </c>
      <c r="H126">
        <v>3072</v>
      </c>
      <c r="I126" s="23">
        <v>0.56285000579859901</v>
      </c>
      <c r="J126">
        <v>3072</v>
      </c>
      <c r="K126" s="16">
        <v>0.13642049075528501</v>
      </c>
      <c r="L126">
        <v>3072</v>
      </c>
      <c r="M126" s="30">
        <v>0.70343187794164497</v>
      </c>
      <c r="N126">
        <v>3072</v>
      </c>
      <c r="O126" s="16">
        <v>0.28741577646734201</v>
      </c>
      <c r="P126">
        <v>1527</v>
      </c>
      <c r="Q126" s="16">
        <v>0.43073459914669199</v>
      </c>
      <c r="R126">
        <v>1533</v>
      </c>
      <c r="S126" s="16">
        <v>0.14316104137376101</v>
      </c>
      <c r="T126">
        <v>1533</v>
      </c>
      <c r="U126" s="16">
        <v>0.57397857882991699</v>
      </c>
      <c r="V126">
        <v>1533</v>
      </c>
      <c r="W126" s="16">
        <v>0.143243979683225</v>
      </c>
      <c r="X126">
        <v>1533</v>
      </c>
      <c r="Y126" s="16">
        <v>0.71713962020367805</v>
      </c>
      <c r="Z126">
        <v>1533</v>
      </c>
      <c r="AA126" s="16">
        <v>0.272440429769781</v>
      </c>
      <c r="AB126">
        <v>1529</v>
      </c>
      <c r="AC126" s="16">
        <v>0.41759497980475302</v>
      </c>
      <c r="AD126">
        <v>1536</v>
      </c>
      <c r="AE126" s="16">
        <v>0.142219690435546</v>
      </c>
      <c r="AF126">
        <v>1536</v>
      </c>
      <c r="AG126" s="16">
        <v>0.55093596656357002</v>
      </c>
      <c r="AH126">
        <v>1536</v>
      </c>
      <c r="AI126" s="16">
        <v>0.12904763879725001</v>
      </c>
      <c r="AJ126">
        <v>1536</v>
      </c>
      <c r="AK126" s="16">
        <v>0.68886230903754997</v>
      </c>
      <c r="AL126" s="11">
        <v>1536</v>
      </c>
    </row>
    <row r="127" spans="1:38" outlineLevel="1" x14ac:dyDescent="0.25">
      <c r="A127" s="7" t="s">
        <v>15</v>
      </c>
      <c r="B127" s="9" t="s">
        <v>124</v>
      </c>
      <c r="C127" s="15">
        <v>0.18626656111871701</v>
      </c>
      <c r="D127" s="9">
        <v>4870</v>
      </c>
      <c r="E127" s="15">
        <v>0.67942071044119101</v>
      </c>
      <c r="F127" s="9">
        <v>4899</v>
      </c>
      <c r="G127" s="15">
        <v>0.107643916625457</v>
      </c>
      <c r="H127" s="9">
        <v>4899</v>
      </c>
      <c r="I127" s="25">
        <v>0.76787256216711997</v>
      </c>
      <c r="J127" s="9">
        <v>4899</v>
      </c>
      <c r="K127" s="15">
        <v>7.75376205017895E-2</v>
      </c>
      <c r="L127" s="9">
        <v>4899</v>
      </c>
      <c r="M127" s="32">
        <v>0.86461308309049401</v>
      </c>
      <c r="N127" s="9">
        <v>4899</v>
      </c>
      <c r="O127" s="15">
        <v>0.18595706778132401</v>
      </c>
      <c r="P127" s="9">
        <v>2471</v>
      </c>
      <c r="Q127" s="15">
        <v>0.68698935071578404</v>
      </c>
      <c r="R127" s="9">
        <v>2486</v>
      </c>
      <c r="S127" s="15">
        <v>0.10894000830937001</v>
      </c>
      <c r="T127" s="9">
        <v>2486</v>
      </c>
      <c r="U127" s="15">
        <v>0.77299639959122701</v>
      </c>
      <c r="V127" s="9">
        <v>2486</v>
      </c>
      <c r="W127" s="15">
        <v>7.57717738203703E-2</v>
      </c>
      <c r="X127" s="9">
        <v>2486</v>
      </c>
      <c r="Y127" s="15">
        <v>0.87170113284552397</v>
      </c>
      <c r="Z127" s="9">
        <v>2486</v>
      </c>
      <c r="AA127" s="15">
        <v>0.186583372483553</v>
      </c>
      <c r="AB127" s="9">
        <v>2396</v>
      </c>
      <c r="AC127" s="15">
        <v>0.67150817326547196</v>
      </c>
      <c r="AD127" s="9">
        <v>2410</v>
      </c>
      <c r="AE127" s="15">
        <v>0.106255918673726</v>
      </c>
      <c r="AF127" s="9">
        <v>2410</v>
      </c>
      <c r="AG127" s="15">
        <v>0.76254054114796599</v>
      </c>
      <c r="AH127" s="9">
        <v>2410</v>
      </c>
      <c r="AI127" s="15">
        <v>7.9408619108607401E-2</v>
      </c>
      <c r="AJ127" s="9">
        <v>2410</v>
      </c>
      <c r="AK127" s="15">
        <v>0.85719478452417697</v>
      </c>
      <c r="AL127" s="12">
        <v>2410</v>
      </c>
    </row>
    <row r="128" spans="1:38" x14ac:dyDescent="0.25">
      <c r="C128" s="16"/>
      <c r="E128" s="16"/>
      <c r="G128" s="16"/>
      <c r="I128" s="23"/>
      <c r="K128" s="16"/>
      <c r="M128" s="30"/>
      <c r="O128" s="16"/>
      <c r="Q128" s="16"/>
      <c r="S128" s="16"/>
      <c r="U128" s="16"/>
      <c r="W128" s="16"/>
      <c r="Y128" s="16"/>
      <c r="AA128" s="16"/>
      <c r="AC128" s="16"/>
      <c r="AE128" s="16"/>
      <c r="AG128" s="16"/>
      <c r="AI128" s="16"/>
      <c r="AK128" s="16"/>
    </row>
    <row r="129" spans="1:38" x14ac:dyDescent="0.25">
      <c r="A129" s="19" t="s">
        <v>125</v>
      </c>
      <c r="B129" s="19"/>
      <c r="C129" s="20"/>
      <c r="D129" s="19"/>
      <c r="E129" s="20"/>
      <c r="F129" s="19"/>
      <c r="G129" s="20"/>
      <c r="H129" s="19"/>
      <c r="I129" s="20"/>
      <c r="J129" s="19"/>
      <c r="K129" s="20"/>
      <c r="L129" s="19"/>
      <c r="M129" s="20"/>
      <c r="N129" s="19"/>
      <c r="O129" s="20"/>
      <c r="P129" s="19"/>
      <c r="Q129" s="20"/>
      <c r="R129" s="19"/>
      <c r="S129" s="20"/>
      <c r="T129" s="19"/>
      <c r="U129" s="20"/>
      <c r="V129" s="19"/>
      <c r="W129" s="20"/>
      <c r="X129" s="19"/>
      <c r="Y129" s="20"/>
      <c r="Z129" s="19"/>
      <c r="AA129" s="20"/>
      <c r="AB129" s="19"/>
      <c r="AC129" s="20"/>
      <c r="AD129" s="19"/>
      <c r="AE129" s="20"/>
      <c r="AF129" s="19"/>
      <c r="AG129" s="20"/>
      <c r="AH129" s="19"/>
      <c r="AI129" s="20"/>
      <c r="AJ129" s="19"/>
      <c r="AK129" s="20"/>
      <c r="AL129" s="19"/>
    </row>
    <row r="130" spans="1:38" outlineLevel="1" x14ac:dyDescent="0.25">
      <c r="A130" s="5" t="s">
        <v>15</v>
      </c>
      <c r="B130" s="8" t="s">
        <v>101</v>
      </c>
      <c r="C130" s="14">
        <v>8.2732377175176397E-2</v>
      </c>
      <c r="D130" s="8">
        <v>71</v>
      </c>
      <c r="E130" s="14">
        <v>0.36674932897497298</v>
      </c>
      <c r="F130" s="8">
        <v>72</v>
      </c>
      <c r="G130" s="14">
        <v>5.2572177837443598E-2</v>
      </c>
      <c r="H130" s="8">
        <v>72</v>
      </c>
      <c r="I130" s="24">
        <v>0.39125689038154599</v>
      </c>
      <c r="J130" s="8">
        <v>72</v>
      </c>
      <c r="K130" s="14">
        <v>2.4507561406573401E-2</v>
      </c>
      <c r="L130" s="8">
        <v>72</v>
      </c>
      <c r="M130" s="31">
        <v>0.44382906821898999</v>
      </c>
      <c r="N130" s="8">
        <v>72</v>
      </c>
      <c r="O130" s="14">
        <v>6.7569708609278703E-2</v>
      </c>
      <c r="P130" s="8">
        <v>25</v>
      </c>
      <c r="Q130" s="14">
        <v>0.40687340244574899</v>
      </c>
      <c r="R130" s="8">
        <v>26</v>
      </c>
      <c r="S130" s="14">
        <v>4.1529361681462103E-2</v>
      </c>
      <c r="T130" s="8">
        <v>26</v>
      </c>
      <c r="U130" s="14">
        <v>0.42224889127098603</v>
      </c>
      <c r="V130" s="8">
        <v>26</v>
      </c>
      <c r="W130" s="14">
        <v>1.53754888252368E-2</v>
      </c>
      <c r="X130" s="8">
        <v>26</v>
      </c>
      <c r="Y130" s="14">
        <v>0.46377825295244801</v>
      </c>
      <c r="Z130" s="8">
        <v>26</v>
      </c>
      <c r="AA130" s="14">
        <v>9.2479455339980504E-2</v>
      </c>
      <c r="AB130" s="8">
        <v>46</v>
      </c>
      <c r="AC130" s="14">
        <v>0.33612217914982501</v>
      </c>
      <c r="AD130" s="8">
        <v>46</v>
      </c>
      <c r="AE130" s="14">
        <v>6.1001281755497697E-2</v>
      </c>
      <c r="AF130" s="8">
        <v>46</v>
      </c>
      <c r="AG130" s="14">
        <v>0.36760035273430802</v>
      </c>
      <c r="AH130" s="8">
        <v>46</v>
      </c>
      <c r="AI130" s="14">
        <v>3.1478173584482801E-2</v>
      </c>
      <c r="AJ130" s="8">
        <v>46</v>
      </c>
      <c r="AK130" s="14">
        <v>0.42860163448980498</v>
      </c>
      <c r="AL130" s="10">
        <v>46</v>
      </c>
    </row>
    <row r="131" spans="1:38" outlineLevel="1" x14ac:dyDescent="0.25">
      <c r="A131" s="6" t="s">
        <v>15</v>
      </c>
      <c r="B131" t="s">
        <v>126</v>
      </c>
      <c r="C131" s="16">
        <v>0.29698410182141499</v>
      </c>
      <c r="D131">
        <v>1106</v>
      </c>
      <c r="E131" s="16">
        <v>0.42671994275894098</v>
      </c>
      <c r="F131">
        <v>1110</v>
      </c>
      <c r="G131" s="16">
        <v>0.15698917400037199</v>
      </c>
      <c r="H131">
        <v>1110</v>
      </c>
      <c r="I131" s="23">
        <v>0.57189930418269996</v>
      </c>
      <c r="J131">
        <v>1110</v>
      </c>
      <c r="K131" s="16">
        <v>0.13978296915177099</v>
      </c>
      <c r="L131">
        <v>1110</v>
      </c>
      <c r="M131" s="30">
        <v>0.72349208591108405</v>
      </c>
      <c r="N131">
        <v>1110</v>
      </c>
      <c r="O131" s="16">
        <v>0.28828187062538702</v>
      </c>
      <c r="P131">
        <v>553</v>
      </c>
      <c r="Q131" s="16">
        <v>0.420936330199287</v>
      </c>
      <c r="R131">
        <v>554</v>
      </c>
      <c r="S131" s="16">
        <v>0.15924641131904199</v>
      </c>
      <c r="T131">
        <v>554</v>
      </c>
      <c r="U131" s="16">
        <v>0.55925846046713301</v>
      </c>
      <c r="V131">
        <v>554</v>
      </c>
      <c r="W131" s="16">
        <v>0.129022247913542</v>
      </c>
      <c r="X131">
        <v>554</v>
      </c>
      <c r="Y131" s="16">
        <v>0.70920498943187105</v>
      </c>
      <c r="Z131">
        <v>554</v>
      </c>
      <c r="AA131" s="16">
        <v>0.30854790557591899</v>
      </c>
      <c r="AB131">
        <v>553</v>
      </c>
      <c r="AC131" s="16">
        <v>0.43439344884773601</v>
      </c>
      <c r="AD131">
        <v>556</v>
      </c>
      <c r="AE131" s="16">
        <v>0.15399434609134199</v>
      </c>
      <c r="AF131">
        <v>556</v>
      </c>
      <c r="AG131" s="16">
        <v>0.58867075804798397</v>
      </c>
      <c r="AH131">
        <v>556</v>
      </c>
      <c r="AI131" s="16">
        <v>0.15405993862192499</v>
      </c>
      <c r="AJ131">
        <v>556</v>
      </c>
      <c r="AK131" s="16">
        <v>0.74244773356100302</v>
      </c>
      <c r="AL131" s="11">
        <v>556</v>
      </c>
    </row>
    <row r="132" spans="1:38" outlineLevel="1" x14ac:dyDescent="0.25">
      <c r="A132" s="6" t="s">
        <v>15</v>
      </c>
      <c r="B132" t="s">
        <v>127</v>
      </c>
      <c r="C132" s="16">
        <v>0.29616530719461898</v>
      </c>
      <c r="D132">
        <v>1099</v>
      </c>
      <c r="E132" s="16">
        <v>0.38439504929037799</v>
      </c>
      <c r="F132">
        <v>1104</v>
      </c>
      <c r="G132" s="16">
        <v>8.98352054593341E-2</v>
      </c>
      <c r="H132">
        <v>1104</v>
      </c>
      <c r="I132" s="23">
        <v>0.59042645616554301</v>
      </c>
      <c r="J132">
        <v>1104</v>
      </c>
      <c r="K132" s="16">
        <v>0.20600104460226201</v>
      </c>
      <c r="L132">
        <v>1104</v>
      </c>
      <c r="M132" s="30">
        <v>0.68023129935197502</v>
      </c>
      <c r="N132">
        <v>1104</v>
      </c>
      <c r="O132" s="16">
        <v>0.29891647734334198</v>
      </c>
      <c r="P132">
        <v>549</v>
      </c>
      <c r="Q132" s="16">
        <v>0.38422131809092103</v>
      </c>
      <c r="R132">
        <v>552</v>
      </c>
      <c r="S132" s="16">
        <v>9.4357415065452296E-2</v>
      </c>
      <c r="T132">
        <v>552</v>
      </c>
      <c r="U132" s="16">
        <v>0.58857793257075197</v>
      </c>
      <c r="V132">
        <v>552</v>
      </c>
      <c r="W132" s="16">
        <v>0.20429894185938699</v>
      </c>
      <c r="X132">
        <v>552</v>
      </c>
      <c r="Y132" s="16">
        <v>0.68287767501576102</v>
      </c>
      <c r="Z132">
        <v>552</v>
      </c>
      <c r="AA132" s="16">
        <v>0.29282944100411501</v>
      </c>
      <c r="AB132">
        <v>548</v>
      </c>
      <c r="AC132" s="16">
        <v>0.38473926256417901</v>
      </c>
      <c r="AD132">
        <v>550</v>
      </c>
      <c r="AE132" s="16">
        <v>8.4840952670792197E-2</v>
      </c>
      <c r="AF132">
        <v>550</v>
      </c>
      <c r="AG132" s="16">
        <v>0.59232383271497402</v>
      </c>
      <c r="AH132">
        <v>550</v>
      </c>
      <c r="AI132" s="16">
        <v>0.20758457015079501</v>
      </c>
      <c r="AJ132">
        <v>550</v>
      </c>
      <c r="AK132" s="16">
        <v>0.67716478538576597</v>
      </c>
      <c r="AL132" s="11">
        <v>550</v>
      </c>
    </row>
    <row r="133" spans="1:38" outlineLevel="1" x14ac:dyDescent="0.25">
      <c r="A133" s="6" t="s">
        <v>15</v>
      </c>
      <c r="B133" t="s">
        <v>128</v>
      </c>
      <c r="C133" s="16">
        <v>0.15172740437710899</v>
      </c>
      <c r="D133">
        <v>2993</v>
      </c>
      <c r="E133" s="16">
        <v>0.72483822179017099</v>
      </c>
      <c r="F133">
        <v>3017</v>
      </c>
      <c r="G133" s="16">
        <v>8.7037913392708999E-2</v>
      </c>
      <c r="H133">
        <v>3017</v>
      </c>
      <c r="I133" s="23">
        <v>0.79959640362402096</v>
      </c>
      <c r="J133">
        <v>3017</v>
      </c>
      <c r="K133" s="16">
        <v>6.3513202191197493E-2</v>
      </c>
      <c r="L133">
        <v>3017</v>
      </c>
      <c r="M133" s="30">
        <v>0.87540267887013001</v>
      </c>
      <c r="N133">
        <v>3017</v>
      </c>
      <c r="O133" s="16">
        <v>0.15391605463142299</v>
      </c>
      <c r="P133">
        <v>1536</v>
      </c>
      <c r="Q133" s="16">
        <v>0.724750564058813</v>
      </c>
      <c r="R133">
        <v>1551</v>
      </c>
      <c r="S133" s="16">
        <v>8.6995710384059496E-2</v>
      </c>
      <c r="T133">
        <v>1551</v>
      </c>
      <c r="U133" s="16">
        <v>0.80052987029241895</v>
      </c>
      <c r="V133">
        <v>1551</v>
      </c>
      <c r="W133" s="16">
        <v>6.5617544359257193E-2</v>
      </c>
      <c r="X133">
        <v>1551</v>
      </c>
      <c r="Y133" s="16">
        <v>0.87736381880212899</v>
      </c>
      <c r="Z133">
        <v>1551</v>
      </c>
      <c r="AA133" s="16">
        <v>0.14949858722332399</v>
      </c>
      <c r="AB133">
        <v>1456</v>
      </c>
      <c r="AC133" s="16">
        <v>0.72478662227926705</v>
      </c>
      <c r="AD133">
        <v>1465</v>
      </c>
      <c r="AE133" s="16">
        <v>8.7128129556246506E-2</v>
      </c>
      <c r="AF133">
        <v>1465</v>
      </c>
      <c r="AG133" s="16">
        <v>0.79850498277634196</v>
      </c>
      <c r="AH133">
        <v>1465</v>
      </c>
      <c r="AI133" s="16">
        <v>6.1322867893847E-2</v>
      </c>
      <c r="AJ133">
        <v>1465</v>
      </c>
      <c r="AK133" s="16">
        <v>0.87326506596402798</v>
      </c>
      <c r="AL133" s="11">
        <v>1465</v>
      </c>
    </row>
    <row r="134" spans="1:38" outlineLevel="1" x14ac:dyDescent="0.25">
      <c r="A134" s="7" t="s">
        <v>15</v>
      </c>
      <c r="B134" s="9" t="s">
        <v>129</v>
      </c>
      <c r="C134" s="15">
        <v>0.30807808302798401</v>
      </c>
      <c r="D134" s="9">
        <v>3364</v>
      </c>
      <c r="E134" s="15">
        <v>0.45687397294953802</v>
      </c>
      <c r="F134" s="9">
        <v>3379</v>
      </c>
      <c r="G134" s="15">
        <v>0.17473002019084999</v>
      </c>
      <c r="H134" s="9">
        <v>3379</v>
      </c>
      <c r="I134" s="25">
        <v>0.59575521258652397</v>
      </c>
      <c r="J134" s="9">
        <v>3379</v>
      </c>
      <c r="K134" s="15">
        <v>0.13291172874209001</v>
      </c>
      <c r="L134" s="9">
        <v>3379</v>
      </c>
      <c r="M134" s="32">
        <v>0.76451572188247696</v>
      </c>
      <c r="N134" s="9">
        <v>3379</v>
      </c>
      <c r="O134" s="15">
        <v>0.30586689053100602</v>
      </c>
      <c r="P134" s="9">
        <v>1696</v>
      </c>
      <c r="Q134" s="15">
        <v>0.47956739034614798</v>
      </c>
      <c r="R134" s="9">
        <v>1702</v>
      </c>
      <c r="S134" s="15">
        <v>0.17841582013497301</v>
      </c>
      <c r="T134" s="9">
        <v>1702</v>
      </c>
      <c r="U134" s="15">
        <v>0.60963851323987495</v>
      </c>
      <c r="V134" s="9">
        <v>1702</v>
      </c>
      <c r="W134" s="15">
        <v>0.12675893760200899</v>
      </c>
      <c r="X134" s="9">
        <v>1702</v>
      </c>
      <c r="Y134" s="15">
        <v>0.78474214808313003</v>
      </c>
      <c r="Z134" s="9">
        <v>1702</v>
      </c>
      <c r="AA134" s="15">
        <v>0.31020895937090998</v>
      </c>
      <c r="AB134" s="9">
        <v>1664</v>
      </c>
      <c r="AC134" s="15">
        <v>0.434646965907171</v>
      </c>
      <c r="AD134" s="9">
        <v>1673</v>
      </c>
      <c r="AE134" s="15">
        <v>0.170915733120795</v>
      </c>
      <c r="AF134" s="9">
        <v>1673</v>
      </c>
      <c r="AG134" s="15">
        <v>0.58236120667573099</v>
      </c>
      <c r="AH134" s="9">
        <v>1673</v>
      </c>
      <c r="AI134" s="15">
        <v>0.139113017458696</v>
      </c>
      <c r="AJ134" s="9">
        <v>1673</v>
      </c>
      <c r="AK134" s="15">
        <v>0.74467571648666198</v>
      </c>
      <c r="AL134" s="12">
        <v>1673</v>
      </c>
    </row>
    <row r="135" spans="1:38" x14ac:dyDescent="0.25">
      <c r="C135" s="16"/>
      <c r="E135" s="16"/>
      <c r="G135" s="16"/>
      <c r="I135" s="23"/>
      <c r="K135" s="16"/>
      <c r="M135" s="30"/>
      <c r="O135" s="16"/>
      <c r="Q135" s="16"/>
      <c r="S135" s="16"/>
      <c r="U135" s="16"/>
      <c r="W135" s="16"/>
      <c r="Y135" s="16"/>
      <c r="AA135" s="16"/>
      <c r="AC135" s="16"/>
      <c r="AE135" s="16"/>
      <c r="AG135" s="16"/>
      <c r="AI135" s="16"/>
      <c r="AK135" s="16"/>
    </row>
    <row r="136" spans="1:38" x14ac:dyDescent="0.25">
      <c r="A136" s="19" t="s">
        <v>134</v>
      </c>
      <c r="B136" s="19"/>
      <c r="C136" s="20"/>
      <c r="D136" s="19"/>
      <c r="E136" s="20"/>
      <c r="F136" s="19"/>
      <c r="G136" s="20"/>
      <c r="H136" s="19"/>
      <c r="I136" s="20"/>
      <c r="J136" s="19"/>
      <c r="K136" s="20"/>
      <c r="L136" s="19"/>
      <c r="M136" s="20"/>
      <c r="N136" s="19"/>
      <c r="O136" s="20"/>
      <c r="P136" s="19"/>
      <c r="Q136" s="20"/>
      <c r="R136" s="19"/>
      <c r="S136" s="20"/>
      <c r="T136" s="19"/>
      <c r="U136" s="20"/>
      <c r="V136" s="19"/>
      <c r="W136" s="20"/>
      <c r="X136" s="19"/>
      <c r="Y136" s="20"/>
      <c r="Z136" s="19"/>
      <c r="AA136" s="20"/>
      <c r="AB136" s="19"/>
      <c r="AC136" s="20"/>
      <c r="AD136" s="19"/>
      <c r="AE136" s="20"/>
      <c r="AF136" s="19"/>
      <c r="AG136" s="20"/>
      <c r="AH136" s="19"/>
      <c r="AI136" s="20"/>
      <c r="AJ136" s="19"/>
      <c r="AK136" s="20"/>
      <c r="AL136" s="19"/>
    </row>
    <row r="137" spans="1:38" outlineLevel="1" x14ac:dyDescent="0.25">
      <c r="A137" s="5" t="s">
        <v>15</v>
      </c>
      <c r="B137" s="8" t="s">
        <v>135</v>
      </c>
      <c r="C137" s="14">
        <v>0.52166862776700396</v>
      </c>
      <c r="D137" s="8">
        <v>2267</v>
      </c>
      <c r="E137" s="14">
        <v>0.22890385582771799</v>
      </c>
      <c r="F137" s="8">
        <v>2283</v>
      </c>
      <c r="G137" s="14">
        <v>0.36196701402283699</v>
      </c>
      <c r="H137" s="8">
        <v>2283</v>
      </c>
      <c r="I137" s="24">
        <v>0.38751972028397103</v>
      </c>
      <c r="J137" s="8">
        <v>2283</v>
      </c>
      <c r="K137" s="14">
        <v>0.15720993984773099</v>
      </c>
      <c r="L137" s="8">
        <v>2283</v>
      </c>
      <c r="M137" s="31">
        <v>0.74808080969828605</v>
      </c>
      <c r="N137" s="8">
        <v>2283</v>
      </c>
      <c r="O137" s="14">
        <v>0.52327190692613101</v>
      </c>
      <c r="P137" s="8">
        <v>1096</v>
      </c>
      <c r="Q137" s="14">
        <v>0.22881574094110599</v>
      </c>
      <c r="R137" s="8">
        <v>1102</v>
      </c>
      <c r="S137" s="14">
        <v>0.36976520445838901</v>
      </c>
      <c r="T137" s="8">
        <v>1102</v>
      </c>
      <c r="U137" s="14">
        <v>0.38301385453339298</v>
      </c>
      <c r="V137" s="8">
        <v>1102</v>
      </c>
      <c r="W137" s="14">
        <v>0.15151987043663701</v>
      </c>
      <c r="X137" s="8">
        <v>1102</v>
      </c>
      <c r="Y137" s="14">
        <v>0.75010081583613297</v>
      </c>
      <c r="Z137" s="8">
        <v>1102</v>
      </c>
      <c r="AA137" s="14">
        <v>0.52001580386905299</v>
      </c>
      <c r="AB137" s="8">
        <v>1168</v>
      </c>
      <c r="AC137" s="14">
        <v>0.228577895130433</v>
      </c>
      <c r="AD137" s="8">
        <v>1178</v>
      </c>
      <c r="AE137" s="14">
        <v>0.35438539758297399</v>
      </c>
      <c r="AF137" s="8">
        <v>1178</v>
      </c>
      <c r="AG137" s="14">
        <v>0.39153590755297701</v>
      </c>
      <c r="AH137" s="8">
        <v>1178</v>
      </c>
      <c r="AI137" s="14">
        <v>0.162685381787086</v>
      </c>
      <c r="AJ137" s="8">
        <v>1178</v>
      </c>
      <c r="AK137" s="14">
        <v>0.74564867450049399</v>
      </c>
      <c r="AL137" s="10">
        <v>1178</v>
      </c>
    </row>
    <row r="138" spans="1:38" outlineLevel="1" x14ac:dyDescent="0.25">
      <c r="A138" s="6" t="s">
        <v>15</v>
      </c>
      <c r="B138" t="s">
        <v>136</v>
      </c>
      <c r="C138" s="16">
        <v>0.42201092029867998</v>
      </c>
      <c r="D138">
        <v>194</v>
      </c>
      <c r="E138" s="16">
        <v>0.41122218393618098</v>
      </c>
      <c r="F138">
        <v>196</v>
      </c>
      <c r="G138" s="16">
        <v>0.110335207339452</v>
      </c>
      <c r="H138">
        <v>196</v>
      </c>
      <c r="I138" s="23">
        <v>0.71685678253784002</v>
      </c>
      <c r="J138">
        <v>196</v>
      </c>
      <c r="K138" s="16">
        <v>0.30563459860165798</v>
      </c>
      <c r="L138">
        <v>196</v>
      </c>
      <c r="M138" s="30">
        <v>0.82719198987729103</v>
      </c>
      <c r="N138">
        <v>196</v>
      </c>
      <c r="O138" s="16">
        <v>0.44224047058861299</v>
      </c>
      <c r="P138">
        <v>98</v>
      </c>
      <c r="Q138" s="16">
        <v>0.38442412232745099</v>
      </c>
      <c r="R138">
        <v>100</v>
      </c>
      <c r="S138" s="16">
        <v>0.10578138149987899</v>
      </c>
      <c r="T138">
        <v>100</v>
      </c>
      <c r="U138" s="16">
        <v>0.70855844117093003</v>
      </c>
      <c r="V138">
        <v>100</v>
      </c>
      <c r="W138" s="16">
        <v>0.32413431884347899</v>
      </c>
      <c r="X138">
        <v>100</v>
      </c>
      <c r="Y138" s="16">
        <v>0.81433982267080895</v>
      </c>
      <c r="Z138">
        <v>100</v>
      </c>
      <c r="AA138" s="16">
        <v>0.39633637266865201</v>
      </c>
      <c r="AB138">
        <v>95</v>
      </c>
      <c r="AC138" s="16">
        <v>0.44312531999643101</v>
      </c>
      <c r="AD138">
        <v>95</v>
      </c>
      <c r="AE138" s="16">
        <v>0.116087909668403</v>
      </c>
      <c r="AF138">
        <v>95</v>
      </c>
      <c r="AG138" s="16">
        <v>0.72337378299667998</v>
      </c>
      <c r="AH138">
        <v>95</v>
      </c>
      <c r="AI138" s="16">
        <v>0.28024846300024903</v>
      </c>
      <c r="AJ138">
        <v>95</v>
      </c>
      <c r="AK138" s="16">
        <v>0.83946169266508297</v>
      </c>
      <c r="AL138" s="11">
        <v>95</v>
      </c>
    </row>
    <row r="139" spans="1:38" outlineLevel="1" x14ac:dyDescent="0.25">
      <c r="A139" s="6" t="s">
        <v>15</v>
      </c>
      <c r="B139" t="s">
        <v>137</v>
      </c>
      <c r="C139" s="16">
        <v>0.33976833976833998</v>
      </c>
      <c r="D139">
        <v>259</v>
      </c>
      <c r="E139" s="16">
        <v>0.21235521235521199</v>
      </c>
      <c r="F139">
        <v>259</v>
      </c>
      <c r="G139" s="16">
        <v>0.22779922779922801</v>
      </c>
      <c r="H139">
        <v>259</v>
      </c>
      <c r="I139" s="23">
        <v>0.32432432432432401</v>
      </c>
      <c r="J139">
        <v>259</v>
      </c>
      <c r="K139" s="16">
        <v>0.111969111969112</v>
      </c>
      <c r="L139">
        <v>259</v>
      </c>
      <c r="M139" s="30">
        <v>0.55212355212355202</v>
      </c>
      <c r="N139">
        <v>259</v>
      </c>
      <c r="O139" s="16">
        <v>0.32258064516128998</v>
      </c>
      <c r="P139">
        <v>124</v>
      </c>
      <c r="Q139" s="16">
        <v>0.25806451612903197</v>
      </c>
      <c r="R139">
        <v>124</v>
      </c>
      <c r="S139" s="16">
        <v>0.19354838709677399</v>
      </c>
      <c r="T139">
        <v>124</v>
      </c>
      <c r="U139" s="16">
        <v>0.38709677419354799</v>
      </c>
      <c r="V139">
        <v>124</v>
      </c>
      <c r="W139" s="16">
        <v>0.12903225806451599</v>
      </c>
      <c r="X139">
        <v>124</v>
      </c>
      <c r="Y139" s="16">
        <v>0.58064516129032295</v>
      </c>
      <c r="Z139">
        <v>124</v>
      </c>
      <c r="AA139" s="16">
        <v>0.35820895522388102</v>
      </c>
      <c r="AB139">
        <v>134</v>
      </c>
      <c r="AC139" s="16">
        <v>0.171641791044776</v>
      </c>
      <c r="AD139">
        <v>134</v>
      </c>
      <c r="AE139" s="16">
        <v>0.26119402985074602</v>
      </c>
      <c r="AF139">
        <v>134</v>
      </c>
      <c r="AG139" s="16">
        <v>0.26865671641791</v>
      </c>
      <c r="AH139">
        <v>134</v>
      </c>
      <c r="AI139" s="16">
        <v>9.7014925373134303E-2</v>
      </c>
      <c r="AJ139">
        <v>134</v>
      </c>
      <c r="AK139" s="16">
        <v>0.52985074626865702</v>
      </c>
      <c r="AL139" s="11">
        <v>134</v>
      </c>
    </row>
    <row r="140" spans="1:38" outlineLevel="1" x14ac:dyDescent="0.25">
      <c r="A140" s="6" t="s">
        <v>15</v>
      </c>
      <c r="B140" t="s">
        <v>138</v>
      </c>
      <c r="C140" s="16">
        <v>0.375</v>
      </c>
      <c r="D140">
        <v>96</v>
      </c>
      <c r="E140" s="16">
        <v>0.19587628865979401</v>
      </c>
      <c r="F140">
        <v>97</v>
      </c>
      <c r="G140" s="16">
        <v>3.09278350515464E-2</v>
      </c>
      <c r="H140">
        <v>97</v>
      </c>
      <c r="I140" s="23">
        <v>0.536082474226804</v>
      </c>
      <c r="J140">
        <v>97</v>
      </c>
      <c r="K140" s="16">
        <v>0.34020618556700999</v>
      </c>
      <c r="L140">
        <v>97</v>
      </c>
      <c r="M140" s="30">
        <v>0.56701030927835006</v>
      </c>
      <c r="N140">
        <v>97</v>
      </c>
      <c r="O140" s="16">
        <v>0.240740740740741</v>
      </c>
      <c r="P140">
        <v>54</v>
      </c>
      <c r="Q140" s="16">
        <v>0.27777777777777801</v>
      </c>
      <c r="R140">
        <v>54</v>
      </c>
      <c r="S140" s="16">
        <v>1.85185185185185E-2</v>
      </c>
      <c r="T140">
        <v>54</v>
      </c>
      <c r="U140" s="16">
        <v>0.5</v>
      </c>
      <c r="V140">
        <v>54</v>
      </c>
      <c r="W140" s="16">
        <v>0.22222222222222199</v>
      </c>
      <c r="X140">
        <v>54</v>
      </c>
      <c r="Y140" s="16">
        <v>0.51851851851851805</v>
      </c>
      <c r="Z140">
        <v>54</v>
      </c>
      <c r="AA140" s="16">
        <v>0.547619047619048</v>
      </c>
      <c r="AB140">
        <v>42</v>
      </c>
      <c r="AC140" s="16">
        <v>9.3023255813953501E-2</v>
      </c>
      <c r="AD140">
        <v>43</v>
      </c>
      <c r="AE140" s="16">
        <v>4.6511627906976799E-2</v>
      </c>
      <c r="AF140">
        <v>43</v>
      </c>
      <c r="AG140" s="16">
        <v>0.581395348837209</v>
      </c>
      <c r="AH140">
        <v>43</v>
      </c>
      <c r="AI140" s="16">
        <v>0.48837209302325602</v>
      </c>
      <c r="AJ140">
        <v>43</v>
      </c>
      <c r="AK140" s="16">
        <v>0.62790697674418605</v>
      </c>
      <c r="AL140" s="11">
        <v>43</v>
      </c>
    </row>
    <row r="141" spans="1:38" outlineLevel="1" x14ac:dyDescent="0.25">
      <c r="A141" s="6" t="s">
        <v>15</v>
      </c>
      <c r="B141" t="s">
        <v>139</v>
      </c>
      <c r="C141" s="16">
        <v>0.429382638148054</v>
      </c>
      <c r="D141">
        <v>1145</v>
      </c>
      <c r="E141" s="16">
        <v>0.29668735814885999</v>
      </c>
      <c r="F141">
        <v>1149</v>
      </c>
      <c r="G141" s="16">
        <v>0.32460493717320998</v>
      </c>
      <c r="H141">
        <v>1149</v>
      </c>
      <c r="I141" s="23">
        <v>0.42442643777314398</v>
      </c>
      <c r="J141">
        <v>1149</v>
      </c>
      <c r="K141" s="16">
        <v>0.102390661281183</v>
      </c>
      <c r="L141">
        <v>1149</v>
      </c>
      <c r="M141" s="30">
        <v>0.72368295660325299</v>
      </c>
      <c r="N141">
        <v>1149</v>
      </c>
      <c r="O141" s="16">
        <v>0.42338395614013302</v>
      </c>
      <c r="P141">
        <v>604</v>
      </c>
      <c r="Q141" s="16">
        <v>0.32183350642254399</v>
      </c>
      <c r="R141">
        <v>607</v>
      </c>
      <c r="S141" s="16">
        <v>0.30285284490301301</v>
      </c>
      <c r="T141">
        <v>607</v>
      </c>
      <c r="U141" s="16">
        <v>0.46364383283018401</v>
      </c>
      <c r="V141">
        <v>607</v>
      </c>
      <c r="W141" s="16">
        <v>0.11719764544094601</v>
      </c>
      <c r="X141">
        <v>607</v>
      </c>
      <c r="Y141" s="16">
        <v>0.74188399676650396</v>
      </c>
      <c r="Z141">
        <v>607</v>
      </c>
      <c r="AA141" s="16">
        <v>0.43614228554079398</v>
      </c>
      <c r="AB141">
        <v>541</v>
      </c>
      <c r="AC141" s="16">
        <v>0.268210340894039</v>
      </c>
      <c r="AD141">
        <v>542</v>
      </c>
      <c r="AE141" s="16">
        <v>0.349238320392186</v>
      </c>
      <c r="AF141">
        <v>542</v>
      </c>
      <c r="AG141" s="16">
        <v>0.38001429068908299</v>
      </c>
      <c r="AH141">
        <v>542</v>
      </c>
      <c r="AI141" s="16">
        <v>8.5622338004781195E-2</v>
      </c>
      <c r="AJ141">
        <v>542</v>
      </c>
      <c r="AK141" s="16">
        <v>0.70307099929100703</v>
      </c>
      <c r="AL141" s="11">
        <v>542</v>
      </c>
    </row>
    <row r="142" spans="1:38" outlineLevel="1" x14ac:dyDescent="0.25">
      <c r="A142" s="6" t="s">
        <v>15</v>
      </c>
      <c r="B142" t="s">
        <v>140</v>
      </c>
      <c r="C142" s="16">
        <v>0.115409583994353</v>
      </c>
      <c r="D142">
        <v>2616</v>
      </c>
      <c r="E142" s="16">
        <v>0.74981649966173203</v>
      </c>
      <c r="F142">
        <v>2626</v>
      </c>
      <c r="G142" s="16">
        <v>3.0138442139722499E-2</v>
      </c>
      <c r="H142">
        <v>2626</v>
      </c>
      <c r="I142" s="23">
        <v>0.83892138408275396</v>
      </c>
      <c r="J142">
        <v>2626</v>
      </c>
      <c r="K142" s="16">
        <v>8.46288692572391E-2</v>
      </c>
      <c r="L142">
        <v>2626</v>
      </c>
      <c r="M142" s="30">
        <v>0.86458381105869397</v>
      </c>
      <c r="N142">
        <v>2626</v>
      </c>
      <c r="O142" s="16">
        <v>0.118456967174545</v>
      </c>
      <c r="P142">
        <v>1330</v>
      </c>
      <c r="Q142" s="16">
        <v>0.74778409251429001</v>
      </c>
      <c r="R142">
        <v>1337</v>
      </c>
      <c r="S142" s="16">
        <v>3.7728249383175601E-2</v>
      </c>
      <c r="T142">
        <v>1337</v>
      </c>
      <c r="U142" s="16">
        <v>0.83085966629546704</v>
      </c>
      <c r="V142">
        <v>1337</v>
      </c>
      <c r="W142" s="16">
        <v>8.0000269200389801E-2</v>
      </c>
      <c r="X142">
        <v>1337</v>
      </c>
      <c r="Y142" s="16">
        <v>0.86551261109785504</v>
      </c>
      <c r="Z142">
        <v>1337</v>
      </c>
      <c r="AA142" s="16">
        <v>0.11225870962657</v>
      </c>
      <c r="AB142">
        <v>1285</v>
      </c>
      <c r="AC142" s="16">
        <v>0.75184153672562803</v>
      </c>
      <c r="AD142">
        <v>1288</v>
      </c>
      <c r="AE142" s="16">
        <v>2.2163057326973701E-2</v>
      </c>
      <c r="AF142">
        <v>1288</v>
      </c>
      <c r="AG142" s="16">
        <v>0.84733368358096495</v>
      </c>
      <c r="AH142">
        <v>1288</v>
      </c>
      <c r="AI142" s="16">
        <v>8.9539675802358096E-2</v>
      </c>
      <c r="AJ142">
        <v>1288</v>
      </c>
      <c r="AK142" s="16">
        <v>0.86354426985496002</v>
      </c>
      <c r="AL142" s="11">
        <v>1288</v>
      </c>
    </row>
    <row r="143" spans="1:38" outlineLevel="1" x14ac:dyDescent="0.25">
      <c r="A143" s="6" t="s">
        <v>15</v>
      </c>
      <c r="B143" t="s">
        <v>141</v>
      </c>
      <c r="C143" s="16">
        <v>0.56970487565607797</v>
      </c>
      <c r="D143">
        <v>1850</v>
      </c>
      <c r="E143" s="16">
        <v>0.23682912672384401</v>
      </c>
      <c r="F143">
        <v>1866</v>
      </c>
      <c r="G143" s="16">
        <v>0.44223698415295698</v>
      </c>
      <c r="H143">
        <v>1866</v>
      </c>
      <c r="I143" s="23">
        <v>0.39799470750392502</v>
      </c>
      <c r="J143">
        <v>1866</v>
      </c>
      <c r="K143" s="16">
        <v>0.11791501159302301</v>
      </c>
      <c r="L143">
        <v>1866</v>
      </c>
      <c r="M143" s="30">
        <v>0.79866078635182602</v>
      </c>
      <c r="N143">
        <v>1866</v>
      </c>
      <c r="O143" s="16">
        <v>0.55701279297799799</v>
      </c>
      <c r="P143">
        <v>947</v>
      </c>
      <c r="Q143" s="16">
        <v>0.26284637671361</v>
      </c>
      <c r="R143">
        <v>955</v>
      </c>
      <c r="S143" s="16">
        <v>0.43736687360419302</v>
      </c>
      <c r="T143">
        <v>955</v>
      </c>
      <c r="U143" s="16">
        <v>0.41535439203317398</v>
      </c>
      <c r="V143">
        <v>955</v>
      </c>
      <c r="W143" s="16">
        <v>0.111962469034949</v>
      </c>
      <c r="X143">
        <v>955</v>
      </c>
      <c r="Y143" s="16">
        <v>0.81217571935275201</v>
      </c>
      <c r="Z143">
        <v>955</v>
      </c>
      <c r="AA143" s="16">
        <v>0.58314448268488595</v>
      </c>
      <c r="AB143">
        <v>903</v>
      </c>
      <c r="AC143" s="16">
        <v>0.20928102438603499</v>
      </c>
      <c r="AD143">
        <v>911</v>
      </c>
      <c r="AE143" s="16">
        <v>0.44739365151198002</v>
      </c>
      <c r="AF143">
        <v>911</v>
      </c>
      <c r="AG143" s="16">
        <v>0.37961358089938602</v>
      </c>
      <c r="AH143">
        <v>911</v>
      </c>
      <c r="AI143" s="16">
        <v>0.124217801150892</v>
      </c>
      <c r="AJ143">
        <v>911</v>
      </c>
      <c r="AK143" s="16">
        <v>0.78435063606520405</v>
      </c>
      <c r="AL143" s="11">
        <v>911</v>
      </c>
    </row>
    <row r="144" spans="1:38" outlineLevel="1" x14ac:dyDescent="0.25">
      <c r="A144" s="7" t="s">
        <v>15</v>
      </c>
      <c r="B144" s="9" t="s">
        <v>142</v>
      </c>
      <c r="C144" s="15">
        <v>0.46032479987542502</v>
      </c>
      <c r="D144" s="9">
        <v>206</v>
      </c>
      <c r="E144" s="15">
        <v>0.41229976245342997</v>
      </c>
      <c r="F144" s="9">
        <v>206</v>
      </c>
      <c r="G144" s="15">
        <v>0.109692430581058</v>
      </c>
      <c r="H144" s="9">
        <v>206</v>
      </c>
      <c r="I144" s="25">
        <v>0.76293213174779595</v>
      </c>
      <c r="J144" s="9">
        <v>206</v>
      </c>
      <c r="K144" s="15">
        <v>0.35063236929436598</v>
      </c>
      <c r="L144" s="9">
        <v>206</v>
      </c>
      <c r="M144" s="32">
        <v>0.87262456232885399</v>
      </c>
      <c r="N144" s="9">
        <v>206</v>
      </c>
      <c r="O144" s="15">
        <v>0.44343902748937197</v>
      </c>
      <c r="P144" s="9">
        <v>106</v>
      </c>
      <c r="Q144" s="15">
        <v>0.46504071596826302</v>
      </c>
      <c r="R144" s="9">
        <v>106</v>
      </c>
      <c r="S144" s="15">
        <v>8.9654349006662096E-2</v>
      </c>
      <c r="T144" s="9">
        <v>106</v>
      </c>
      <c r="U144" s="15">
        <v>0.81882539445097302</v>
      </c>
      <c r="V144" s="9">
        <v>106</v>
      </c>
      <c r="W144" s="15">
        <v>0.35378467848271</v>
      </c>
      <c r="X144" s="9">
        <v>106</v>
      </c>
      <c r="Y144" s="15">
        <v>0.90847974345763505</v>
      </c>
      <c r="Z144" s="9">
        <v>106</v>
      </c>
      <c r="AA144" s="15">
        <v>0.48090517411202199</v>
      </c>
      <c r="AB144" s="9">
        <v>99</v>
      </c>
      <c r="AC144" s="15">
        <v>0.34885446485390398</v>
      </c>
      <c r="AD144" s="9">
        <v>99</v>
      </c>
      <c r="AE144" s="15">
        <v>0.133917715905365</v>
      </c>
      <c r="AF144" s="9">
        <v>99</v>
      </c>
      <c r="AG144" s="15">
        <v>0.69584192306056103</v>
      </c>
      <c r="AH144" s="9">
        <v>99</v>
      </c>
      <c r="AI144" s="15">
        <v>0.346987458206657</v>
      </c>
      <c r="AJ144" s="9">
        <v>99</v>
      </c>
      <c r="AK144" s="15">
        <v>0.82975963896592597</v>
      </c>
      <c r="AL144" s="12">
        <v>99</v>
      </c>
    </row>
    <row r="145" spans="1:38" x14ac:dyDescent="0.25">
      <c r="C145" s="16"/>
      <c r="E145" s="16"/>
      <c r="G145" s="16"/>
      <c r="I145" s="23"/>
      <c r="K145" s="16"/>
      <c r="M145" s="30"/>
      <c r="O145" s="16"/>
      <c r="Q145" s="16"/>
      <c r="S145" s="16"/>
      <c r="U145" s="16"/>
      <c r="W145" s="16"/>
      <c r="Y145" s="16"/>
      <c r="AA145" s="16"/>
      <c r="AC145" s="16"/>
      <c r="AE145" s="16"/>
      <c r="AG145" s="16"/>
      <c r="AI145" s="16"/>
      <c r="AK145" s="16"/>
    </row>
    <row r="146" spans="1:38" x14ac:dyDescent="0.25">
      <c r="A146" s="19" t="s">
        <v>143</v>
      </c>
      <c r="B146" s="19"/>
      <c r="C146" s="20"/>
      <c r="D146" s="19"/>
      <c r="E146" s="20"/>
      <c r="F146" s="19"/>
      <c r="G146" s="20"/>
      <c r="H146" s="19"/>
      <c r="I146" s="20"/>
      <c r="J146" s="19"/>
      <c r="K146" s="20"/>
      <c r="L146" s="19"/>
      <c r="M146" s="20"/>
      <c r="N146" s="19"/>
      <c r="O146" s="20"/>
      <c r="P146" s="19"/>
      <c r="Q146" s="20"/>
      <c r="R146" s="19"/>
      <c r="S146" s="20"/>
      <c r="T146" s="19"/>
      <c r="U146" s="20"/>
      <c r="V146" s="19"/>
      <c r="W146" s="20"/>
      <c r="X146" s="19"/>
      <c r="Y146" s="20"/>
      <c r="Z146" s="19"/>
      <c r="AA146" s="20"/>
      <c r="AB146" s="19"/>
      <c r="AC146" s="20"/>
      <c r="AD146" s="19"/>
      <c r="AE146" s="20"/>
      <c r="AF146" s="19"/>
      <c r="AG146" s="20"/>
      <c r="AH146" s="19"/>
      <c r="AI146" s="20"/>
      <c r="AJ146" s="19"/>
      <c r="AK146" s="20"/>
      <c r="AL146" s="19"/>
    </row>
    <row r="147" spans="1:38" outlineLevel="1" x14ac:dyDescent="0.25">
      <c r="A147" s="5" t="s">
        <v>15</v>
      </c>
      <c r="B147" s="8" t="s">
        <v>144</v>
      </c>
      <c r="C147" s="14">
        <v>0.38527405140943999</v>
      </c>
      <c r="D147" s="8">
        <v>537</v>
      </c>
      <c r="E147" s="14">
        <v>0.25881486963589201</v>
      </c>
      <c r="F147" s="8">
        <v>538</v>
      </c>
      <c r="G147" s="14">
        <v>0.33575365189925799</v>
      </c>
      <c r="H147" s="8">
        <v>538</v>
      </c>
      <c r="I147" s="24">
        <v>0.30754971341902598</v>
      </c>
      <c r="J147" s="8">
        <v>538</v>
      </c>
      <c r="K147" s="14">
        <v>4.8734843783134099E-2</v>
      </c>
      <c r="L147" s="8">
        <v>538</v>
      </c>
      <c r="M147" s="31">
        <v>0.64330336531828403</v>
      </c>
      <c r="N147" s="8">
        <v>538</v>
      </c>
      <c r="O147" s="14">
        <v>0.37918068996169002</v>
      </c>
      <c r="P147" s="8">
        <v>253</v>
      </c>
      <c r="Q147" s="14">
        <v>0.243016238728332</v>
      </c>
      <c r="R147" s="8">
        <v>254</v>
      </c>
      <c r="S147" s="14">
        <v>0.327435236422498</v>
      </c>
      <c r="T147" s="8">
        <v>254</v>
      </c>
      <c r="U147" s="14">
        <v>0.29314864993867101</v>
      </c>
      <c r="V147" s="8">
        <v>254</v>
      </c>
      <c r="W147" s="14">
        <v>5.0132411210339199E-2</v>
      </c>
      <c r="X147" s="8">
        <v>254</v>
      </c>
      <c r="Y147" s="14">
        <v>0.62058388636116901</v>
      </c>
      <c r="Z147" s="8">
        <v>254</v>
      </c>
      <c r="AA147" s="14">
        <v>0.39240115762556399</v>
      </c>
      <c r="AB147" s="8">
        <v>283</v>
      </c>
      <c r="AC147" s="14">
        <v>0.27049054216346802</v>
      </c>
      <c r="AD147" s="8">
        <v>283</v>
      </c>
      <c r="AE147" s="14">
        <v>0.34476556442908302</v>
      </c>
      <c r="AF147" s="8">
        <v>283</v>
      </c>
      <c r="AG147" s="14">
        <v>0.31812613535994899</v>
      </c>
      <c r="AH147" s="8">
        <v>283</v>
      </c>
      <c r="AI147" s="14">
        <v>4.7635593196480697E-2</v>
      </c>
      <c r="AJ147" s="8">
        <v>283</v>
      </c>
      <c r="AK147" s="14">
        <v>0.66289169978903195</v>
      </c>
      <c r="AL147" s="10">
        <v>283</v>
      </c>
    </row>
    <row r="148" spans="1:38" outlineLevel="1" x14ac:dyDescent="0.25">
      <c r="A148" s="6" t="s">
        <v>15</v>
      </c>
      <c r="B148" t="s">
        <v>145</v>
      </c>
      <c r="C148" s="16">
        <v>0.55640790345220104</v>
      </c>
      <c r="D148">
        <v>1924</v>
      </c>
      <c r="E148" s="16">
        <v>0.23377422650026899</v>
      </c>
      <c r="F148">
        <v>1941</v>
      </c>
      <c r="G148" s="16">
        <v>0.35058086100840802</v>
      </c>
      <c r="H148">
        <v>1941</v>
      </c>
      <c r="I148" s="23">
        <v>0.43779308586776</v>
      </c>
      <c r="J148">
        <v>1941</v>
      </c>
      <c r="K148" s="16">
        <v>0.20228672542781301</v>
      </c>
      <c r="L148">
        <v>1941</v>
      </c>
      <c r="M148" s="30">
        <v>0.78664181293649005</v>
      </c>
      <c r="N148">
        <v>1941</v>
      </c>
      <c r="O148" s="16">
        <v>0.561940542343071</v>
      </c>
      <c r="P148">
        <v>941</v>
      </c>
      <c r="Q148" s="16">
        <v>0.23747433531729101</v>
      </c>
      <c r="R148">
        <v>948</v>
      </c>
      <c r="S148" s="16">
        <v>0.360808352093548</v>
      </c>
      <c r="T148">
        <v>948</v>
      </c>
      <c r="U148" s="16">
        <v>0.43870705128284099</v>
      </c>
      <c r="V148">
        <v>948</v>
      </c>
      <c r="W148" s="16">
        <v>0.19793861260040799</v>
      </c>
      <c r="X148">
        <v>948</v>
      </c>
      <c r="Y148" s="16">
        <v>0.79622130001124702</v>
      </c>
      <c r="Z148">
        <v>948</v>
      </c>
      <c r="AA148" s="16">
        <v>0.55034752009422905</v>
      </c>
      <c r="AB148">
        <v>980</v>
      </c>
      <c r="AC148" s="16">
        <v>0.231030811418488</v>
      </c>
      <c r="AD148">
        <v>990</v>
      </c>
      <c r="AE148" s="16">
        <v>0.34040350067723701</v>
      </c>
      <c r="AF148">
        <v>990</v>
      </c>
      <c r="AG148" s="16">
        <v>0.43746559826160097</v>
      </c>
      <c r="AH148">
        <v>990</v>
      </c>
      <c r="AI148" s="16">
        <v>0.206098406303732</v>
      </c>
      <c r="AJ148">
        <v>990</v>
      </c>
      <c r="AK148" s="16">
        <v>0.77753271839945703</v>
      </c>
      <c r="AL148" s="11">
        <v>990</v>
      </c>
    </row>
    <row r="149" spans="1:38" outlineLevel="1" x14ac:dyDescent="0.25">
      <c r="A149" s="6" t="s">
        <v>15</v>
      </c>
      <c r="B149" t="s">
        <v>146</v>
      </c>
      <c r="C149" s="16">
        <v>0.43678160919540199</v>
      </c>
      <c r="D149">
        <v>261</v>
      </c>
      <c r="E149" s="16">
        <v>0.217557251908397</v>
      </c>
      <c r="F149">
        <v>262</v>
      </c>
      <c r="G149" s="16">
        <v>0.209923664122137</v>
      </c>
      <c r="H149">
        <v>262</v>
      </c>
      <c r="I149" s="23">
        <v>0.44274809160305301</v>
      </c>
      <c r="J149">
        <v>262</v>
      </c>
      <c r="K149" s="16">
        <v>0.225190839694656</v>
      </c>
      <c r="L149">
        <v>262</v>
      </c>
      <c r="M149" s="30">
        <v>0.65267175572519098</v>
      </c>
      <c r="N149">
        <v>262</v>
      </c>
      <c r="O149" s="16">
        <v>0.365671641791045</v>
      </c>
      <c r="P149">
        <v>134</v>
      </c>
      <c r="Q149" s="16">
        <v>0.29104477611940299</v>
      </c>
      <c r="R149">
        <v>134</v>
      </c>
      <c r="S149" s="16">
        <v>0.164179104477612</v>
      </c>
      <c r="T149">
        <v>134</v>
      </c>
      <c r="U149" s="16">
        <v>0.49253731343283602</v>
      </c>
      <c r="V149">
        <v>134</v>
      </c>
      <c r="W149" s="16">
        <v>0.201492537313433</v>
      </c>
      <c r="X149">
        <v>134</v>
      </c>
      <c r="Y149" s="16">
        <v>0.65671641791044799</v>
      </c>
      <c r="Z149">
        <v>134</v>
      </c>
      <c r="AA149" s="16">
        <v>0.511811023622047</v>
      </c>
      <c r="AB149">
        <v>127</v>
      </c>
      <c r="AC149" s="16">
        <v>0.140625</v>
      </c>
      <c r="AD149">
        <v>128</v>
      </c>
      <c r="AE149" s="16">
        <v>0.2578125</v>
      </c>
      <c r="AF149">
        <v>128</v>
      </c>
      <c r="AG149" s="16">
        <v>0.390625</v>
      </c>
      <c r="AH149">
        <v>128</v>
      </c>
      <c r="AI149" s="16">
        <v>0.25</v>
      </c>
      <c r="AJ149">
        <v>128</v>
      </c>
      <c r="AK149" s="16">
        <v>0.6484375</v>
      </c>
      <c r="AL149" s="11">
        <v>128</v>
      </c>
    </row>
    <row r="150" spans="1:38" outlineLevel="1" x14ac:dyDescent="0.25">
      <c r="A150" s="6" t="s">
        <v>15</v>
      </c>
      <c r="B150" t="s">
        <v>147</v>
      </c>
      <c r="C150" s="16">
        <v>0.10638297872340401</v>
      </c>
      <c r="D150">
        <v>94</v>
      </c>
      <c r="E150" s="16">
        <v>0.180851063829787</v>
      </c>
      <c r="F150">
        <v>94</v>
      </c>
      <c r="G150" s="16">
        <v>7.4468085106383003E-2</v>
      </c>
      <c r="H150">
        <v>94</v>
      </c>
      <c r="I150" s="23">
        <v>0.21276595744680901</v>
      </c>
      <c r="J150">
        <v>94</v>
      </c>
      <c r="K150" s="16">
        <v>3.1914893617021302E-2</v>
      </c>
      <c r="L150">
        <v>94</v>
      </c>
      <c r="M150" s="30">
        <v>0.28723404255319102</v>
      </c>
      <c r="N150">
        <v>94</v>
      </c>
      <c r="O150" s="16">
        <v>9.0909090909090898E-2</v>
      </c>
      <c r="P150">
        <v>44</v>
      </c>
      <c r="Q150" s="16">
        <v>0.18181818181818199</v>
      </c>
      <c r="R150">
        <v>44</v>
      </c>
      <c r="S150" s="16">
        <v>6.8181818181818205E-2</v>
      </c>
      <c r="T150">
        <v>44</v>
      </c>
      <c r="U150" s="16">
        <v>0.204545454545455</v>
      </c>
      <c r="V150">
        <v>44</v>
      </c>
      <c r="W150" s="16">
        <v>2.27272727272727E-2</v>
      </c>
      <c r="X150">
        <v>44</v>
      </c>
      <c r="Y150" s="16">
        <v>0.27272727272727298</v>
      </c>
      <c r="Z150">
        <v>44</v>
      </c>
      <c r="AA150" s="16">
        <v>0.122448979591837</v>
      </c>
      <c r="AB150">
        <v>49</v>
      </c>
      <c r="AC150" s="16">
        <v>0.183673469387755</v>
      </c>
      <c r="AD150">
        <v>49</v>
      </c>
      <c r="AE150" s="16">
        <v>8.1632653061224497E-2</v>
      </c>
      <c r="AF150">
        <v>49</v>
      </c>
      <c r="AG150" s="16">
        <v>0.22448979591836701</v>
      </c>
      <c r="AH150">
        <v>49</v>
      </c>
      <c r="AI150" s="16">
        <v>4.08163265306122E-2</v>
      </c>
      <c r="AJ150">
        <v>49</v>
      </c>
      <c r="AK150" s="16">
        <v>0.30612244897959201</v>
      </c>
      <c r="AL150" s="11">
        <v>49</v>
      </c>
    </row>
    <row r="151" spans="1:38" outlineLevel="1" x14ac:dyDescent="0.25">
      <c r="A151" s="6" t="s">
        <v>15</v>
      </c>
      <c r="B151" t="s">
        <v>148</v>
      </c>
      <c r="C151" s="16">
        <v>0.23459911637674299</v>
      </c>
      <c r="D151">
        <v>1047</v>
      </c>
      <c r="E151" s="16">
        <v>0.57136183072283697</v>
      </c>
      <c r="F151">
        <v>1055</v>
      </c>
      <c r="G151" s="16">
        <v>7.7613625072676995E-2</v>
      </c>
      <c r="H151">
        <v>1055</v>
      </c>
      <c r="I151" s="23">
        <v>0.72735210620584301</v>
      </c>
      <c r="J151">
        <v>1055</v>
      </c>
      <c r="K151" s="16">
        <v>0.15438653644568701</v>
      </c>
      <c r="L151">
        <v>1055</v>
      </c>
      <c r="M151" s="30">
        <v>0.80336199224120097</v>
      </c>
      <c r="N151">
        <v>1055</v>
      </c>
      <c r="O151" s="16">
        <v>0.22540210673865199</v>
      </c>
      <c r="P151">
        <v>563</v>
      </c>
      <c r="Q151" s="16">
        <v>0.57437098265151898</v>
      </c>
      <c r="R151">
        <v>569</v>
      </c>
      <c r="S151" s="16">
        <v>8.4961503734093294E-2</v>
      </c>
      <c r="T151">
        <v>569</v>
      </c>
      <c r="U151" s="16">
        <v>0.71143379869432299</v>
      </c>
      <c r="V151">
        <v>569</v>
      </c>
      <c r="W151" s="16">
        <v>0.13706281604280399</v>
      </c>
      <c r="X151">
        <v>569</v>
      </c>
      <c r="Y151" s="16">
        <v>0.79639530242841705</v>
      </c>
      <c r="Z151">
        <v>569</v>
      </c>
      <c r="AA151" s="16">
        <v>0.24565470382494201</v>
      </c>
      <c r="AB151">
        <v>484</v>
      </c>
      <c r="AC151" s="16">
        <v>0.56771282557602198</v>
      </c>
      <c r="AD151">
        <v>486</v>
      </c>
      <c r="AE151" s="16">
        <v>6.8703324865460894E-2</v>
      </c>
      <c r="AF151">
        <v>486</v>
      </c>
      <c r="AG151" s="16">
        <v>0.74665521466124196</v>
      </c>
      <c r="AH151">
        <v>486</v>
      </c>
      <c r="AI151" s="16">
        <v>0.175393898789067</v>
      </c>
      <c r="AJ151">
        <v>486</v>
      </c>
      <c r="AK151" s="16">
        <v>0.811810049230549</v>
      </c>
      <c r="AL151" s="11">
        <v>486</v>
      </c>
    </row>
    <row r="152" spans="1:38" outlineLevel="1" x14ac:dyDescent="0.25">
      <c r="A152" s="6" t="s">
        <v>15</v>
      </c>
      <c r="B152" t="s">
        <v>149</v>
      </c>
      <c r="C152" s="16">
        <v>0.17082885817928201</v>
      </c>
      <c r="D152">
        <v>2714</v>
      </c>
      <c r="E152" s="16">
        <v>0.67211933345421904</v>
      </c>
      <c r="F152">
        <v>2720</v>
      </c>
      <c r="G152" s="16">
        <v>0.103139830009893</v>
      </c>
      <c r="H152">
        <v>2720</v>
      </c>
      <c r="I152" s="23">
        <v>0.75086786061293997</v>
      </c>
      <c r="J152">
        <v>2720</v>
      </c>
      <c r="K152" s="16">
        <v>6.7048156152048205E-2</v>
      </c>
      <c r="L152">
        <v>2720</v>
      </c>
      <c r="M152" s="30">
        <v>0.84230731961616101</v>
      </c>
      <c r="N152">
        <v>2720</v>
      </c>
      <c r="O152" s="16">
        <v>0.17663370814290399</v>
      </c>
      <c r="P152">
        <v>1371</v>
      </c>
      <c r="Q152" s="16">
        <v>0.67508453818677905</v>
      </c>
      <c r="R152">
        <v>1375</v>
      </c>
      <c r="S152" s="16">
        <v>0.10456045149082301</v>
      </c>
      <c r="T152">
        <v>1375</v>
      </c>
      <c r="U152" s="16">
        <v>0.75749232363964702</v>
      </c>
      <c r="V152">
        <v>1375</v>
      </c>
      <c r="W152" s="16">
        <v>7.1445892265695504E-2</v>
      </c>
      <c r="X152">
        <v>1375</v>
      </c>
      <c r="Y152" s="16">
        <v>0.85109088194329796</v>
      </c>
      <c r="Z152">
        <v>1375</v>
      </c>
      <c r="AA152" s="16">
        <v>0.164942833170205</v>
      </c>
      <c r="AB152">
        <v>1342</v>
      </c>
      <c r="AC152" s="16">
        <v>0.66892121296831097</v>
      </c>
      <c r="AD152">
        <v>1344</v>
      </c>
      <c r="AE152" s="16">
        <v>0.101728306117634</v>
      </c>
      <c r="AF152">
        <v>1344</v>
      </c>
      <c r="AG152" s="16">
        <v>0.74394722620797604</v>
      </c>
      <c r="AH152">
        <v>1344</v>
      </c>
      <c r="AI152" s="16">
        <v>6.2561601919866094E-2</v>
      </c>
      <c r="AJ152">
        <v>1344</v>
      </c>
      <c r="AK152" s="16">
        <v>0.83321112100581196</v>
      </c>
      <c r="AL152" s="11">
        <v>1344</v>
      </c>
    </row>
    <row r="153" spans="1:38" outlineLevel="1" x14ac:dyDescent="0.25">
      <c r="A153" s="6" t="s">
        <v>15</v>
      </c>
      <c r="B153" t="s">
        <v>150</v>
      </c>
      <c r="C153" s="16">
        <v>0.47217460271475697</v>
      </c>
      <c r="D153">
        <v>624</v>
      </c>
      <c r="E153" s="16">
        <v>0.29280158573637</v>
      </c>
      <c r="F153">
        <v>628</v>
      </c>
      <c r="G153" s="16">
        <v>0.31588020740563899</v>
      </c>
      <c r="H153">
        <v>628</v>
      </c>
      <c r="I153" s="23">
        <v>0.45294613908528197</v>
      </c>
      <c r="J153">
        <v>628</v>
      </c>
      <c r="K153" s="16">
        <v>0.150678543852799</v>
      </c>
      <c r="L153">
        <v>628</v>
      </c>
      <c r="M153" s="30">
        <v>0.75936033699480798</v>
      </c>
      <c r="N153">
        <v>628</v>
      </c>
      <c r="O153" s="16">
        <v>0.472072192565962</v>
      </c>
      <c r="P153">
        <v>324</v>
      </c>
      <c r="Q153" s="16">
        <v>0.32754022746796901</v>
      </c>
      <c r="R153">
        <v>325</v>
      </c>
      <c r="S153" s="16">
        <v>0.31870632028410301</v>
      </c>
      <c r="T153">
        <v>325</v>
      </c>
      <c r="U153" s="16">
        <v>0.48575944060779602</v>
      </c>
      <c r="V153">
        <v>325</v>
      </c>
      <c r="W153" s="16">
        <v>0.15068755098494599</v>
      </c>
      <c r="X153">
        <v>325</v>
      </c>
      <c r="Y153" s="16">
        <v>0.79693409873701704</v>
      </c>
      <c r="Z153">
        <v>325</v>
      </c>
      <c r="AA153" s="16">
        <v>0.47228887879340498</v>
      </c>
      <c r="AB153">
        <v>300</v>
      </c>
      <c r="AC153" s="16">
        <v>0.25454740628059402</v>
      </c>
      <c r="AD153">
        <v>303</v>
      </c>
      <c r="AE153" s="16">
        <v>0.31276809294675201</v>
      </c>
      <c r="AF153">
        <v>303</v>
      </c>
      <c r="AG153" s="16">
        <v>0.41681214355727098</v>
      </c>
      <c r="AH153">
        <v>303</v>
      </c>
      <c r="AI153" s="16">
        <v>0.15066862520220201</v>
      </c>
      <c r="AJ153">
        <v>303</v>
      </c>
      <c r="AK153" s="16">
        <v>0.71798412442954795</v>
      </c>
      <c r="AL153" s="11">
        <v>303</v>
      </c>
    </row>
    <row r="154" spans="1:38" outlineLevel="1" x14ac:dyDescent="0.25">
      <c r="A154" s="7" t="s">
        <v>15</v>
      </c>
      <c r="B154" s="9" t="s">
        <v>151</v>
      </c>
      <c r="C154" s="15">
        <v>0.59528782849323303</v>
      </c>
      <c r="D154" s="9">
        <v>1432</v>
      </c>
      <c r="E154" s="15">
        <v>0.23218362687117899</v>
      </c>
      <c r="F154" s="9">
        <v>1444</v>
      </c>
      <c r="G154" s="15">
        <v>0.45841259042327298</v>
      </c>
      <c r="H154" s="9">
        <v>1444</v>
      </c>
      <c r="I154" s="25">
        <v>0.41067262966067902</v>
      </c>
      <c r="J154" s="9">
        <v>1444</v>
      </c>
      <c r="K154" s="15">
        <v>0.12682782788848601</v>
      </c>
      <c r="L154" s="9">
        <v>1444</v>
      </c>
      <c r="M154" s="32">
        <v>0.81956396654497599</v>
      </c>
      <c r="N154" s="9">
        <v>1444</v>
      </c>
      <c r="O154" s="15">
        <v>0.577844537867786</v>
      </c>
      <c r="P154" s="9">
        <v>729</v>
      </c>
      <c r="Q154" s="15">
        <v>0.25810735917197902</v>
      </c>
      <c r="R154" s="9">
        <v>736</v>
      </c>
      <c r="S154" s="15">
        <v>0.44826366688483299</v>
      </c>
      <c r="T154" s="9">
        <v>736</v>
      </c>
      <c r="U154" s="15">
        <v>0.42766496973477502</v>
      </c>
      <c r="V154" s="9">
        <v>736</v>
      </c>
      <c r="W154" s="15">
        <v>0.120628785359535</v>
      </c>
      <c r="X154" s="9">
        <v>736</v>
      </c>
      <c r="Y154" s="15">
        <v>0.82699981141634804</v>
      </c>
      <c r="Z154" s="9">
        <v>736</v>
      </c>
      <c r="AA154" s="15">
        <v>0.61364743270340805</v>
      </c>
      <c r="AB154" s="9">
        <v>702</v>
      </c>
      <c r="AC154" s="15">
        <v>0.204814808378675</v>
      </c>
      <c r="AD154" s="9">
        <v>707</v>
      </c>
      <c r="AE154" s="15">
        <v>0.469147928505175</v>
      </c>
      <c r="AF154" s="9">
        <v>707</v>
      </c>
      <c r="AG154" s="15">
        <v>0.39274280171964498</v>
      </c>
      <c r="AH154" s="9">
        <v>707</v>
      </c>
      <c r="AI154" s="15">
        <v>0.13337929173985799</v>
      </c>
      <c r="AJ154" s="9">
        <v>707</v>
      </c>
      <c r="AK154" s="15">
        <v>0.81174196053234804</v>
      </c>
      <c r="AL154" s="12">
        <v>707</v>
      </c>
    </row>
    <row r="155" spans="1:38" x14ac:dyDescent="0.25">
      <c r="C155" s="16"/>
      <c r="E155" s="16"/>
      <c r="G155" s="16"/>
      <c r="I155" s="23"/>
      <c r="K155" s="16"/>
      <c r="M155" s="30"/>
      <c r="O155" s="16"/>
      <c r="Q155" s="16"/>
      <c r="S155" s="16"/>
      <c r="U155" s="16"/>
      <c r="W155" s="16"/>
      <c r="Y155" s="16"/>
      <c r="AA155" s="16"/>
      <c r="AC155" s="16"/>
      <c r="AE155" s="16"/>
      <c r="AG155" s="16"/>
      <c r="AI155" s="16"/>
      <c r="AK155" s="16"/>
    </row>
    <row r="156" spans="1:38" x14ac:dyDescent="0.25">
      <c r="A156" s="19" t="s">
        <v>152</v>
      </c>
      <c r="B156" s="19"/>
      <c r="C156" s="20"/>
      <c r="D156" s="19"/>
      <c r="E156" s="20"/>
      <c r="F156" s="19"/>
      <c r="G156" s="20"/>
      <c r="H156" s="19"/>
      <c r="I156" s="20"/>
      <c r="J156" s="19"/>
      <c r="K156" s="20"/>
      <c r="L156" s="19"/>
      <c r="M156" s="20"/>
      <c r="N156" s="19"/>
      <c r="O156" s="20"/>
      <c r="P156" s="19"/>
      <c r="Q156" s="20"/>
      <c r="R156" s="19"/>
      <c r="S156" s="20"/>
      <c r="T156" s="19"/>
      <c r="U156" s="20"/>
      <c r="V156" s="19"/>
      <c r="W156" s="20"/>
      <c r="X156" s="19"/>
      <c r="Y156" s="20"/>
      <c r="Z156" s="19"/>
      <c r="AA156" s="20"/>
      <c r="AB156" s="19"/>
      <c r="AC156" s="20"/>
      <c r="AD156" s="19"/>
      <c r="AE156" s="20"/>
      <c r="AF156" s="19"/>
      <c r="AG156" s="20"/>
      <c r="AH156" s="19"/>
      <c r="AI156" s="20"/>
      <c r="AJ156" s="19"/>
      <c r="AK156" s="20"/>
      <c r="AL156" s="19"/>
    </row>
    <row r="157" spans="1:38" outlineLevel="1" x14ac:dyDescent="0.25">
      <c r="A157" s="5" t="s">
        <v>15</v>
      </c>
      <c r="B157" s="8" t="s">
        <v>153</v>
      </c>
      <c r="C157" s="14">
        <v>0.46940902612368002</v>
      </c>
      <c r="D157" s="8">
        <v>180</v>
      </c>
      <c r="E157" s="14">
        <v>0.23642210144537701</v>
      </c>
      <c r="F157" s="8">
        <v>180</v>
      </c>
      <c r="G157" s="14">
        <v>0.31688244170478602</v>
      </c>
      <c r="H157" s="8">
        <v>180</v>
      </c>
      <c r="I157" s="24">
        <v>0.388948685864271</v>
      </c>
      <c r="J157" s="8">
        <v>180</v>
      </c>
      <c r="K157" s="14">
        <v>0.152526584418894</v>
      </c>
      <c r="L157" s="8">
        <v>180</v>
      </c>
      <c r="M157" s="31">
        <v>0.70583112756905697</v>
      </c>
      <c r="N157" s="8">
        <v>180</v>
      </c>
      <c r="O157" s="14">
        <v>0.415964494612788</v>
      </c>
      <c r="P157" s="8">
        <v>83</v>
      </c>
      <c r="Q157" s="14">
        <v>0.22046876976374</v>
      </c>
      <c r="R157" s="8">
        <v>83</v>
      </c>
      <c r="S157" s="14">
        <v>0.23474308011308601</v>
      </c>
      <c r="T157" s="8">
        <v>83</v>
      </c>
      <c r="U157" s="14">
        <v>0.401690184263443</v>
      </c>
      <c r="V157" s="8">
        <v>83</v>
      </c>
      <c r="W157" s="14">
        <v>0.181221414499702</v>
      </c>
      <c r="X157" s="8">
        <v>83</v>
      </c>
      <c r="Y157" s="14">
        <v>0.63643326437652903</v>
      </c>
      <c r="Z157" s="8">
        <v>83</v>
      </c>
      <c r="AA157" s="14">
        <v>0.51878960313658995</v>
      </c>
      <c r="AB157" s="8">
        <v>97</v>
      </c>
      <c r="AC157" s="14">
        <v>0.251162332137773</v>
      </c>
      <c r="AD157" s="8">
        <v>97</v>
      </c>
      <c r="AE157" s="14">
        <v>0.39277587656525798</v>
      </c>
      <c r="AF157" s="8">
        <v>97</v>
      </c>
      <c r="AG157" s="14">
        <v>0.37717605870910598</v>
      </c>
      <c r="AH157" s="8">
        <v>97</v>
      </c>
      <c r="AI157" s="14">
        <v>0.126013726571333</v>
      </c>
      <c r="AJ157" s="8">
        <v>97</v>
      </c>
      <c r="AK157" s="14">
        <v>0.76995193527436401</v>
      </c>
      <c r="AL157" s="10">
        <v>97</v>
      </c>
    </row>
    <row r="158" spans="1:38" outlineLevel="1" x14ac:dyDescent="0.25">
      <c r="A158" s="6" t="s">
        <v>15</v>
      </c>
      <c r="B158" t="s">
        <v>154</v>
      </c>
      <c r="C158" s="16">
        <v>0.54064447059582799</v>
      </c>
      <c r="D158">
        <v>800</v>
      </c>
      <c r="E158" s="16">
        <v>0.24051146697919201</v>
      </c>
      <c r="F158">
        <v>806</v>
      </c>
      <c r="G158" s="16">
        <v>0.35834698403313697</v>
      </c>
      <c r="H158">
        <v>806</v>
      </c>
      <c r="I158" s="23">
        <v>0.421919285468698</v>
      </c>
      <c r="J158">
        <v>806</v>
      </c>
      <c r="K158" s="16">
        <v>0.17967064472358801</v>
      </c>
      <c r="L158">
        <v>806</v>
      </c>
      <c r="M158" s="30">
        <v>0.778529095735917</v>
      </c>
      <c r="N158">
        <v>806</v>
      </c>
      <c r="O158" s="16">
        <v>0.57514943226099602</v>
      </c>
      <c r="P158">
        <v>402</v>
      </c>
      <c r="Q158" s="16">
        <v>0.230667797651531</v>
      </c>
      <c r="R158">
        <v>406</v>
      </c>
      <c r="S158" s="16">
        <v>0.41783033085205101</v>
      </c>
      <c r="T158">
        <v>406</v>
      </c>
      <c r="U158" s="16">
        <v>0.387164963884364</v>
      </c>
      <c r="V158">
        <v>406</v>
      </c>
      <c r="W158" s="16">
        <v>0.153751070798651</v>
      </c>
      <c r="X158">
        <v>406</v>
      </c>
      <c r="Y158" s="16">
        <v>0.80224919930223404</v>
      </c>
      <c r="Z158">
        <v>406</v>
      </c>
      <c r="AA158" s="16">
        <v>0.50890025741745604</v>
      </c>
      <c r="AB158">
        <v>396</v>
      </c>
      <c r="AC158" s="16">
        <v>0.24810441602573699</v>
      </c>
      <c r="AD158">
        <v>398</v>
      </c>
      <c r="AE158" s="16">
        <v>0.30216847899900301</v>
      </c>
      <c r="AF158">
        <v>398</v>
      </c>
      <c r="AG158" s="16">
        <v>0.45379275998517099</v>
      </c>
      <c r="AH158">
        <v>398</v>
      </c>
      <c r="AI158" s="16">
        <v>0.204888393365176</v>
      </c>
      <c r="AJ158">
        <v>398</v>
      </c>
      <c r="AK158" s="16">
        <v>0.75516128838991603</v>
      </c>
      <c r="AL158" s="11">
        <v>398</v>
      </c>
    </row>
    <row r="159" spans="1:38" s="35" customFormat="1" outlineLevel="1" x14ac:dyDescent="0.25">
      <c r="A159" s="34" t="s">
        <v>15</v>
      </c>
      <c r="B159" s="35" t="s">
        <v>155</v>
      </c>
      <c r="C159" s="36">
        <v>0.57515498831200296</v>
      </c>
      <c r="D159" s="35">
        <v>948</v>
      </c>
      <c r="E159" s="36">
        <v>0.26560725154498999</v>
      </c>
      <c r="F159" s="35">
        <v>953</v>
      </c>
      <c r="G159" s="36">
        <v>0.38938142887250798</v>
      </c>
      <c r="H159" s="35">
        <v>953</v>
      </c>
      <c r="I159" s="37">
        <v>0.44860927594354499</v>
      </c>
      <c r="J159" s="35">
        <v>953</v>
      </c>
      <c r="K159" s="36">
        <v>0.18300202439855501</v>
      </c>
      <c r="L159" s="35">
        <v>953</v>
      </c>
      <c r="M159" s="38">
        <v>0.83799070481605298</v>
      </c>
      <c r="N159" s="35">
        <v>953</v>
      </c>
      <c r="O159" s="36">
        <v>0.57412226691613</v>
      </c>
      <c r="P159" s="35">
        <v>437</v>
      </c>
      <c r="Q159" s="36">
        <v>0.25614809655860299</v>
      </c>
      <c r="R159" s="35">
        <v>438</v>
      </c>
      <c r="S159" s="36">
        <v>0.370701749653983</v>
      </c>
      <c r="T159" s="35">
        <v>438</v>
      </c>
      <c r="U159" s="36">
        <v>0.45807207449612503</v>
      </c>
      <c r="V159" s="35">
        <v>438</v>
      </c>
      <c r="W159" s="36">
        <v>0.20192397793752201</v>
      </c>
      <c r="X159" s="35">
        <v>438</v>
      </c>
      <c r="Y159" s="36">
        <v>0.82877382415010803</v>
      </c>
      <c r="Z159" s="35">
        <v>438</v>
      </c>
      <c r="AA159" s="36">
        <v>0.57478671269196302</v>
      </c>
      <c r="AB159" s="35">
        <v>509</v>
      </c>
      <c r="AC159" s="36">
        <v>0.274448284252855</v>
      </c>
      <c r="AD159" s="35">
        <v>513</v>
      </c>
      <c r="AE159" s="36">
        <v>0.40463965948242597</v>
      </c>
      <c r="AF159" s="35">
        <v>513</v>
      </c>
      <c r="AG159" s="36">
        <v>0.44073359475853802</v>
      </c>
      <c r="AH159" s="35">
        <v>513</v>
      </c>
      <c r="AI159" s="36">
        <v>0.16628531050568299</v>
      </c>
      <c r="AJ159" s="35">
        <v>513</v>
      </c>
      <c r="AK159" s="36">
        <v>0.84537325424096399</v>
      </c>
      <c r="AL159" s="39">
        <v>513</v>
      </c>
    </row>
    <row r="160" spans="1:38" outlineLevel="1" x14ac:dyDescent="0.25">
      <c r="A160" s="6" t="s">
        <v>15</v>
      </c>
      <c r="B160" t="s">
        <v>156</v>
      </c>
      <c r="C160" s="16">
        <v>0.38107376505703899</v>
      </c>
      <c r="D160">
        <v>533</v>
      </c>
      <c r="E160" s="16">
        <v>0.19042253518916499</v>
      </c>
      <c r="F160">
        <v>540</v>
      </c>
      <c r="G160" s="16">
        <v>0.26057745875226201</v>
      </c>
      <c r="H160">
        <v>540</v>
      </c>
      <c r="I160" s="23">
        <v>0.31108942272165202</v>
      </c>
      <c r="J160">
        <v>540</v>
      </c>
      <c r="K160" s="16">
        <v>0.116967880704858</v>
      </c>
      <c r="L160">
        <v>540</v>
      </c>
      <c r="M160" s="30">
        <v>0.56796787464628495</v>
      </c>
      <c r="N160">
        <v>540</v>
      </c>
      <c r="O160" s="16">
        <v>0.36538119314317602</v>
      </c>
      <c r="P160">
        <v>272</v>
      </c>
      <c r="Q160" s="16">
        <v>0.22791072807358301</v>
      </c>
      <c r="R160">
        <v>275</v>
      </c>
      <c r="S160" s="16">
        <v>0.26290639688351902</v>
      </c>
      <c r="T160">
        <v>275</v>
      </c>
      <c r="U160" s="16">
        <v>0.33400274504814997</v>
      </c>
      <c r="V160">
        <v>275</v>
      </c>
      <c r="W160" s="16">
        <v>9.8449451400065197E-2</v>
      </c>
      <c r="X160">
        <v>275</v>
      </c>
      <c r="Y160" s="16">
        <v>0.58926657635716695</v>
      </c>
      <c r="Z160">
        <v>275</v>
      </c>
      <c r="AA160" s="16">
        <v>0.39574266956543502</v>
      </c>
      <c r="AB160">
        <v>261</v>
      </c>
      <c r="AC160" s="16">
        <v>0.15525909771156299</v>
      </c>
      <c r="AD160">
        <v>265</v>
      </c>
      <c r="AE160" s="16">
        <v>0.25839294506764299</v>
      </c>
      <c r="AF160">
        <v>265</v>
      </c>
      <c r="AG160" s="16">
        <v>0.28959702431460899</v>
      </c>
      <c r="AH160">
        <v>265</v>
      </c>
      <c r="AI160" s="16">
        <v>0.134337926603046</v>
      </c>
      <c r="AJ160">
        <v>265</v>
      </c>
      <c r="AK160" s="16">
        <v>0.54798996938225197</v>
      </c>
      <c r="AL160" s="11">
        <v>265</v>
      </c>
    </row>
    <row r="161" spans="1:38" outlineLevel="1" x14ac:dyDescent="0.25">
      <c r="A161" s="6" t="s">
        <v>15</v>
      </c>
      <c r="B161" t="s">
        <v>157</v>
      </c>
      <c r="C161" s="16">
        <v>0.52173913043478304</v>
      </c>
      <c r="D161">
        <v>23</v>
      </c>
      <c r="E161" s="16">
        <v>0.13043478260869601</v>
      </c>
      <c r="F161">
        <v>23</v>
      </c>
      <c r="G161" s="16">
        <v>0.434782608695652</v>
      </c>
      <c r="H161">
        <v>23</v>
      </c>
      <c r="I161" s="23">
        <v>0.217391304347826</v>
      </c>
      <c r="J161">
        <v>23</v>
      </c>
      <c r="K161" s="16">
        <v>8.6956521739130405E-2</v>
      </c>
      <c r="L161">
        <v>23</v>
      </c>
      <c r="M161" s="30">
        <v>0.65217391304347805</v>
      </c>
      <c r="N161">
        <v>23</v>
      </c>
      <c r="O161" s="16">
        <v>0.33333333333333298</v>
      </c>
      <c r="P161">
        <v>9</v>
      </c>
      <c r="Q161" s="16">
        <v>0.11111111111111099</v>
      </c>
      <c r="R161">
        <v>9</v>
      </c>
      <c r="S161" s="16">
        <v>0.33333333333333298</v>
      </c>
      <c r="T161">
        <v>9</v>
      </c>
      <c r="U161" s="16">
        <v>0.11111111111111099</v>
      </c>
      <c r="V161">
        <v>9</v>
      </c>
      <c r="W161" s="16"/>
      <c r="Y161" s="16">
        <v>0.44444444444444398</v>
      </c>
      <c r="Z161">
        <v>9</v>
      </c>
      <c r="AA161" s="16">
        <v>0.69230769230769196</v>
      </c>
      <c r="AB161">
        <v>13</v>
      </c>
      <c r="AC161" s="16">
        <v>0.15384615384615399</v>
      </c>
      <c r="AD161">
        <v>13</v>
      </c>
      <c r="AE161" s="16">
        <v>0.53846153846153799</v>
      </c>
      <c r="AF161">
        <v>13</v>
      </c>
      <c r="AG161" s="16">
        <v>0.30769230769230799</v>
      </c>
      <c r="AH161">
        <v>13</v>
      </c>
      <c r="AI161" s="16">
        <v>0.15384615384615399</v>
      </c>
      <c r="AJ161">
        <v>13</v>
      </c>
      <c r="AK161" s="16">
        <v>0.84615384615384603</v>
      </c>
      <c r="AL161" s="11">
        <v>13</v>
      </c>
    </row>
    <row r="162" spans="1:38" outlineLevel="1" x14ac:dyDescent="0.25">
      <c r="A162" s="6" t="s">
        <v>15</v>
      </c>
      <c r="B162" t="s">
        <v>158</v>
      </c>
      <c r="C162" s="16">
        <v>0.3</v>
      </c>
      <c r="D162">
        <v>120</v>
      </c>
      <c r="E162" s="16">
        <v>0.20833333333333301</v>
      </c>
      <c r="F162">
        <v>120</v>
      </c>
      <c r="G162" s="16">
        <v>0.108333333333333</v>
      </c>
      <c r="H162">
        <v>120</v>
      </c>
      <c r="I162" s="23">
        <v>0.4</v>
      </c>
      <c r="J162">
        <v>120</v>
      </c>
      <c r="K162" s="16">
        <v>0.19166666666666701</v>
      </c>
      <c r="L162">
        <v>120</v>
      </c>
      <c r="M162" s="30">
        <v>0.50833333333333297</v>
      </c>
      <c r="N162">
        <v>120</v>
      </c>
      <c r="O162" s="16">
        <v>0.26984126984126999</v>
      </c>
      <c r="P162">
        <v>63</v>
      </c>
      <c r="Q162" s="16">
        <v>0.26984126984126999</v>
      </c>
      <c r="R162">
        <v>63</v>
      </c>
      <c r="S162" s="16">
        <v>0.11111111111111099</v>
      </c>
      <c r="T162">
        <v>63</v>
      </c>
      <c r="U162" s="16">
        <v>0.42857142857142899</v>
      </c>
      <c r="V162">
        <v>63</v>
      </c>
      <c r="W162" s="16">
        <v>0.158730158730159</v>
      </c>
      <c r="X162">
        <v>63</v>
      </c>
      <c r="Y162" s="16">
        <v>0.53968253968253999</v>
      </c>
      <c r="Z162">
        <v>63</v>
      </c>
      <c r="AA162" s="16">
        <v>0.33333333333333298</v>
      </c>
      <c r="AB162">
        <v>57</v>
      </c>
      <c r="AC162" s="16">
        <v>0.140350877192982</v>
      </c>
      <c r="AD162">
        <v>57</v>
      </c>
      <c r="AE162" s="16">
        <v>0.105263157894737</v>
      </c>
      <c r="AF162">
        <v>57</v>
      </c>
      <c r="AG162" s="16">
        <v>0.36842105263157898</v>
      </c>
      <c r="AH162">
        <v>57</v>
      </c>
      <c r="AI162" s="16">
        <v>0.22807017543859601</v>
      </c>
      <c r="AJ162">
        <v>57</v>
      </c>
      <c r="AK162" s="16">
        <v>0.47368421052631599</v>
      </c>
      <c r="AL162" s="11">
        <v>57</v>
      </c>
    </row>
    <row r="163" spans="1:38" outlineLevel="1" x14ac:dyDescent="0.25">
      <c r="A163" s="6" t="s">
        <v>15</v>
      </c>
      <c r="B163" t="s">
        <v>159</v>
      </c>
      <c r="C163" s="16">
        <v>0.40845070422535201</v>
      </c>
      <c r="D163">
        <v>142</v>
      </c>
      <c r="E163" s="16">
        <v>0.21678321678321699</v>
      </c>
      <c r="F163">
        <v>143</v>
      </c>
      <c r="G163" s="16">
        <v>0.223776223776224</v>
      </c>
      <c r="H163">
        <v>143</v>
      </c>
      <c r="I163" s="23">
        <v>0.39860139860139898</v>
      </c>
      <c r="J163">
        <v>143</v>
      </c>
      <c r="K163" s="16">
        <v>0.18181818181818199</v>
      </c>
      <c r="L163">
        <v>143</v>
      </c>
      <c r="M163" s="30">
        <v>0.62237762237762195</v>
      </c>
      <c r="N163">
        <v>143</v>
      </c>
      <c r="O163" s="16">
        <v>0.34722222222222199</v>
      </c>
      <c r="P163">
        <v>72</v>
      </c>
      <c r="Q163" s="16">
        <v>0.30555555555555602</v>
      </c>
      <c r="R163">
        <v>72</v>
      </c>
      <c r="S163" s="16">
        <v>0.15277777777777801</v>
      </c>
      <c r="T163">
        <v>72</v>
      </c>
      <c r="U163" s="16">
        <v>0.5</v>
      </c>
      <c r="V163">
        <v>72</v>
      </c>
      <c r="W163" s="16">
        <v>0.194444444444444</v>
      </c>
      <c r="X163">
        <v>72</v>
      </c>
      <c r="Y163" s="16">
        <v>0.65277777777777801</v>
      </c>
      <c r="Z163">
        <v>72</v>
      </c>
      <c r="AA163" s="16">
        <v>0.47142857142857097</v>
      </c>
      <c r="AB163">
        <v>70</v>
      </c>
      <c r="AC163" s="16">
        <v>0.12676056338028199</v>
      </c>
      <c r="AD163">
        <v>71</v>
      </c>
      <c r="AE163" s="16">
        <v>0.29577464788732399</v>
      </c>
      <c r="AF163">
        <v>71</v>
      </c>
      <c r="AG163" s="16">
        <v>0.29577464788732399</v>
      </c>
      <c r="AH163">
        <v>71</v>
      </c>
      <c r="AI163" s="16">
        <v>0.169014084507042</v>
      </c>
      <c r="AJ163">
        <v>71</v>
      </c>
      <c r="AK163" s="16">
        <v>0.59154929577464799</v>
      </c>
      <c r="AL163" s="11">
        <v>71</v>
      </c>
    </row>
    <row r="164" spans="1:38" outlineLevel="1" x14ac:dyDescent="0.25">
      <c r="A164" s="6" t="s">
        <v>15</v>
      </c>
      <c r="B164" t="s">
        <v>160</v>
      </c>
      <c r="C164" s="16">
        <v>0.25714285714285701</v>
      </c>
      <c r="D164">
        <v>70</v>
      </c>
      <c r="E164" s="16">
        <v>0.214285714285714</v>
      </c>
      <c r="F164">
        <v>70</v>
      </c>
      <c r="G164" s="16">
        <v>0.1</v>
      </c>
      <c r="H164">
        <v>70</v>
      </c>
      <c r="I164" s="23">
        <v>0.371428571428571</v>
      </c>
      <c r="J164">
        <v>70</v>
      </c>
      <c r="K164" s="16">
        <v>0.157142857142857</v>
      </c>
      <c r="L164">
        <v>70</v>
      </c>
      <c r="M164" s="30">
        <v>0.47142857142857097</v>
      </c>
      <c r="N164">
        <v>70</v>
      </c>
      <c r="O164" s="16">
        <v>0.23529411764705899</v>
      </c>
      <c r="P164">
        <v>34</v>
      </c>
      <c r="Q164" s="16">
        <v>0.20588235294117599</v>
      </c>
      <c r="R164">
        <v>34</v>
      </c>
      <c r="S164" s="16">
        <v>0.11764705882352899</v>
      </c>
      <c r="T164">
        <v>34</v>
      </c>
      <c r="U164" s="16">
        <v>0.32352941176470601</v>
      </c>
      <c r="V164">
        <v>34</v>
      </c>
      <c r="W164" s="16">
        <v>0.11764705882352899</v>
      </c>
      <c r="X164">
        <v>34</v>
      </c>
      <c r="Y164" s="16">
        <v>0.441176470588235</v>
      </c>
      <c r="Z164">
        <v>34</v>
      </c>
      <c r="AA164" s="16">
        <v>0.27777777777777801</v>
      </c>
      <c r="AB164">
        <v>36</v>
      </c>
      <c r="AC164" s="16">
        <v>0.22222222222222199</v>
      </c>
      <c r="AD164">
        <v>36</v>
      </c>
      <c r="AE164" s="16">
        <v>8.3333333333333301E-2</v>
      </c>
      <c r="AF164">
        <v>36</v>
      </c>
      <c r="AG164" s="16">
        <v>0.41666666666666702</v>
      </c>
      <c r="AH164">
        <v>36</v>
      </c>
      <c r="AI164" s="16">
        <v>0.194444444444444</v>
      </c>
      <c r="AJ164">
        <v>36</v>
      </c>
      <c r="AK164" s="16">
        <v>0.5</v>
      </c>
      <c r="AL164" s="11">
        <v>36</v>
      </c>
    </row>
    <row r="165" spans="1:38" outlineLevel="1" x14ac:dyDescent="0.25">
      <c r="A165" s="6" t="s">
        <v>15</v>
      </c>
      <c r="B165" t="s">
        <v>161</v>
      </c>
      <c r="C165" s="16">
        <v>0.184066649259856</v>
      </c>
      <c r="D165">
        <v>263</v>
      </c>
      <c r="E165" s="16">
        <v>0.70121411892686702</v>
      </c>
      <c r="F165">
        <v>263</v>
      </c>
      <c r="G165" s="16">
        <v>0.11367828409446799</v>
      </c>
      <c r="H165">
        <v>263</v>
      </c>
      <c r="I165" s="23">
        <v>0.78871273012897003</v>
      </c>
      <c r="J165">
        <v>263</v>
      </c>
      <c r="K165" s="16">
        <v>7.0388365165387906E-2</v>
      </c>
      <c r="L165">
        <v>263</v>
      </c>
      <c r="M165" s="30">
        <v>0.88528076818672397</v>
      </c>
      <c r="N165">
        <v>263</v>
      </c>
      <c r="O165" s="16">
        <v>0.215265059171834</v>
      </c>
      <c r="P165">
        <v>117</v>
      </c>
      <c r="Q165" s="16">
        <v>0.67035639018444804</v>
      </c>
      <c r="R165">
        <v>117</v>
      </c>
      <c r="S165" s="16">
        <v>0.14643935143884901</v>
      </c>
      <c r="T165">
        <v>117</v>
      </c>
      <c r="U165" s="16">
        <v>0.76672052277912905</v>
      </c>
      <c r="V165">
        <v>117</v>
      </c>
      <c r="W165" s="16">
        <v>6.8825707732984506E-2</v>
      </c>
      <c r="X165">
        <v>117</v>
      </c>
      <c r="Y165" s="16">
        <v>0.88562144935628195</v>
      </c>
      <c r="Z165">
        <v>117</v>
      </c>
      <c r="AA165" s="16">
        <v>0.15838805736922901</v>
      </c>
      <c r="AB165">
        <v>146</v>
      </c>
      <c r="AC165" s="16">
        <v>0.72661230509353003</v>
      </c>
      <c r="AD165">
        <v>146</v>
      </c>
      <c r="AE165" s="16">
        <v>8.6713509908501005E-2</v>
      </c>
      <c r="AF165">
        <v>146</v>
      </c>
      <c r="AG165" s="16">
        <v>0.80681393845670002</v>
      </c>
      <c r="AH165">
        <v>146</v>
      </c>
      <c r="AI165" s="16">
        <v>7.1674547460727794E-2</v>
      </c>
      <c r="AJ165">
        <v>146</v>
      </c>
      <c r="AK165" s="16">
        <v>0.88500036246275904</v>
      </c>
      <c r="AL165" s="11">
        <v>146</v>
      </c>
    </row>
    <row r="166" spans="1:38" outlineLevel="1" x14ac:dyDescent="0.25">
      <c r="A166" s="6" t="s">
        <v>15</v>
      </c>
      <c r="B166" t="s">
        <v>162</v>
      </c>
      <c r="C166" s="16">
        <v>0.19048965701797299</v>
      </c>
      <c r="D166">
        <v>1183</v>
      </c>
      <c r="E166" s="16">
        <v>0.67165903643569602</v>
      </c>
      <c r="F166">
        <v>1189</v>
      </c>
      <c r="G166" s="16">
        <v>0.10405816009997799</v>
      </c>
      <c r="H166">
        <v>1189</v>
      </c>
      <c r="I166" s="23">
        <v>0.76407797297827795</v>
      </c>
      <c r="J166">
        <v>1189</v>
      </c>
      <c r="K166" s="16">
        <v>8.4954932930004001E-2</v>
      </c>
      <c r="L166">
        <v>1189</v>
      </c>
      <c r="M166" s="30">
        <v>0.86067212946567895</v>
      </c>
      <c r="N166">
        <v>1189</v>
      </c>
      <c r="O166" s="16">
        <v>0.196600049714863</v>
      </c>
      <c r="P166">
        <v>621</v>
      </c>
      <c r="Q166" s="16">
        <v>0.68059515820774097</v>
      </c>
      <c r="R166">
        <v>624</v>
      </c>
      <c r="S166" s="16">
        <v>0.118756969557445</v>
      </c>
      <c r="T166">
        <v>624</v>
      </c>
      <c r="U166" s="16">
        <v>0.76446694062851805</v>
      </c>
      <c r="V166">
        <v>624</v>
      </c>
      <c r="W166" s="16">
        <v>7.66318925112799E-2</v>
      </c>
      <c r="X166">
        <v>624</v>
      </c>
      <c r="Y166" s="16">
        <v>0.87598402027646705</v>
      </c>
      <c r="Z166">
        <v>624</v>
      </c>
      <c r="AA166" s="16">
        <v>0.183840890085221</v>
      </c>
      <c r="AB166">
        <v>561</v>
      </c>
      <c r="AC166" s="16">
        <v>0.66125978595287904</v>
      </c>
      <c r="AD166">
        <v>564</v>
      </c>
      <c r="AE166" s="16">
        <v>8.7702902419108497E-2</v>
      </c>
      <c r="AF166">
        <v>564</v>
      </c>
      <c r="AG166" s="16">
        <v>0.76336719010932896</v>
      </c>
      <c r="AH166">
        <v>564</v>
      </c>
      <c r="AI166" s="16">
        <v>9.4383489807537496E-2</v>
      </c>
      <c r="AJ166">
        <v>564</v>
      </c>
      <c r="AK166" s="16">
        <v>0.84334617817952495</v>
      </c>
      <c r="AL166" s="11">
        <v>564</v>
      </c>
    </row>
    <row r="167" spans="1:38" outlineLevel="1" x14ac:dyDescent="0.25">
      <c r="A167" s="6" t="s">
        <v>15</v>
      </c>
      <c r="B167" t="s">
        <v>163</v>
      </c>
      <c r="C167" s="16">
        <v>0.20167834968134901</v>
      </c>
      <c r="D167">
        <v>1504</v>
      </c>
      <c r="E167" s="16">
        <v>0.73032299184406402</v>
      </c>
      <c r="F167">
        <v>1507</v>
      </c>
      <c r="G167" s="16">
        <v>0.10070424619587499</v>
      </c>
      <c r="H167">
        <v>1507</v>
      </c>
      <c r="I167" s="23">
        <v>0.840548414490912</v>
      </c>
      <c r="J167">
        <v>1507</v>
      </c>
      <c r="K167" s="16">
        <v>0.100452466765211</v>
      </c>
      <c r="L167">
        <v>1507</v>
      </c>
      <c r="M167" s="30">
        <v>0.93147970480514997</v>
      </c>
      <c r="N167">
        <v>1507</v>
      </c>
      <c r="O167" s="16">
        <v>0.199120282050682</v>
      </c>
      <c r="P167">
        <v>770</v>
      </c>
      <c r="Q167" s="16">
        <v>0.72686662196086704</v>
      </c>
      <c r="R167">
        <v>773</v>
      </c>
      <c r="S167" s="16">
        <v>9.3657316781713795E-2</v>
      </c>
      <c r="T167">
        <v>773</v>
      </c>
      <c r="U167" s="16">
        <v>0.84004795719439396</v>
      </c>
      <c r="V167">
        <v>773</v>
      </c>
      <c r="W167" s="16">
        <v>0.10446458693848799</v>
      </c>
      <c r="X167">
        <v>773</v>
      </c>
      <c r="Y167" s="16">
        <v>0.92498852568106904</v>
      </c>
      <c r="Z167">
        <v>773</v>
      </c>
      <c r="AA167" s="16">
        <v>0.20439031719581299</v>
      </c>
      <c r="AB167">
        <v>734</v>
      </c>
      <c r="AC167" s="16">
        <v>0.73400577102521403</v>
      </c>
      <c r="AD167">
        <v>734</v>
      </c>
      <c r="AE167" s="16">
        <v>0.10821278429061799</v>
      </c>
      <c r="AF167">
        <v>734</v>
      </c>
      <c r="AG167" s="16">
        <v>0.84108165421205106</v>
      </c>
      <c r="AH167">
        <v>734</v>
      </c>
      <c r="AI167" s="16">
        <v>9.6177532905195401E-2</v>
      </c>
      <c r="AJ167">
        <v>734</v>
      </c>
      <c r="AK167" s="16">
        <v>0.93839608822102705</v>
      </c>
      <c r="AL167" s="11">
        <v>734</v>
      </c>
    </row>
    <row r="168" spans="1:38" outlineLevel="1" x14ac:dyDescent="0.25">
      <c r="A168" s="6" t="s">
        <v>15</v>
      </c>
      <c r="B168" t="s">
        <v>164</v>
      </c>
      <c r="C168" s="16">
        <v>0.15485841740459699</v>
      </c>
      <c r="D168">
        <v>811</v>
      </c>
      <c r="E168" s="16">
        <v>0.45091522287491698</v>
      </c>
      <c r="F168">
        <v>816</v>
      </c>
      <c r="G168" s="16">
        <v>7.4910428203338805E-2</v>
      </c>
      <c r="H168">
        <v>816</v>
      </c>
      <c r="I168" s="23">
        <v>0.53768890571205297</v>
      </c>
      <c r="J168">
        <v>816</v>
      </c>
      <c r="K168" s="16">
        <v>7.84930816070981E-2</v>
      </c>
      <c r="L168">
        <v>816</v>
      </c>
      <c r="M168" s="30">
        <v>0.60431873268535397</v>
      </c>
      <c r="N168">
        <v>816</v>
      </c>
      <c r="O168" s="16">
        <v>0.155103083506647</v>
      </c>
      <c r="P168">
        <v>426</v>
      </c>
      <c r="Q168" s="16">
        <v>0.462253324515075</v>
      </c>
      <c r="R168">
        <v>430</v>
      </c>
      <c r="S168" s="16">
        <v>7.0050832441576893E-2</v>
      </c>
      <c r="T168">
        <v>430</v>
      </c>
      <c r="U168" s="16">
        <v>0.548724797178202</v>
      </c>
      <c r="V168">
        <v>430</v>
      </c>
      <c r="W168" s="16">
        <v>8.3276167838824397E-2</v>
      </c>
      <c r="X168">
        <v>430</v>
      </c>
      <c r="Y168" s="16">
        <v>0.61558032479547597</v>
      </c>
      <c r="Z168">
        <v>430</v>
      </c>
      <c r="AA168" s="16">
        <v>0.15459219706229599</v>
      </c>
      <c r="AB168">
        <v>385</v>
      </c>
      <c r="AC168" s="16">
        <v>0.43852457696355501</v>
      </c>
      <c r="AD168">
        <v>386</v>
      </c>
      <c r="AE168" s="16">
        <v>8.0221152367521198E-2</v>
      </c>
      <c r="AF168">
        <v>386</v>
      </c>
      <c r="AG168" s="16">
        <v>0.52562852489936496</v>
      </c>
      <c r="AH168">
        <v>386</v>
      </c>
      <c r="AI168" s="16">
        <v>7.3265969543565498E-2</v>
      </c>
      <c r="AJ168">
        <v>386</v>
      </c>
      <c r="AK168" s="16">
        <v>0.592011698874642</v>
      </c>
      <c r="AL168" s="11">
        <v>386</v>
      </c>
    </row>
    <row r="169" spans="1:38" outlineLevel="1" x14ac:dyDescent="0.25">
      <c r="A169" s="6" t="s">
        <v>15</v>
      </c>
      <c r="B169" t="s">
        <v>165</v>
      </c>
      <c r="C169" s="16">
        <v>0.60693794977909998</v>
      </c>
      <c r="D169">
        <v>159</v>
      </c>
      <c r="E169" s="16">
        <v>0.27900370782011802</v>
      </c>
      <c r="F169">
        <v>159</v>
      </c>
      <c r="G169" s="16">
        <v>0.49921712186290101</v>
      </c>
      <c r="H169">
        <v>159</v>
      </c>
      <c r="I169" s="23">
        <v>0.44605286907310598</v>
      </c>
      <c r="J169">
        <v>159</v>
      </c>
      <c r="K169" s="16">
        <v>0.107720827916199</v>
      </c>
      <c r="L169">
        <v>159</v>
      </c>
      <c r="M169" s="30">
        <v>0.88594165759921795</v>
      </c>
      <c r="N169">
        <v>159</v>
      </c>
      <c r="O169" s="16">
        <v>0.63194616232046097</v>
      </c>
      <c r="P169">
        <v>81</v>
      </c>
      <c r="Q169" s="16">
        <v>0.275909606484531</v>
      </c>
      <c r="R169">
        <v>81</v>
      </c>
      <c r="S169" s="16">
        <v>0.45064274401893301</v>
      </c>
      <c r="T169">
        <v>81</v>
      </c>
      <c r="U169" s="16">
        <v>0.502979965940618</v>
      </c>
      <c r="V169">
        <v>81</v>
      </c>
      <c r="W169" s="16">
        <v>0.18130341830152799</v>
      </c>
      <c r="X169">
        <v>81</v>
      </c>
      <c r="Y169" s="16">
        <v>0.90785576880499197</v>
      </c>
      <c r="Z169">
        <v>81</v>
      </c>
      <c r="AA169" s="16">
        <v>0.58561577469909498</v>
      </c>
      <c r="AB169">
        <v>78</v>
      </c>
      <c r="AC169" s="16">
        <v>0.28164176003130897</v>
      </c>
      <c r="AD169">
        <v>78</v>
      </c>
      <c r="AE169" s="16">
        <v>0.540631972567583</v>
      </c>
      <c r="AF169">
        <v>78</v>
      </c>
      <c r="AG169" s="16">
        <v>0.397516432324658</v>
      </c>
      <c r="AH169">
        <v>78</v>
      </c>
      <c r="AI169" s="16">
        <v>4.4983802131511902E-2</v>
      </c>
      <c r="AJ169">
        <v>78</v>
      </c>
      <c r="AK169" s="16">
        <v>0.86725753473040401</v>
      </c>
      <c r="AL169" s="11">
        <v>78</v>
      </c>
    </row>
    <row r="170" spans="1:38" outlineLevel="1" x14ac:dyDescent="0.25">
      <c r="A170" s="6" t="s">
        <v>15</v>
      </c>
      <c r="B170" t="s">
        <v>166</v>
      </c>
      <c r="C170" s="16">
        <v>0.62554670071464702</v>
      </c>
      <c r="D170">
        <v>655</v>
      </c>
      <c r="E170" s="16">
        <v>0.23381613837734599</v>
      </c>
      <c r="F170">
        <v>660</v>
      </c>
      <c r="G170" s="16">
        <v>0.48671750413341403</v>
      </c>
      <c r="H170">
        <v>660</v>
      </c>
      <c r="I170" s="23">
        <v>0.402124277848038</v>
      </c>
      <c r="J170">
        <v>660</v>
      </c>
      <c r="K170" s="16">
        <v>0.127207465699407</v>
      </c>
      <c r="L170">
        <v>660</v>
      </c>
      <c r="M170" s="30">
        <v>0.85232699434142301</v>
      </c>
      <c r="N170">
        <v>660</v>
      </c>
      <c r="O170" s="16">
        <v>0.59864960126427602</v>
      </c>
      <c r="P170">
        <v>340</v>
      </c>
      <c r="Q170" s="16">
        <v>0.27417611085371402</v>
      </c>
      <c r="R170">
        <v>341</v>
      </c>
      <c r="S170" s="16">
        <v>0.49925950467185798</v>
      </c>
      <c r="T170">
        <v>341</v>
      </c>
      <c r="U170" s="16">
        <v>0.420754136875781</v>
      </c>
      <c r="V170">
        <v>341</v>
      </c>
      <c r="W170" s="16">
        <v>9.6988918120182496E-2</v>
      </c>
      <c r="X170">
        <v>341</v>
      </c>
      <c r="Y170" s="16">
        <v>0.87042453364575501</v>
      </c>
      <c r="Z170">
        <v>341</v>
      </c>
      <c r="AA170" s="16">
        <v>0.65709880734376003</v>
      </c>
      <c r="AB170">
        <v>315</v>
      </c>
      <c r="AC170" s="16">
        <v>0.18721237793661699</v>
      </c>
      <c r="AD170">
        <v>319</v>
      </c>
      <c r="AE170" s="16">
        <v>0.47223522496725701</v>
      </c>
      <c r="AF170">
        <v>319</v>
      </c>
      <c r="AG170" s="16">
        <v>0.38061233336686101</v>
      </c>
      <c r="AH170">
        <v>319</v>
      </c>
      <c r="AI170" s="16">
        <v>0.16210089762812099</v>
      </c>
      <c r="AJ170">
        <v>319</v>
      </c>
      <c r="AK170" s="16">
        <v>0.83142972076672905</v>
      </c>
      <c r="AL170" s="11">
        <v>319</v>
      </c>
    </row>
    <row r="171" spans="1:38" outlineLevel="1" x14ac:dyDescent="0.25">
      <c r="A171" s="6" t="s">
        <v>15</v>
      </c>
      <c r="B171" t="s">
        <v>167</v>
      </c>
      <c r="C171" s="16">
        <v>0.58089045099681502</v>
      </c>
      <c r="D171">
        <v>804</v>
      </c>
      <c r="E171" s="16">
        <v>0.309360940369384</v>
      </c>
      <c r="F171">
        <v>807</v>
      </c>
      <c r="G171" s="16">
        <v>0.42118882268449698</v>
      </c>
      <c r="H171">
        <v>807</v>
      </c>
      <c r="I171" s="23">
        <v>0.51797304672370403</v>
      </c>
      <c r="J171">
        <v>807</v>
      </c>
      <c r="K171" s="16">
        <v>0.15600186100566801</v>
      </c>
      <c r="L171">
        <v>807</v>
      </c>
      <c r="M171" s="30">
        <v>0.88655162405954901</v>
      </c>
      <c r="N171">
        <v>807</v>
      </c>
      <c r="O171" s="16">
        <v>0.56696180289329701</v>
      </c>
      <c r="P171">
        <v>393</v>
      </c>
      <c r="Q171" s="16">
        <v>0.35132199145099402</v>
      </c>
      <c r="R171">
        <v>394</v>
      </c>
      <c r="S171" s="16">
        <v>0.41348760246783001</v>
      </c>
      <c r="T171">
        <v>394</v>
      </c>
      <c r="U171" s="16">
        <v>0.54434601131079696</v>
      </c>
      <c r="V171">
        <v>394</v>
      </c>
      <c r="W171" s="16">
        <v>0.15097452824829399</v>
      </c>
      <c r="X171">
        <v>394</v>
      </c>
      <c r="Y171" s="16">
        <v>0.91578412216711802</v>
      </c>
      <c r="Z171">
        <v>394</v>
      </c>
      <c r="AA171" s="16">
        <v>0.593876387729382</v>
      </c>
      <c r="AB171">
        <v>411</v>
      </c>
      <c r="AC171" s="16">
        <v>0.270388441542536</v>
      </c>
      <c r="AD171">
        <v>413</v>
      </c>
      <c r="AE171" s="16">
        <v>0.42834154617742298</v>
      </c>
      <c r="AF171">
        <v>413</v>
      </c>
      <c r="AG171" s="16">
        <v>0.49347841885006</v>
      </c>
      <c r="AH171">
        <v>413</v>
      </c>
      <c r="AI171" s="16">
        <v>0.160671136796875</v>
      </c>
      <c r="AJ171">
        <v>413</v>
      </c>
      <c r="AK171" s="16">
        <v>0.85940112451683404</v>
      </c>
      <c r="AL171" s="11">
        <v>413</v>
      </c>
    </row>
    <row r="172" spans="1:38" outlineLevel="1" x14ac:dyDescent="0.25">
      <c r="A172" s="7" t="s">
        <v>15</v>
      </c>
      <c r="B172" s="9" t="s">
        <v>168</v>
      </c>
      <c r="C172" s="15">
        <v>0.39964835645919899</v>
      </c>
      <c r="D172" s="9">
        <v>438</v>
      </c>
      <c r="E172" s="15">
        <v>0.14790909758601201</v>
      </c>
      <c r="F172" s="9">
        <v>446</v>
      </c>
      <c r="G172" s="15">
        <v>0.274920484418678</v>
      </c>
      <c r="H172" s="9">
        <v>446</v>
      </c>
      <c r="I172" s="25">
        <v>0.26851050176452101</v>
      </c>
      <c r="J172" s="9">
        <v>446</v>
      </c>
      <c r="K172" s="15">
        <v>0.111524833432892</v>
      </c>
      <c r="L172" s="9">
        <v>446</v>
      </c>
      <c r="M172" s="32">
        <v>0.534354415437582</v>
      </c>
      <c r="N172" s="9">
        <v>446</v>
      </c>
      <c r="O172" s="15">
        <v>0.40942269632200701</v>
      </c>
      <c r="P172" s="9">
        <v>239</v>
      </c>
      <c r="Q172" s="15">
        <v>0.16563926369057699</v>
      </c>
      <c r="R172" s="9">
        <v>245</v>
      </c>
      <c r="S172" s="15">
        <v>0.26387857006338</v>
      </c>
      <c r="T172" s="9">
        <v>245</v>
      </c>
      <c r="U172" s="15">
        <v>0.302636048856887</v>
      </c>
      <c r="V172" s="9">
        <v>245</v>
      </c>
      <c r="W172" s="15">
        <v>0.12746015050677101</v>
      </c>
      <c r="X172" s="9">
        <v>245</v>
      </c>
      <c r="Y172" s="15">
        <v>0.55697798426072898</v>
      </c>
      <c r="Z172" s="9">
        <v>245</v>
      </c>
      <c r="AA172" s="15">
        <v>0.387064201670478</v>
      </c>
      <c r="AB172" s="9">
        <v>198</v>
      </c>
      <c r="AC172" s="15">
        <v>0.12436863317461699</v>
      </c>
      <c r="AD172" s="9">
        <v>200</v>
      </c>
      <c r="AE172" s="15">
        <v>0.28963762498908002</v>
      </c>
      <c r="AF172" s="9">
        <v>200</v>
      </c>
      <c r="AG172" s="15">
        <v>0.223199277392644</v>
      </c>
      <c r="AH172" s="9">
        <v>200</v>
      </c>
      <c r="AI172" s="15">
        <v>9.0364094046568103E-2</v>
      </c>
      <c r="AJ172" s="9">
        <v>200</v>
      </c>
      <c r="AK172" s="15">
        <v>0.50437035221026405</v>
      </c>
      <c r="AL172" s="12">
        <v>200</v>
      </c>
    </row>
    <row r="173" spans="1:38" x14ac:dyDescent="0.25">
      <c r="C173" s="16"/>
      <c r="E173" s="16"/>
      <c r="G173" s="16"/>
      <c r="I173" s="23"/>
      <c r="K173" s="16"/>
      <c r="M173" s="30"/>
      <c r="O173" s="16"/>
      <c r="Q173" s="16"/>
      <c r="S173" s="16"/>
      <c r="U173" s="16"/>
      <c r="W173" s="16"/>
      <c r="Y173" s="16"/>
      <c r="AA173" s="16"/>
      <c r="AC173" s="16"/>
      <c r="AE173" s="16"/>
      <c r="AG173" s="16"/>
      <c r="AI173" s="16"/>
      <c r="AK173" s="16"/>
    </row>
    <row r="174" spans="1:38" x14ac:dyDescent="0.25">
      <c r="C174" s="16"/>
      <c r="E174" s="16"/>
      <c r="G174" s="16"/>
      <c r="I174" s="23"/>
      <c r="K174" s="16"/>
      <c r="M174" s="30"/>
      <c r="O174" s="16"/>
      <c r="Q174" s="16"/>
      <c r="S174" s="16"/>
      <c r="U174" s="16"/>
      <c r="W174" s="16"/>
      <c r="Y174" s="16"/>
      <c r="AA174" s="16"/>
      <c r="AC174" s="16"/>
      <c r="AE174" s="16"/>
      <c r="AG174" s="16"/>
      <c r="AI174" s="16"/>
      <c r="AK174" s="16"/>
    </row>
  </sheetData>
  <mergeCells count="39">
    <mergeCell ref="A146:AL146"/>
    <mergeCell ref="A156:AL156"/>
    <mergeCell ref="A101:AL101"/>
    <mergeCell ref="A117:AL117"/>
    <mergeCell ref="A123:AL123"/>
    <mergeCell ref="A129:AL129"/>
    <mergeCell ref="A136:AL136"/>
    <mergeCell ref="A15:AL15"/>
    <mergeCell ref="A35:AL35"/>
    <mergeCell ref="A80:AL80"/>
    <mergeCell ref="A86:AL86"/>
    <mergeCell ref="A96:AL96"/>
    <mergeCell ref="AI4:AJ4"/>
    <mergeCell ref="AK4:AL4"/>
    <mergeCell ref="AA4:AB4"/>
    <mergeCell ref="A6:AL6"/>
    <mergeCell ref="A9:AL9"/>
    <mergeCell ref="Y4:Z4"/>
    <mergeCell ref="O4:P4"/>
    <mergeCell ref="AC4:AD4"/>
    <mergeCell ref="AE4:AF4"/>
    <mergeCell ref="AG4:AH4"/>
    <mergeCell ref="C4:D4"/>
    <mergeCell ref="Q4:R4"/>
    <mergeCell ref="S4:T4"/>
    <mergeCell ref="U4:V4"/>
    <mergeCell ref="W4:X4"/>
    <mergeCell ref="E4:F4"/>
    <mergeCell ref="G4:H4"/>
    <mergeCell ref="I4:J4"/>
    <mergeCell ref="K4:L4"/>
    <mergeCell ref="M4:N4"/>
    <mergeCell ref="A1:AL1"/>
    <mergeCell ref="C2:N2"/>
    <mergeCell ref="O2:Z2"/>
    <mergeCell ref="AA2:AL2"/>
    <mergeCell ref="E3:N3"/>
    <mergeCell ref="Q3:Z3"/>
    <mergeCell ref="AC3:AL3"/>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177"/>
  <sheetViews>
    <sheetView showGridLines="0" topLeftCell="A148" workbookViewId="0">
      <selection activeCell="B178" sqref="B178"/>
    </sheetView>
  </sheetViews>
  <sheetFormatPr defaultColWidth="11.42578125" defaultRowHeight="15" outlineLevelRow="1" x14ac:dyDescent="0.25"/>
  <cols>
    <col min="2" max="2" width="53.85546875" customWidth="1"/>
  </cols>
  <sheetData>
    <row r="1" spans="1:38" x14ac:dyDescent="0.25">
      <c r="A1" s="18" t="s">
        <v>215</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row>
    <row r="2" spans="1:38" x14ac:dyDescent="0.25">
      <c r="C2" s="19" t="s">
        <v>2</v>
      </c>
      <c r="D2" s="19"/>
      <c r="E2" s="19"/>
      <c r="F2" s="19"/>
      <c r="G2" s="19"/>
      <c r="H2" s="19"/>
      <c r="I2" s="19"/>
      <c r="J2" s="19"/>
      <c r="K2" s="19"/>
      <c r="L2" s="19"/>
      <c r="M2" s="19"/>
      <c r="N2" s="19"/>
      <c r="O2" s="19" t="s">
        <v>3</v>
      </c>
      <c r="P2" s="19"/>
      <c r="Q2" s="19"/>
      <c r="R2" s="19"/>
      <c r="S2" s="19"/>
      <c r="T2" s="19"/>
      <c r="U2" s="19"/>
      <c r="V2" s="19"/>
      <c r="W2" s="19"/>
      <c r="X2" s="19"/>
      <c r="Y2" s="19"/>
      <c r="Z2" s="19"/>
      <c r="AA2" s="19" t="s">
        <v>4</v>
      </c>
      <c r="AB2" s="19"/>
      <c r="AC2" s="19"/>
      <c r="AD2" s="19"/>
      <c r="AE2" s="19"/>
      <c r="AF2" s="19"/>
      <c r="AG2" s="19"/>
      <c r="AH2" s="19"/>
      <c r="AI2" s="19"/>
      <c r="AJ2" s="19"/>
      <c r="AK2" s="19"/>
      <c r="AL2" s="19"/>
    </row>
    <row r="3" spans="1:38" x14ac:dyDescent="0.25">
      <c r="E3" s="19" t="s">
        <v>216</v>
      </c>
      <c r="F3" s="19"/>
      <c r="G3" s="19"/>
      <c r="H3" s="19"/>
      <c r="I3" s="19"/>
      <c r="J3" s="19"/>
      <c r="K3" s="19"/>
      <c r="L3" s="19"/>
      <c r="M3" s="19"/>
      <c r="N3" s="19"/>
      <c r="Q3" s="19" t="s">
        <v>216</v>
      </c>
      <c r="R3" s="19"/>
      <c r="S3" s="19"/>
      <c r="T3" s="19"/>
      <c r="U3" s="19"/>
      <c r="V3" s="19"/>
      <c r="W3" s="19"/>
      <c r="X3" s="19"/>
      <c r="Y3" s="19"/>
      <c r="Z3" s="19"/>
      <c r="AC3" s="19" t="s">
        <v>216</v>
      </c>
      <c r="AD3" s="19"/>
      <c r="AE3" s="19"/>
      <c r="AF3" s="19"/>
      <c r="AG3" s="19"/>
      <c r="AH3" s="19"/>
      <c r="AI3" s="19"/>
      <c r="AJ3" s="19"/>
      <c r="AK3" s="19"/>
      <c r="AL3" s="19"/>
    </row>
    <row r="4" spans="1:38" x14ac:dyDescent="0.25">
      <c r="C4" s="19" t="s">
        <v>130</v>
      </c>
      <c r="D4" s="19"/>
      <c r="E4" s="19" t="s">
        <v>133</v>
      </c>
      <c r="F4" s="19"/>
      <c r="G4" s="19" t="s">
        <v>217</v>
      </c>
      <c r="H4" s="19"/>
      <c r="I4" s="19" t="s">
        <v>218</v>
      </c>
      <c r="J4" s="19"/>
      <c r="K4" s="19" t="s">
        <v>219</v>
      </c>
      <c r="L4" s="19"/>
      <c r="M4" s="19" t="s">
        <v>220</v>
      </c>
      <c r="N4" s="19"/>
      <c r="O4" s="19" t="s">
        <v>130</v>
      </c>
      <c r="P4" s="19"/>
      <c r="Q4" s="19" t="s">
        <v>133</v>
      </c>
      <c r="R4" s="19"/>
      <c r="S4" s="19" t="s">
        <v>217</v>
      </c>
      <c r="T4" s="19"/>
      <c r="U4" s="19" t="s">
        <v>218</v>
      </c>
      <c r="V4" s="19"/>
      <c r="W4" s="19" t="s">
        <v>219</v>
      </c>
      <c r="X4" s="19"/>
      <c r="Y4" s="19" t="s">
        <v>220</v>
      </c>
      <c r="Z4" s="19"/>
      <c r="AA4" s="19" t="s">
        <v>130</v>
      </c>
      <c r="AB4" s="19"/>
      <c r="AC4" s="19" t="s">
        <v>133</v>
      </c>
      <c r="AD4" s="19"/>
      <c r="AE4" s="19" t="s">
        <v>217</v>
      </c>
      <c r="AF4" s="19"/>
      <c r="AG4" s="19" t="s">
        <v>218</v>
      </c>
      <c r="AH4" s="19"/>
      <c r="AI4" s="19" t="s">
        <v>219</v>
      </c>
      <c r="AJ4" s="19"/>
      <c r="AK4" s="19" t="s">
        <v>220</v>
      </c>
      <c r="AL4" s="19"/>
    </row>
    <row r="5" spans="1:38" x14ac:dyDescent="0.25">
      <c r="A5" s="1" t="s">
        <v>11</v>
      </c>
      <c r="B5" s="1" t="s">
        <v>12</v>
      </c>
      <c r="C5" s="1" t="s">
        <v>13</v>
      </c>
      <c r="D5" s="1" t="s">
        <v>14</v>
      </c>
      <c r="E5" s="1" t="s">
        <v>13</v>
      </c>
      <c r="F5" s="1" t="s">
        <v>14</v>
      </c>
      <c r="G5" s="1" t="s">
        <v>13</v>
      </c>
      <c r="H5" s="1" t="s">
        <v>14</v>
      </c>
      <c r="I5" s="1" t="s">
        <v>13</v>
      </c>
      <c r="J5" s="1" t="s">
        <v>14</v>
      </c>
      <c r="K5" s="1" t="s">
        <v>13</v>
      </c>
      <c r="L5" s="1" t="s">
        <v>14</v>
      </c>
      <c r="M5" s="1" t="s">
        <v>13</v>
      </c>
      <c r="N5" s="1" t="s">
        <v>14</v>
      </c>
      <c r="O5" s="1" t="s">
        <v>13</v>
      </c>
      <c r="P5" s="1" t="s">
        <v>14</v>
      </c>
      <c r="Q5" s="1" t="s">
        <v>13</v>
      </c>
      <c r="R5" s="1" t="s">
        <v>14</v>
      </c>
      <c r="S5" s="1" t="s">
        <v>13</v>
      </c>
      <c r="T5" s="1" t="s">
        <v>14</v>
      </c>
      <c r="U5" s="1" t="s">
        <v>13</v>
      </c>
      <c r="V5" s="1" t="s">
        <v>14</v>
      </c>
      <c r="W5" s="1" t="s">
        <v>13</v>
      </c>
      <c r="X5" s="1" t="s">
        <v>14</v>
      </c>
      <c r="Y5" s="1" t="s">
        <v>13</v>
      </c>
      <c r="Z5" s="1" t="s">
        <v>14</v>
      </c>
      <c r="AA5" s="1" t="s">
        <v>13</v>
      </c>
      <c r="AB5" s="1" t="s">
        <v>14</v>
      </c>
      <c r="AC5" s="1" t="s">
        <v>13</v>
      </c>
      <c r="AD5" s="1" t="s">
        <v>14</v>
      </c>
      <c r="AE5" s="1" t="s">
        <v>13</v>
      </c>
      <c r="AF5" s="1" t="s">
        <v>14</v>
      </c>
      <c r="AG5" s="1" t="s">
        <v>13</v>
      </c>
      <c r="AH5" s="1" t="s">
        <v>14</v>
      </c>
      <c r="AI5" s="1" t="s">
        <v>13</v>
      </c>
      <c r="AJ5" s="1" t="s">
        <v>14</v>
      </c>
      <c r="AK5" s="1" t="s">
        <v>13</v>
      </c>
      <c r="AL5" s="1" t="s">
        <v>14</v>
      </c>
    </row>
    <row r="6" spans="1:38" x14ac:dyDescent="0.25">
      <c r="A6" s="19" t="s">
        <v>2</v>
      </c>
      <c r="B6" s="19"/>
      <c r="C6" s="20"/>
      <c r="D6" s="19"/>
      <c r="E6" s="20"/>
      <c r="F6" s="19"/>
      <c r="G6" s="20"/>
      <c r="H6" s="19"/>
      <c r="I6" s="20"/>
      <c r="J6" s="19"/>
      <c r="K6" s="20"/>
      <c r="L6" s="19"/>
      <c r="M6" s="20"/>
      <c r="N6" s="19"/>
      <c r="O6" s="20"/>
      <c r="P6" s="19"/>
      <c r="Q6" s="20"/>
      <c r="R6" s="19"/>
      <c r="S6" s="20"/>
      <c r="T6" s="19"/>
      <c r="U6" s="20"/>
      <c r="V6" s="19"/>
      <c r="W6" s="20"/>
      <c r="X6" s="19"/>
      <c r="Y6" s="20"/>
      <c r="Z6" s="19"/>
      <c r="AA6" s="20"/>
      <c r="AB6" s="19"/>
      <c r="AC6" s="20"/>
      <c r="AD6" s="19"/>
      <c r="AE6" s="20"/>
      <c r="AF6" s="19"/>
      <c r="AG6" s="20"/>
      <c r="AH6" s="19"/>
      <c r="AI6" s="20"/>
      <c r="AJ6" s="19"/>
      <c r="AK6" s="20"/>
      <c r="AL6" s="19"/>
    </row>
    <row r="7" spans="1:38" outlineLevel="1" x14ac:dyDescent="0.25">
      <c r="A7" s="2" t="s">
        <v>15</v>
      </c>
      <c r="B7" s="3" t="s">
        <v>2</v>
      </c>
      <c r="C7" s="13">
        <v>1.00275967962062E-2</v>
      </c>
      <c r="D7" s="3">
        <v>6582</v>
      </c>
      <c r="E7" s="13">
        <v>1.6951712587784901E-2</v>
      </c>
      <c r="F7" s="3">
        <v>6582</v>
      </c>
      <c r="G7" s="13">
        <v>2.4908775483773399E-3</v>
      </c>
      <c r="H7" s="3">
        <v>6582</v>
      </c>
      <c r="I7" s="13">
        <v>8.6067000213354092E-3</v>
      </c>
      <c r="J7" s="3">
        <v>6582</v>
      </c>
      <c r="K7" s="13">
        <v>3.6803356826969703E-2</v>
      </c>
      <c r="L7" s="3">
        <v>6582</v>
      </c>
      <c r="M7" s="13">
        <v>0.99850511554714505</v>
      </c>
      <c r="N7" s="3">
        <v>6582</v>
      </c>
      <c r="O7" s="13">
        <v>7.1457711576074397E-3</v>
      </c>
      <c r="P7" s="3">
        <v>3329</v>
      </c>
      <c r="Q7" s="13">
        <v>1.4597618008734299E-2</v>
      </c>
      <c r="R7" s="3">
        <v>3329</v>
      </c>
      <c r="S7" s="13">
        <v>1.8216019047359901E-3</v>
      </c>
      <c r="T7" s="3">
        <v>3329</v>
      </c>
      <c r="U7" s="13">
        <v>6.4440548930239103E-3</v>
      </c>
      <c r="V7" s="3">
        <v>3329</v>
      </c>
      <c r="W7" s="13">
        <v>3.7641242502882602E-2</v>
      </c>
      <c r="X7" s="3">
        <v>3329</v>
      </c>
      <c r="Y7" s="13">
        <v>0.99765929089764704</v>
      </c>
      <c r="Z7" s="3">
        <v>3329</v>
      </c>
      <c r="AA7" s="13">
        <v>1.3161297282814999E-2</v>
      </c>
      <c r="AB7" s="3">
        <v>3247</v>
      </c>
      <c r="AC7" s="13">
        <v>1.9517601200924301E-2</v>
      </c>
      <c r="AD7" s="3">
        <v>3247</v>
      </c>
      <c r="AE7" s="13">
        <v>3.21876045065672E-3</v>
      </c>
      <c r="AF7" s="3">
        <v>3247</v>
      </c>
      <c r="AG7" s="13">
        <v>1.0959108931027899E-2</v>
      </c>
      <c r="AH7" s="3">
        <v>3247</v>
      </c>
      <c r="AI7" s="13">
        <v>3.5919639566614397E-2</v>
      </c>
      <c r="AJ7" s="3">
        <v>3247</v>
      </c>
      <c r="AK7" s="13">
        <v>0.99942180461297403</v>
      </c>
      <c r="AL7" s="4">
        <v>3247</v>
      </c>
    </row>
    <row r="8" spans="1:38" x14ac:dyDescent="0.25">
      <c r="C8" s="16"/>
      <c r="E8" s="16"/>
      <c r="G8" s="16"/>
      <c r="I8" s="16"/>
      <c r="K8" s="16"/>
      <c r="M8" s="16"/>
      <c r="O8" s="16"/>
      <c r="Q8" s="16"/>
      <c r="S8" s="16"/>
      <c r="U8" s="16"/>
      <c r="W8" s="16"/>
      <c r="Y8" s="16"/>
      <c r="AA8" s="16"/>
      <c r="AC8" s="16"/>
      <c r="AE8" s="16"/>
      <c r="AG8" s="16"/>
      <c r="AI8" s="16"/>
      <c r="AK8" s="16"/>
    </row>
    <row r="9" spans="1:38" x14ac:dyDescent="0.25">
      <c r="A9" s="19" t="s">
        <v>16</v>
      </c>
      <c r="B9" s="19"/>
      <c r="C9" s="20"/>
      <c r="D9" s="19"/>
      <c r="E9" s="20"/>
      <c r="F9" s="19"/>
      <c r="G9" s="20"/>
      <c r="H9" s="19"/>
      <c r="I9" s="20"/>
      <c r="J9" s="19"/>
      <c r="K9" s="20"/>
      <c r="L9" s="19"/>
      <c r="M9" s="20"/>
      <c r="N9" s="19"/>
      <c r="O9" s="20"/>
      <c r="P9" s="19"/>
      <c r="Q9" s="20"/>
      <c r="R9" s="19"/>
      <c r="S9" s="20"/>
      <c r="T9" s="19"/>
      <c r="U9" s="20"/>
      <c r="V9" s="19"/>
      <c r="W9" s="20"/>
      <c r="X9" s="19"/>
      <c r="Y9" s="20"/>
      <c r="Z9" s="19"/>
      <c r="AA9" s="20"/>
      <c r="AB9" s="19"/>
      <c r="AC9" s="20"/>
      <c r="AD9" s="19"/>
      <c r="AE9" s="20"/>
      <c r="AF9" s="19"/>
      <c r="AG9" s="20"/>
      <c r="AH9" s="19"/>
      <c r="AI9" s="20"/>
      <c r="AJ9" s="19"/>
      <c r="AK9" s="20"/>
      <c r="AL9" s="19"/>
    </row>
    <row r="10" spans="1:38" outlineLevel="1" x14ac:dyDescent="0.25">
      <c r="A10" s="5" t="s">
        <v>15</v>
      </c>
      <c r="B10" s="8" t="s">
        <v>17</v>
      </c>
      <c r="C10" s="14">
        <v>9.2683234426310691E-3</v>
      </c>
      <c r="D10" s="8">
        <v>473</v>
      </c>
      <c r="E10" s="14">
        <v>1.6714475829381601E-2</v>
      </c>
      <c r="F10" s="8">
        <v>473</v>
      </c>
      <c r="G10" s="14">
        <v>4.1191337220591003E-5</v>
      </c>
      <c r="H10" s="8">
        <v>473</v>
      </c>
      <c r="I10" s="14">
        <v>9.2271321054104693E-3</v>
      </c>
      <c r="J10" s="8">
        <v>473</v>
      </c>
      <c r="K10" s="14">
        <v>6.5935683049604996E-2</v>
      </c>
      <c r="L10" s="8">
        <v>473</v>
      </c>
      <c r="M10" s="14">
        <v>1</v>
      </c>
      <c r="N10" s="8">
        <v>473</v>
      </c>
      <c r="O10" s="14">
        <v>1.04665942097831E-2</v>
      </c>
      <c r="P10" s="8">
        <v>219</v>
      </c>
      <c r="Q10" s="14">
        <v>1.65127016721217E-2</v>
      </c>
      <c r="R10" s="8">
        <v>219</v>
      </c>
      <c r="S10" s="14"/>
      <c r="T10" s="8"/>
      <c r="U10" s="14">
        <v>1.04665942097831E-2</v>
      </c>
      <c r="V10" s="8">
        <v>219</v>
      </c>
      <c r="W10" s="14">
        <v>5.9293111723097397E-2</v>
      </c>
      <c r="X10" s="8">
        <v>219</v>
      </c>
      <c r="Y10" s="14">
        <v>1</v>
      </c>
      <c r="Z10" s="8">
        <v>219</v>
      </c>
      <c r="AA10" s="14">
        <v>8.1816528812526101E-3</v>
      </c>
      <c r="AB10" s="8">
        <v>253</v>
      </c>
      <c r="AC10" s="14">
        <v>1.6927169568643201E-2</v>
      </c>
      <c r="AD10" s="8">
        <v>253</v>
      </c>
      <c r="AE10" s="14">
        <v>7.9131300229517894E-5</v>
      </c>
      <c r="AF10" s="8">
        <v>253</v>
      </c>
      <c r="AG10" s="14">
        <v>8.1025215810230904E-3</v>
      </c>
      <c r="AH10" s="8">
        <v>253</v>
      </c>
      <c r="AI10" s="14">
        <v>7.2150331929818498E-2</v>
      </c>
      <c r="AJ10" s="8">
        <v>253</v>
      </c>
      <c r="AK10" s="14">
        <v>1</v>
      </c>
      <c r="AL10" s="10">
        <v>253</v>
      </c>
    </row>
    <row r="11" spans="1:38" outlineLevel="1" x14ac:dyDescent="0.25">
      <c r="A11" s="6" t="s">
        <v>15</v>
      </c>
      <c r="B11" t="s">
        <v>18</v>
      </c>
      <c r="C11" s="16">
        <v>1.0307217914618401E-2</v>
      </c>
      <c r="D11">
        <v>2614</v>
      </c>
      <c r="E11" s="16">
        <v>2.09070532542408E-2</v>
      </c>
      <c r="F11">
        <v>2614</v>
      </c>
      <c r="G11" s="16">
        <v>1.4126213393179799E-3</v>
      </c>
      <c r="H11">
        <v>2614</v>
      </c>
      <c r="I11" s="16">
        <v>8.901188428611E-3</v>
      </c>
      <c r="J11">
        <v>2614</v>
      </c>
      <c r="K11" s="16">
        <v>4.3811150210204097E-2</v>
      </c>
      <c r="L11">
        <v>2614</v>
      </c>
      <c r="M11" s="16">
        <v>0.99887208114847403</v>
      </c>
      <c r="N11">
        <v>2614</v>
      </c>
      <c r="O11" s="16">
        <v>2.9053204059020701E-3</v>
      </c>
      <c r="P11">
        <v>1301</v>
      </c>
      <c r="Q11" s="16">
        <v>1.7673480563349199E-2</v>
      </c>
      <c r="R11">
        <v>1301</v>
      </c>
      <c r="S11" s="16">
        <v>4.1807992464872002E-4</v>
      </c>
      <c r="T11">
        <v>1301</v>
      </c>
      <c r="U11" s="16">
        <v>2.48724048125335E-3</v>
      </c>
      <c r="V11">
        <v>1301</v>
      </c>
      <c r="W11" s="16">
        <v>4.70804308965782E-2</v>
      </c>
      <c r="X11">
        <v>1301</v>
      </c>
      <c r="Y11" s="16">
        <v>0.998923724609738</v>
      </c>
      <c r="Z11">
        <v>1301</v>
      </c>
      <c r="AA11" s="16">
        <v>1.85506074714974E-2</v>
      </c>
      <c r="AB11">
        <v>1311</v>
      </c>
      <c r="AC11" s="16">
        <v>2.4511691539169999E-2</v>
      </c>
      <c r="AD11">
        <v>1311</v>
      </c>
      <c r="AE11" s="16">
        <v>2.5202340139921699E-3</v>
      </c>
      <c r="AF11">
        <v>1311</v>
      </c>
      <c r="AG11" s="16">
        <v>1.60443060207647E-2</v>
      </c>
      <c r="AH11">
        <v>1311</v>
      </c>
      <c r="AI11" s="16">
        <v>4.0180380376232103E-2</v>
      </c>
      <c r="AJ11">
        <v>1311</v>
      </c>
      <c r="AK11" s="16">
        <v>0.99881434422271997</v>
      </c>
      <c r="AL11" s="11">
        <v>1311</v>
      </c>
    </row>
    <row r="12" spans="1:38" outlineLevel="1" x14ac:dyDescent="0.25">
      <c r="A12" s="6" t="s">
        <v>15</v>
      </c>
      <c r="B12" t="s">
        <v>19</v>
      </c>
      <c r="C12" s="16">
        <v>8.2936161709776905E-3</v>
      </c>
      <c r="D12">
        <v>2116</v>
      </c>
      <c r="E12" s="16">
        <v>1.1666160034293801E-2</v>
      </c>
      <c r="F12">
        <v>2116</v>
      </c>
      <c r="G12" s="16">
        <v>4.5086513605777897E-3</v>
      </c>
      <c r="H12">
        <v>2116</v>
      </c>
      <c r="I12" s="16">
        <v>5.7413856764633401E-3</v>
      </c>
      <c r="J12">
        <v>2116</v>
      </c>
      <c r="K12" s="16">
        <v>2.4333105089608498E-2</v>
      </c>
      <c r="L12">
        <v>2116</v>
      </c>
      <c r="M12" s="16">
        <v>0.99795820606645502</v>
      </c>
      <c r="N12">
        <v>2116</v>
      </c>
      <c r="O12" s="16">
        <v>5.4911038366430697E-3</v>
      </c>
      <c r="P12">
        <v>1075</v>
      </c>
      <c r="Q12" s="16">
        <v>8.4984340890149196E-3</v>
      </c>
      <c r="R12">
        <v>1075</v>
      </c>
      <c r="S12" s="16">
        <v>5.0487096627823899E-3</v>
      </c>
      <c r="T12">
        <v>1075</v>
      </c>
      <c r="U12" s="16">
        <v>3.8746631618511102E-3</v>
      </c>
      <c r="V12">
        <v>1075</v>
      </c>
      <c r="W12" s="16">
        <v>2.0314819474173601E-2</v>
      </c>
      <c r="X12">
        <v>1075</v>
      </c>
      <c r="Y12" s="16">
        <v>0.99630335124657199</v>
      </c>
      <c r="Z12">
        <v>1075</v>
      </c>
      <c r="AA12" s="16">
        <v>1.12720625889838E-2</v>
      </c>
      <c r="AB12">
        <v>1039</v>
      </c>
      <c r="AC12" s="16">
        <v>1.50362978024903E-2</v>
      </c>
      <c r="AD12">
        <v>1039</v>
      </c>
      <c r="AE12" s="16">
        <v>3.9441510972207001E-3</v>
      </c>
      <c r="AF12">
        <v>1039</v>
      </c>
      <c r="AG12" s="16">
        <v>7.7256322951998503E-3</v>
      </c>
      <c r="AH12">
        <v>1039</v>
      </c>
      <c r="AI12" s="16">
        <v>2.8622923573563899E-2</v>
      </c>
      <c r="AJ12">
        <v>1039</v>
      </c>
      <c r="AK12" s="16">
        <v>0.99970619737446997</v>
      </c>
      <c r="AL12" s="11">
        <v>1039</v>
      </c>
    </row>
    <row r="13" spans="1:38" outlineLevel="1" x14ac:dyDescent="0.25">
      <c r="A13" s="7" t="s">
        <v>15</v>
      </c>
      <c r="B13" s="9" t="s">
        <v>20</v>
      </c>
      <c r="C13" s="15">
        <v>1.22478340153443E-2</v>
      </c>
      <c r="D13" s="9">
        <v>1379</v>
      </c>
      <c r="E13" s="15">
        <v>1.7196460310729401E-2</v>
      </c>
      <c r="F13" s="9">
        <v>1379</v>
      </c>
      <c r="G13" s="15">
        <v>2.3496167039420198E-3</v>
      </c>
      <c r="H13" s="9">
        <v>1379</v>
      </c>
      <c r="I13" s="15">
        <v>1.20239425558354E-2</v>
      </c>
      <c r="J13" s="9">
        <v>1379</v>
      </c>
      <c r="K13" s="15">
        <v>3.27714674008188E-2</v>
      </c>
      <c r="L13" s="9">
        <v>1379</v>
      </c>
      <c r="M13" s="15">
        <v>0.99814907137102404</v>
      </c>
      <c r="N13" s="9">
        <v>1379</v>
      </c>
      <c r="O13" s="15">
        <v>1.6572431453827498E-2</v>
      </c>
      <c r="P13" s="9">
        <v>734</v>
      </c>
      <c r="Q13" s="15">
        <v>1.6862018936357099E-2</v>
      </c>
      <c r="R13" s="9">
        <v>734</v>
      </c>
      <c r="S13" s="15">
        <v>4.22609029180441E-4</v>
      </c>
      <c r="T13" s="9">
        <v>734</v>
      </c>
      <c r="U13" s="15">
        <v>1.6431963374792601E-2</v>
      </c>
      <c r="V13" s="9">
        <v>734</v>
      </c>
      <c r="W13" s="15">
        <v>3.8299577158317402E-2</v>
      </c>
      <c r="X13" s="9">
        <v>734</v>
      </c>
      <c r="Y13" s="15">
        <v>0.99654082646356201</v>
      </c>
      <c r="Z13" s="9">
        <v>734</v>
      </c>
      <c r="AA13" s="15">
        <v>7.3753958600927799E-3</v>
      </c>
      <c r="AB13" s="9">
        <v>644</v>
      </c>
      <c r="AC13" s="15">
        <v>1.7573285655553099E-2</v>
      </c>
      <c r="AD13" s="9">
        <v>644</v>
      </c>
      <c r="AE13" s="15">
        <v>4.5207452930371202E-3</v>
      </c>
      <c r="AF13" s="9">
        <v>644</v>
      </c>
      <c r="AG13" s="15">
        <v>7.0575125043527099E-3</v>
      </c>
      <c r="AH13" s="9">
        <v>644</v>
      </c>
      <c r="AI13" s="15">
        <v>2.6543071712472301E-2</v>
      </c>
      <c r="AJ13" s="9">
        <v>644</v>
      </c>
      <c r="AK13" s="15">
        <v>0.99996105152443004</v>
      </c>
      <c r="AL13" s="12">
        <v>644</v>
      </c>
    </row>
    <row r="14" spans="1:38" x14ac:dyDescent="0.25">
      <c r="C14" s="16"/>
      <c r="E14" s="16"/>
      <c r="G14" s="16"/>
      <c r="I14" s="16"/>
      <c r="K14" s="16"/>
      <c r="M14" s="16"/>
      <c r="O14" s="16"/>
      <c r="Q14" s="16"/>
      <c r="S14" s="16"/>
      <c r="U14" s="16"/>
      <c r="W14" s="16"/>
      <c r="Y14" s="16"/>
      <c r="AA14" s="16"/>
      <c r="AC14" s="16"/>
      <c r="AE14" s="16"/>
      <c r="AG14" s="16"/>
      <c r="AI14" s="16"/>
      <c r="AK14" s="16"/>
    </row>
    <row r="15" spans="1:38" x14ac:dyDescent="0.25">
      <c r="A15" s="19" t="s">
        <v>221</v>
      </c>
      <c r="B15" s="19"/>
      <c r="C15" s="20"/>
      <c r="D15" s="19"/>
      <c r="E15" s="20"/>
      <c r="F15" s="19"/>
      <c r="G15" s="20"/>
      <c r="H15" s="19"/>
      <c r="I15" s="20"/>
      <c r="J15" s="19"/>
      <c r="K15" s="20"/>
      <c r="L15" s="19"/>
      <c r="M15" s="20"/>
      <c r="N15" s="19"/>
      <c r="O15" s="20"/>
      <c r="P15" s="19"/>
      <c r="Q15" s="20"/>
      <c r="R15" s="19"/>
      <c r="S15" s="20"/>
      <c r="T15" s="19"/>
      <c r="U15" s="20"/>
      <c r="V15" s="19"/>
      <c r="W15" s="20"/>
      <c r="X15" s="19"/>
      <c r="Y15" s="20"/>
      <c r="Z15" s="19"/>
      <c r="AA15" s="20"/>
      <c r="AB15" s="19"/>
      <c r="AC15" s="20"/>
      <c r="AD15" s="19"/>
      <c r="AE15" s="20"/>
      <c r="AF15" s="19"/>
      <c r="AG15" s="20"/>
      <c r="AH15" s="19"/>
      <c r="AI15" s="20"/>
      <c r="AJ15" s="19"/>
      <c r="AK15" s="20"/>
      <c r="AL15" s="19"/>
    </row>
    <row r="16" spans="1:38" outlineLevel="1" x14ac:dyDescent="0.25">
      <c r="A16" s="5" t="s">
        <v>15</v>
      </c>
      <c r="B16" s="8" t="s">
        <v>131</v>
      </c>
      <c r="C16" s="14">
        <v>3.1434925990712403E-2</v>
      </c>
      <c r="D16" s="8">
        <v>2670</v>
      </c>
      <c r="E16" s="14">
        <v>3.6905150420987499E-2</v>
      </c>
      <c r="F16" s="8">
        <v>2670</v>
      </c>
      <c r="G16" s="14">
        <v>8.2560321467735603E-3</v>
      </c>
      <c r="H16" s="8">
        <v>2670</v>
      </c>
      <c r="I16" s="14">
        <v>2.6820793816962799E-2</v>
      </c>
      <c r="J16" s="8">
        <v>2670</v>
      </c>
      <c r="K16" s="14">
        <v>4.4312590331010003E-2</v>
      </c>
      <c r="L16" s="8">
        <v>2670</v>
      </c>
      <c r="M16" s="14">
        <v>0.995725565951602</v>
      </c>
      <c r="N16" s="8">
        <v>2670</v>
      </c>
      <c r="O16" s="14">
        <v>2.1820937853776898E-2</v>
      </c>
      <c r="P16" s="8">
        <v>1332</v>
      </c>
      <c r="Q16" s="14">
        <v>2.49506027785046E-2</v>
      </c>
      <c r="R16" s="8">
        <v>1332</v>
      </c>
      <c r="S16" s="14">
        <v>6.1088076422450297E-3</v>
      </c>
      <c r="T16" s="8">
        <v>1332</v>
      </c>
      <c r="U16" s="14">
        <v>1.9581206083261499E-2</v>
      </c>
      <c r="V16" s="8">
        <v>1332</v>
      </c>
      <c r="W16" s="14">
        <v>3.4209479746362202E-2</v>
      </c>
      <c r="X16" s="8">
        <v>1332</v>
      </c>
      <c r="Y16" s="14">
        <v>0.993474713068211</v>
      </c>
      <c r="Z16" s="8">
        <v>1332</v>
      </c>
      <c r="AA16" s="14">
        <v>4.1572762920412801E-2</v>
      </c>
      <c r="AB16" s="8">
        <v>1334</v>
      </c>
      <c r="AC16" s="14">
        <v>4.9509472042802302E-2</v>
      </c>
      <c r="AD16" s="8">
        <v>1334</v>
      </c>
      <c r="AE16" s="14">
        <v>1.05211648246261E-2</v>
      </c>
      <c r="AF16" s="8">
        <v>1334</v>
      </c>
      <c r="AG16" s="14">
        <v>3.4457173271573403E-2</v>
      </c>
      <c r="AH16" s="8">
        <v>1334</v>
      </c>
      <c r="AI16" s="14">
        <v>5.4974508076621097E-2</v>
      </c>
      <c r="AJ16" s="8">
        <v>1334</v>
      </c>
      <c r="AK16" s="14">
        <v>0.99809049478029899</v>
      </c>
      <c r="AL16" s="10">
        <v>1334</v>
      </c>
    </row>
    <row r="17" spans="1:38" outlineLevel="1" x14ac:dyDescent="0.25">
      <c r="A17" s="7" t="s">
        <v>15</v>
      </c>
      <c r="B17" s="9" t="s">
        <v>132</v>
      </c>
      <c r="C17" s="15">
        <v>1.1216285781746099E-3</v>
      </c>
      <c r="D17" s="9">
        <v>3912</v>
      </c>
      <c r="E17" s="15">
        <v>8.6505984427950201E-3</v>
      </c>
      <c r="F17" s="9">
        <v>3912</v>
      </c>
      <c r="G17" s="15">
        <v>9.2433391292479796E-5</v>
      </c>
      <c r="H17" s="9">
        <v>3912</v>
      </c>
      <c r="I17" s="15">
        <v>1.0291951868821301E-3</v>
      </c>
      <c r="J17" s="9">
        <v>3912</v>
      </c>
      <c r="K17" s="15">
        <v>3.3679333539378797E-2</v>
      </c>
      <c r="L17" s="9">
        <v>3912</v>
      </c>
      <c r="M17" s="15">
        <v>0.99966147560184604</v>
      </c>
      <c r="N17" s="9">
        <v>3912</v>
      </c>
      <c r="O17" s="15">
        <v>1.16782599356703E-3</v>
      </c>
      <c r="P17" s="9">
        <v>1997</v>
      </c>
      <c r="Q17" s="15">
        <v>1.0380318367839101E-2</v>
      </c>
      <c r="R17" s="9">
        <v>1997</v>
      </c>
      <c r="S17" s="15">
        <v>7.5203970293571799E-5</v>
      </c>
      <c r="T17" s="9">
        <v>1997</v>
      </c>
      <c r="U17" s="15">
        <v>1.0926220232734601E-3</v>
      </c>
      <c r="V17" s="9">
        <v>1997</v>
      </c>
      <c r="W17" s="15">
        <v>3.9039174805745598E-2</v>
      </c>
      <c r="X17" s="9">
        <v>1997</v>
      </c>
      <c r="Y17" s="15">
        <v>0.99936388324176995</v>
      </c>
      <c r="Z17" s="9">
        <v>1997</v>
      </c>
      <c r="AA17" s="15">
        <v>1.0716086866636701E-3</v>
      </c>
      <c r="AB17" s="9">
        <v>1913</v>
      </c>
      <c r="AC17" s="15">
        <v>6.7554162605434898E-3</v>
      </c>
      <c r="AD17" s="9">
        <v>1913</v>
      </c>
      <c r="AE17" s="15">
        <v>1.1143061380257099E-4</v>
      </c>
      <c r="AF17" s="9">
        <v>1913</v>
      </c>
      <c r="AG17" s="15">
        <v>9.6017807286109997E-4</v>
      </c>
      <c r="AH17" s="9">
        <v>1913</v>
      </c>
      <c r="AI17" s="15">
        <v>2.7811383925562899E-2</v>
      </c>
      <c r="AJ17" s="9">
        <v>1913</v>
      </c>
      <c r="AK17" s="15">
        <v>0.99998830552874296</v>
      </c>
      <c r="AL17" s="12">
        <v>1913</v>
      </c>
    </row>
    <row r="18" spans="1:38" x14ac:dyDescent="0.25">
      <c r="C18" s="16"/>
      <c r="E18" s="16"/>
      <c r="G18" s="16"/>
      <c r="I18" s="16"/>
      <c r="K18" s="16"/>
      <c r="M18" s="16"/>
      <c r="O18" s="16"/>
      <c r="Q18" s="16"/>
      <c r="S18" s="16"/>
      <c r="U18" s="16"/>
      <c r="W18" s="16"/>
      <c r="Y18" s="16"/>
      <c r="AA18" s="16"/>
      <c r="AC18" s="16"/>
      <c r="AE18" s="16"/>
      <c r="AG18" s="16"/>
      <c r="AI18" s="16"/>
      <c r="AK18" s="16"/>
    </row>
    <row r="19" spans="1:38" x14ac:dyDescent="0.25">
      <c r="A19" s="19" t="s">
        <v>21</v>
      </c>
      <c r="B19" s="19"/>
      <c r="C19" s="20"/>
      <c r="D19" s="19"/>
      <c r="E19" s="20"/>
      <c r="F19" s="19"/>
      <c r="G19" s="20"/>
      <c r="H19" s="19"/>
      <c r="I19" s="20"/>
      <c r="J19" s="19"/>
      <c r="K19" s="20"/>
      <c r="L19" s="19"/>
      <c r="M19" s="20"/>
      <c r="N19" s="19"/>
      <c r="O19" s="20"/>
      <c r="P19" s="19"/>
      <c r="Q19" s="20"/>
      <c r="R19" s="19"/>
      <c r="S19" s="20"/>
      <c r="T19" s="19"/>
      <c r="U19" s="20"/>
      <c r="V19" s="19"/>
      <c r="W19" s="20"/>
      <c r="X19" s="19"/>
      <c r="Y19" s="20"/>
      <c r="Z19" s="19"/>
      <c r="AA19" s="20"/>
      <c r="AB19" s="19"/>
      <c r="AC19" s="20"/>
      <c r="AD19" s="19"/>
      <c r="AE19" s="20"/>
      <c r="AF19" s="19"/>
      <c r="AG19" s="20"/>
      <c r="AH19" s="19"/>
      <c r="AI19" s="20"/>
      <c r="AJ19" s="19"/>
      <c r="AK19" s="20"/>
      <c r="AL19" s="19"/>
    </row>
    <row r="20" spans="1:38" outlineLevel="1" x14ac:dyDescent="0.25">
      <c r="A20" s="5" t="s">
        <v>15</v>
      </c>
      <c r="B20" s="8" t="s">
        <v>23</v>
      </c>
      <c r="C20" s="14">
        <v>9.1667086636615606E-3</v>
      </c>
      <c r="D20" s="8">
        <v>406</v>
      </c>
      <c r="E20" s="14">
        <v>1.93263808713568E-2</v>
      </c>
      <c r="F20" s="8">
        <v>406</v>
      </c>
      <c r="G20" s="14">
        <v>4.5833543318307803E-3</v>
      </c>
      <c r="H20" s="8">
        <v>406</v>
      </c>
      <c r="I20" s="14">
        <v>9.1667086636615606E-3</v>
      </c>
      <c r="J20" s="8">
        <v>406</v>
      </c>
      <c r="K20" s="14">
        <v>7.2225687381579598E-2</v>
      </c>
      <c r="L20" s="8">
        <v>406</v>
      </c>
      <c r="M20" s="14">
        <v>1</v>
      </c>
      <c r="N20" s="8">
        <v>406</v>
      </c>
      <c r="O20" s="14"/>
      <c r="P20" s="8"/>
      <c r="Q20" s="14">
        <v>1.88622768191175E-2</v>
      </c>
      <c r="R20" s="8">
        <v>210</v>
      </c>
      <c r="S20" s="14"/>
      <c r="T20" s="8"/>
      <c r="U20" s="14"/>
      <c r="V20" s="8"/>
      <c r="W20" s="14">
        <v>7.2614569161191703E-2</v>
      </c>
      <c r="X20" s="8">
        <v>210</v>
      </c>
      <c r="Y20" s="14">
        <v>1</v>
      </c>
      <c r="Z20" s="8">
        <v>210</v>
      </c>
      <c r="AA20" s="14">
        <v>1.93171691304268E-2</v>
      </c>
      <c r="AB20" s="8">
        <v>196</v>
      </c>
      <c r="AC20" s="14">
        <v>1.9840291589758498E-2</v>
      </c>
      <c r="AD20" s="8">
        <v>196</v>
      </c>
      <c r="AE20" s="14">
        <v>9.6585845652133896E-3</v>
      </c>
      <c r="AF20" s="8">
        <v>196</v>
      </c>
      <c r="AG20" s="14">
        <v>1.93171691304268E-2</v>
      </c>
      <c r="AH20" s="8">
        <v>196</v>
      </c>
      <c r="AI20" s="14">
        <v>7.1795071631147206E-2</v>
      </c>
      <c r="AJ20" s="8">
        <v>196</v>
      </c>
      <c r="AK20" s="14">
        <v>1</v>
      </c>
      <c r="AL20" s="10">
        <v>196</v>
      </c>
    </row>
    <row r="21" spans="1:38" outlineLevel="1" x14ac:dyDescent="0.25">
      <c r="A21" s="6" t="s">
        <v>15</v>
      </c>
      <c r="B21" t="s">
        <v>24</v>
      </c>
      <c r="C21" s="16">
        <v>8.1050416533293198E-3</v>
      </c>
      <c r="D21">
        <v>126</v>
      </c>
      <c r="E21" s="16">
        <v>8.1050416533293198E-3</v>
      </c>
      <c r="F21">
        <v>126</v>
      </c>
      <c r="G21" s="16">
        <v>8.1050416533293198E-3</v>
      </c>
      <c r="H21">
        <v>126</v>
      </c>
      <c r="I21" s="16"/>
      <c r="K21" s="16"/>
      <c r="M21" s="16">
        <v>1</v>
      </c>
      <c r="N21">
        <v>126</v>
      </c>
      <c r="O21" s="16"/>
      <c r="Q21" s="16"/>
      <c r="S21" s="16"/>
      <c r="U21" s="16"/>
      <c r="W21" s="16"/>
      <c r="Y21" s="16">
        <v>1</v>
      </c>
      <c r="Z21">
        <v>61</v>
      </c>
      <c r="AA21" s="16">
        <v>1.57655342801588E-2</v>
      </c>
      <c r="AB21">
        <v>65</v>
      </c>
      <c r="AC21" s="16">
        <v>1.57655342801588E-2</v>
      </c>
      <c r="AD21">
        <v>65</v>
      </c>
      <c r="AE21" s="16">
        <v>1.57655342801588E-2</v>
      </c>
      <c r="AF21">
        <v>65</v>
      </c>
      <c r="AG21" s="16"/>
      <c r="AI21" s="16"/>
      <c r="AK21" s="16">
        <v>1</v>
      </c>
      <c r="AL21" s="11">
        <v>65</v>
      </c>
    </row>
    <row r="22" spans="1:38" outlineLevel="1" x14ac:dyDescent="0.25">
      <c r="A22" s="6" t="s">
        <v>15</v>
      </c>
      <c r="B22" t="s">
        <v>25</v>
      </c>
      <c r="C22" s="16">
        <v>1.7490846605529801E-2</v>
      </c>
      <c r="D22">
        <v>548</v>
      </c>
      <c r="E22" s="16">
        <v>2.15503203556448E-2</v>
      </c>
      <c r="F22">
        <v>548</v>
      </c>
      <c r="G22" s="16">
        <v>6.2479327368664501E-3</v>
      </c>
      <c r="H22">
        <v>548</v>
      </c>
      <c r="I22" s="16">
        <v>1.4366880237096501E-2</v>
      </c>
      <c r="J22">
        <v>548</v>
      </c>
      <c r="K22" s="16">
        <v>7.2681655811208501E-2</v>
      </c>
      <c r="L22">
        <v>548</v>
      </c>
      <c r="M22" s="16">
        <v>1</v>
      </c>
      <c r="N22">
        <v>548</v>
      </c>
      <c r="O22" s="16">
        <v>1.29684614229903E-2</v>
      </c>
      <c r="P22">
        <v>284</v>
      </c>
      <c r="Q22" s="16">
        <v>1.47749917785782E-2</v>
      </c>
      <c r="R22">
        <v>284</v>
      </c>
      <c r="S22" s="16">
        <v>6.0325981225981696E-3</v>
      </c>
      <c r="T22">
        <v>284</v>
      </c>
      <c r="U22" s="16">
        <v>6.9358633003921404E-3</v>
      </c>
      <c r="V22">
        <v>284</v>
      </c>
      <c r="W22" s="16">
        <v>6.0736075209509799E-2</v>
      </c>
      <c r="X22">
        <v>284</v>
      </c>
      <c r="Y22" s="16">
        <v>1</v>
      </c>
      <c r="Z22">
        <v>284</v>
      </c>
      <c r="AA22" s="16">
        <v>2.2348037343107401E-2</v>
      </c>
      <c r="AB22">
        <v>264</v>
      </c>
      <c r="AC22" s="16">
        <v>2.88272465528276E-2</v>
      </c>
      <c r="AD22">
        <v>264</v>
      </c>
      <c r="AE22" s="16">
        <v>6.4792092097202001E-3</v>
      </c>
      <c r="AF22">
        <v>264</v>
      </c>
      <c r="AG22" s="16">
        <v>2.2348037343107401E-2</v>
      </c>
      <c r="AH22">
        <v>264</v>
      </c>
      <c r="AI22" s="16">
        <v>8.5511603087167098E-2</v>
      </c>
      <c r="AJ22">
        <v>264</v>
      </c>
      <c r="AK22" s="16">
        <v>1</v>
      </c>
      <c r="AL22" s="11">
        <v>264</v>
      </c>
    </row>
    <row r="23" spans="1:38" outlineLevel="1" x14ac:dyDescent="0.25">
      <c r="A23" s="6" t="s">
        <v>15</v>
      </c>
      <c r="B23" t="s">
        <v>26</v>
      </c>
      <c r="C23" s="16">
        <v>1.1164908036060199E-2</v>
      </c>
      <c r="D23">
        <v>305</v>
      </c>
      <c r="E23" s="16">
        <v>2.0326413132943401E-2</v>
      </c>
      <c r="F23">
        <v>305</v>
      </c>
      <c r="G23" s="16">
        <v>6.33483682727275E-4</v>
      </c>
      <c r="H23">
        <v>305</v>
      </c>
      <c r="I23" s="16">
        <v>1.05314243533329E-2</v>
      </c>
      <c r="J23">
        <v>305</v>
      </c>
      <c r="K23" s="16">
        <v>6.6413734438932198E-2</v>
      </c>
      <c r="L23">
        <v>305</v>
      </c>
      <c r="M23" s="16">
        <v>0.99954336024784995</v>
      </c>
      <c r="N23">
        <v>305</v>
      </c>
      <c r="O23" s="16">
        <v>2.1149527238792501E-2</v>
      </c>
      <c r="P23">
        <v>149</v>
      </c>
      <c r="Q23" s="16">
        <v>4.0381849245172297E-2</v>
      </c>
      <c r="R23">
        <v>149</v>
      </c>
      <c r="S23" s="16">
        <v>9.5860261620633197E-4</v>
      </c>
      <c r="T23">
        <v>149</v>
      </c>
      <c r="U23" s="16">
        <v>2.01909246225861E-2</v>
      </c>
      <c r="V23">
        <v>149</v>
      </c>
      <c r="W23" s="16">
        <v>5.9614171251552099E-2</v>
      </c>
      <c r="X23">
        <v>149</v>
      </c>
      <c r="Y23" s="16">
        <v>0.99904139738379405</v>
      </c>
      <c r="Z23">
        <v>149</v>
      </c>
      <c r="AA23" s="16">
        <v>2.0818177030393799E-3</v>
      </c>
      <c r="AB23">
        <v>156</v>
      </c>
      <c r="AC23" s="16">
        <v>2.0818177030393799E-3</v>
      </c>
      <c r="AD23">
        <v>156</v>
      </c>
      <c r="AE23" s="16">
        <v>3.3772031090458898E-4</v>
      </c>
      <c r="AF23">
        <v>156</v>
      </c>
      <c r="AG23" s="16">
        <v>1.7440973921347899E-3</v>
      </c>
      <c r="AH23">
        <v>156</v>
      </c>
      <c r="AI23" s="16">
        <v>7.2599353079165804E-2</v>
      </c>
      <c r="AJ23">
        <v>156</v>
      </c>
      <c r="AK23" s="16">
        <v>1</v>
      </c>
      <c r="AL23" s="11">
        <v>156</v>
      </c>
    </row>
    <row r="24" spans="1:38" outlineLevel="1" x14ac:dyDescent="0.25">
      <c r="A24" s="6" t="s">
        <v>15</v>
      </c>
      <c r="B24" t="s">
        <v>27</v>
      </c>
      <c r="C24" s="16">
        <v>1.03838624636077E-2</v>
      </c>
      <c r="D24">
        <v>796</v>
      </c>
      <c r="E24" s="16">
        <v>0.115842348473486</v>
      </c>
      <c r="F24">
        <v>796</v>
      </c>
      <c r="G24" s="16">
        <v>2.0555916202012999E-3</v>
      </c>
      <c r="H24">
        <v>796</v>
      </c>
      <c r="I24" s="16">
        <v>8.3351443172442006E-3</v>
      </c>
      <c r="J24">
        <v>796</v>
      </c>
      <c r="K24" s="16">
        <v>0.181541422445791</v>
      </c>
      <c r="L24">
        <v>796</v>
      </c>
      <c r="M24" s="16">
        <v>0.99584323420077403</v>
      </c>
      <c r="N24">
        <v>796</v>
      </c>
      <c r="O24" s="16">
        <v>1.84811387158491E-2</v>
      </c>
      <c r="P24">
        <v>380</v>
      </c>
      <c r="Q24" s="16">
        <v>0.118163521441126</v>
      </c>
      <c r="R24">
        <v>380</v>
      </c>
      <c r="S24" s="16">
        <v>1.82355977894698E-3</v>
      </c>
      <c r="T24">
        <v>380</v>
      </c>
      <c r="U24" s="16">
        <v>1.66575789369021E-2</v>
      </c>
      <c r="V24">
        <v>380</v>
      </c>
      <c r="W24" s="16">
        <v>0.184724491521635</v>
      </c>
      <c r="X24">
        <v>380</v>
      </c>
      <c r="Y24" s="16">
        <v>0.99396314724538604</v>
      </c>
      <c r="Z24">
        <v>380</v>
      </c>
      <c r="AA24" s="16">
        <v>2.3338810674280101E-3</v>
      </c>
      <c r="AB24">
        <v>414</v>
      </c>
      <c r="AC24" s="16">
        <v>0.11379338299793799</v>
      </c>
      <c r="AD24">
        <v>414</v>
      </c>
      <c r="AE24" s="16">
        <v>2.29166081609524E-3</v>
      </c>
      <c r="AF24">
        <v>414</v>
      </c>
      <c r="AG24" s="16">
        <v>5.59630036290606E-5</v>
      </c>
      <c r="AH24">
        <v>414</v>
      </c>
      <c r="AI24" s="16">
        <v>0.178783622106722</v>
      </c>
      <c r="AJ24">
        <v>414</v>
      </c>
      <c r="AK24" s="16">
        <v>0.997708339183905</v>
      </c>
      <c r="AL24" s="11">
        <v>414</v>
      </c>
    </row>
    <row r="25" spans="1:38" outlineLevel="1" x14ac:dyDescent="0.25">
      <c r="A25" s="6" t="s">
        <v>15</v>
      </c>
      <c r="B25" t="s">
        <v>28</v>
      </c>
      <c r="C25" s="16">
        <v>2.2803777035813801E-2</v>
      </c>
      <c r="D25">
        <v>634</v>
      </c>
      <c r="E25" s="16">
        <v>4.1739746831824798E-2</v>
      </c>
      <c r="F25">
        <v>634</v>
      </c>
      <c r="G25" s="16">
        <v>1.2371619194652701E-2</v>
      </c>
      <c r="H25">
        <v>634</v>
      </c>
      <c r="I25" s="16">
        <v>1.0432157841161201E-2</v>
      </c>
      <c r="J25">
        <v>634</v>
      </c>
      <c r="K25" s="16">
        <v>5.3156896614813202E-2</v>
      </c>
      <c r="L25">
        <v>634</v>
      </c>
      <c r="M25" s="16">
        <v>0.99570077397632595</v>
      </c>
      <c r="N25">
        <v>634</v>
      </c>
      <c r="O25" s="16">
        <v>1.69762440775111E-2</v>
      </c>
      <c r="P25">
        <v>320</v>
      </c>
      <c r="Q25" s="16">
        <v>3.4195208158178503E-2</v>
      </c>
      <c r="R25">
        <v>320</v>
      </c>
      <c r="S25" s="16">
        <v>7.6562241473394103E-3</v>
      </c>
      <c r="T25">
        <v>320</v>
      </c>
      <c r="U25" s="16">
        <v>9.3200199301716902E-3</v>
      </c>
      <c r="V25">
        <v>320</v>
      </c>
      <c r="W25" s="16">
        <v>5.1589990317372103E-2</v>
      </c>
      <c r="X25">
        <v>320</v>
      </c>
      <c r="Y25" s="16">
        <v>0.99201822229262804</v>
      </c>
      <c r="Z25">
        <v>320</v>
      </c>
      <c r="AA25" s="16">
        <v>2.9920555478105001E-2</v>
      </c>
      <c r="AB25">
        <v>311</v>
      </c>
      <c r="AC25" s="16">
        <v>5.1082701941352199E-2</v>
      </c>
      <c r="AD25">
        <v>311</v>
      </c>
      <c r="AE25" s="16">
        <v>1.80658615267369E-2</v>
      </c>
      <c r="AF25">
        <v>311</v>
      </c>
      <c r="AG25" s="16">
        <v>1.18546939513681E-2</v>
      </c>
      <c r="AH25">
        <v>311</v>
      </c>
      <c r="AI25" s="16">
        <v>5.5568193635285201E-2</v>
      </c>
      <c r="AJ25">
        <v>311</v>
      </c>
      <c r="AK25" s="16">
        <v>1</v>
      </c>
      <c r="AL25" s="11">
        <v>311</v>
      </c>
    </row>
    <row r="26" spans="1:38" outlineLevel="1" x14ac:dyDescent="0.25">
      <c r="A26" s="6" t="s">
        <v>15</v>
      </c>
      <c r="B26" t="s">
        <v>29</v>
      </c>
      <c r="C26" s="16">
        <v>1.3868974963661101E-4</v>
      </c>
      <c r="D26">
        <v>456</v>
      </c>
      <c r="E26" s="16">
        <v>1.3868974963661101E-4</v>
      </c>
      <c r="F26">
        <v>456</v>
      </c>
      <c r="G26" s="16"/>
      <c r="I26" s="16">
        <v>1.3868974963661101E-4</v>
      </c>
      <c r="J26">
        <v>456</v>
      </c>
      <c r="K26" s="16">
        <v>1.3415592085579501E-2</v>
      </c>
      <c r="L26">
        <v>456</v>
      </c>
      <c r="M26" s="16">
        <v>1</v>
      </c>
      <c r="N26">
        <v>456</v>
      </c>
      <c r="O26" s="16"/>
      <c r="Q26" s="16"/>
      <c r="S26" s="16"/>
      <c r="U26" s="16"/>
      <c r="W26" s="16">
        <v>2.4062507502682899E-2</v>
      </c>
      <c r="X26">
        <v>234</v>
      </c>
      <c r="Y26" s="16">
        <v>1</v>
      </c>
      <c r="Z26">
        <v>234</v>
      </c>
      <c r="AA26" s="16">
        <v>2.9799750686799298E-4</v>
      </c>
      <c r="AB26">
        <v>222</v>
      </c>
      <c r="AC26" s="16">
        <v>2.9799750686799298E-4</v>
      </c>
      <c r="AD26">
        <v>222</v>
      </c>
      <c r="AE26" s="16"/>
      <c r="AG26" s="16">
        <v>2.9799750686799298E-4</v>
      </c>
      <c r="AH26">
        <v>222</v>
      </c>
      <c r="AI26" s="16">
        <v>1.1858763281057099E-3</v>
      </c>
      <c r="AJ26">
        <v>222</v>
      </c>
      <c r="AK26" s="16">
        <v>1</v>
      </c>
      <c r="AL26" s="11">
        <v>222</v>
      </c>
    </row>
    <row r="27" spans="1:38" outlineLevel="1" x14ac:dyDescent="0.25">
      <c r="A27" s="6" t="s">
        <v>15</v>
      </c>
      <c r="B27" t="s">
        <v>30</v>
      </c>
      <c r="C27" s="16">
        <v>9.4339622641509396E-3</v>
      </c>
      <c r="D27">
        <v>106</v>
      </c>
      <c r="E27" s="16">
        <v>1.88679245283019E-2</v>
      </c>
      <c r="F27">
        <v>106</v>
      </c>
      <c r="G27" s="16"/>
      <c r="I27" s="16">
        <v>9.4339622641509396E-3</v>
      </c>
      <c r="J27">
        <v>106</v>
      </c>
      <c r="K27" s="16">
        <v>5.6603773584905703E-2</v>
      </c>
      <c r="L27">
        <v>106</v>
      </c>
      <c r="M27" s="16">
        <v>1</v>
      </c>
      <c r="N27">
        <v>106</v>
      </c>
      <c r="O27" s="16"/>
      <c r="Q27" s="16">
        <v>1.7543859649122799E-2</v>
      </c>
      <c r="R27">
        <v>57</v>
      </c>
      <c r="S27" s="16"/>
      <c r="U27" s="16"/>
      <c r="W27" s="16">
        <v>7.0175438596491196E-2</v>
      </c>
      <c r="X27">
        <v>57</v>
      </c>
      <c r="Y27" s="16">
        <v>1</v>
      </c>
      <c r="Z27">
        <v>57</v>
      </c>
      <c r="AA27" s="16">
        <v>2.04081632653061E-2</v>
      </c>
      <c r="AB27">
        <v>49</v>
      </c>
      <c r="AC27" s="16">
        <v>2.04081632653061E-2</v>
      </c>
      <c r="AD27">
        <v>49</v>
      </c>
      <c r="AE27" s="16"/>
      <c r="AG27" s="16">
        <v>2.04081632653061E-2</v>
      </c>
      <c r="AH27">
        <v>49</v>
      </c>
      <c r="AI27" s="16">
        <v>4.08163265306122E-2</v>
      </c>
      <c r="AJ27">
        <v>49</v>
      </c>
      <c r="AK27" s="16">
        <v>1</v>
      </c>
      <c r="AL27" s="11">
        <v>49</v>
      </c>
    </row>
    <row r="28" spans="1:38" outlineLevel="1" x14ac:dyDescent="0.25">
      <c r="A28" s="6" t="s">
        <v>15</v>
      </c>
      <c r="B28" t="s">
        <v>31</v>
      </c>
      <c r="C28" s="16">
        <v>1.3324061799052499E-2</v>
      </c>
      <c r="D28">
        <v>593</v>
      </c>
      <c r="E28" s="16">
        <v>1.8096171329980999E-2</v>
      </c>
      <c r="F28">
        <v>593</v>
      </c>
      <c r="G28" s="16">
        <v>9.1648091433075805E-3</v>
      </c>
      <c r="H28">
        <v>593</v>
      </c>
      <c r="I28" s="16">
        <v>1.3324061799052499E-2</v>
      </c>
      <c r="J28">
        <v>593</v>
      </c>
      <c r="K28" s="16">
        <v>5.18034467085337E-2</v>
      </c>
      <c r="L28">
        <v>593</v>
      </c>
      <c r="M28" s="16">
        <v>0.98700794441384698</v>
      </c>
      <c r="N28">
        <v>593</v>
      </c>
      <c r="O28" s="16">
        <v>1.69014082201067E-2</v>
      </c>
      <c r="P28">
        <v>313</v>
      </c>
      <c r="Q28" s="16">
        <v>1.69438667814008E-2</v>
      </c>
      <c r="R28">
        <v>313</v>
      </c>
      <c r="S28" s="16">
        <v>1.6310539352455199E-2</v>
      </c>
      <c r="T28">
        <v>313</v>
      </c>
      <c r="U28" s="16">
        <v>1.69014082201067E-2</v>
      </c>
      <c r="V28">
        <v>313</v>
      </c>
      <c r="W28" s="16">
        <v>5.7269965118724599E-2</v>
      </c>
      <c r="X28">
        <v>313</v>
      </c>
      <c r="Y28" s="16">
        <v>0.98368946064754503</v>
      </c>
      <c r="Z28">
        <v>313</v>
      </c>
      <c r="AA28" s="16">
        <v>8.7359096817943797E-3</v>
      </c>
      <c r="AB28">
        <v>280</v>
      </c>
      <c r="AC28" s="16">
        <v>1.9574068053423401E-2</v>
      </c>
      <c r="AD28">
        <v>280</v>
      </c>
      <c r="AE28" s="16"/>
      <c r="AG28" s="16">
        <v>8.7359096817943797E-3</v>
      </c>
      <c r="AH28">
        <v>280</v>
      </c>
      <c r="AI28" s="16">
        <v>4.4792323080658503E-2</v>
      </c>
      <c r="AJ28">
        <v>280</v>
      </c>
      <c r="AK28" s="16">
        <v>0.99126409031820595</v>
      </c>
      <c r="AL28" s="11">
        <v>280</v>
      </c>
    </row>
    <row r="29" spans="1:38" outlineLevel="1" x14ac:dyDescent="0.25">
      <c r="A29" s="6" t="s">
        <v>15</v>
      </c>
      <c r="B29" t="s">
        <v>33</v>
      </c>
      <c r="C29" s="16">
        <v>1.7374005495180301E-2</v>
      </c>
      <c r="D29">
        <v>789</v>
      </c>
      <c r="E29" s="16">
        <v>2.1418465644996901E-2</v>
      </c>
      <c r="F29">
        <v>789</v>
      </c>
      <c r="G29" s="16">
        <v>2.3944560524168301E-3</v>
      </c>
      <c r="H29">
        <v>789</v>
      </c>
      <c r="I29" s="16">
        <v>1.55781634558677E-2</v>
      </c>
      <c r="J29">
        <v>789</v>
      </c>
      <c r="K29" s="16">
        <v>6.7716004072654698E-2</v>
      </c>
      <c r="L29">
        <v>789</v>
      </c>
      <c r="M29" s="16">
        <v>1</v>
      </c>
      <c r="N29">
        <v>789</v>
      </c>
      <c r="O29" s="16">
        <v>1.7637252765755299E-2</v>
      </c>
      <c r="P29">
        <v>417</v>
      </c>
      <c r="Q29" s="16">
        <v>2.04464009225091E-2</v>
      </c>
      <c r="R29">
        <v>417</v>
      </c>
      <c r="S29" s="16">
        <v>2.2033120188583899E-3</v>
      </c>
      <c r="T29">
        <v>417</v>
      </c>
      <c r="U29" s="16">
        <v>1.6421176785972099E-2</v>
      </c>
      <c r="V29">
        <v>417</v>
      </c>
      <c r="W29" s="16">
        <v>7.6659207319171696E-2</v>
      </c>
      <c r="X29">
        <v>417</v>
      </c>
      <c r="Y29" s="16">
        <v>1</v>
      </c>
      <c r="Z29">
        <v>417</v>
      </c>
      <c r="AA29" s="16">
        <v>1.7069490485918101E-2</v>
      </c>
      <c r="AB29">
        <v>371</v>
      </c>
      <c r="AC29" s="16">
        <v>2.271594917704E-2</v>
      </c>
      <c r="AD29">
        <v>371</v>
      </c>
      <c r="AE29" s="16">
        <v>2.64591502619728E-3</v>
      </c>
      <c r="AF29">
        <v>371</v>
      </c>
      <c r="AG29" s="16">
        <v>1.45219931816872E-2</v>
      </c>
      <c r="AH29">
        <v>371</v>
      </c>
      <c r="AI29" s="16">
        <v>5.63142568528874E-2</v>
      </c>
      <c r="AJ29">
        <v>371</v>
      </c>
      <c r="AK29" s="16">
        <v>1</v>
      </c>
      <c r="AL29" s="11">
        <v>371</v>
      </c>
    </row>
    <row r="30" spans="1:38" outlineLevel="1" x14ac:dyDescent="0.25">
      <c r="A30" s="6" t="s">
        <v>15</v>
      </c>
      <c r="B30" t="s">
        <v>34</v>
      </c>
      <c r="C30" s="16">
        <v>1.02314308479056E-3</v>
      </c>
      <c r="D30">
        <v>466</v>
      </c>
      <c r="E30" s="16">
        <v>1.02314308479056E-3</v>
      </c>
      <c r="F30">
        <v>466</v>
      </c>
      <c r="G30" s="16"/>
      <c r="I30" s="16">
        <v>1.02314308479056E-3</v>
      </c>
      <c r="J30">
        <v>466</v>
      </c>
      <c r="K30" s="16">
        <v>7.08186713702185E-3</v>
      </c>
      <c r="L30">
        <v>466</v>
      </c>
      <c r="M30" s="16">
        <v>1</v>
      </c>
      <c r="N30">
        <v>466</v>
      </c>
      <c r="O30" s="16"/>
      <c r="Q30" s="16"/>
      <c r="S30" s="16"/>
      <c r="U30" s="16"/>
      <c r="W30" s="16">
        <v>1.2285067373359399E-2</v>
      </c>
      <c r="X30">
        <v>223</v>
      </c>
      <c r="Y30" s="16">
        <v>1</v>
      </c>
      <c r="Z30">
        <v>223</v>
      </c>
      <c r="AA30" s="16">
        <v>2.01874215425716E-3</v>
      </c>
      <c r="AB30">
        <v>243</v>
      </c>
      <c r="AC30" s="16">
        <v>2.01874215425716E-3</v>
      </c>
      <c r="AD30">
        <v>243</v>
      </c>
      <c r="AE30" s="16"/>
      <c r="AG30" s="16">
        <v>2.01874215425716E-3</v>
      </c>
      <c r="AH30">
        <v>243</v>
      </c>
      <c r="AI30" s="16">
        <v>2.01874215425716E-3</v>
      </c>
      <c r="AJ30">
        <v>243</v>
      </c>
      <c r="AK30" s="16">
        <v>1</v>
      </c>
      <c r="AL30" s="11">
        <v>243</v>
      </c>
    </row>
    <row r="31" spans="1:38" outlineLevel="1" x14ac:dyDescent="0.25">
      <c r="A31" s="6" t="s">
        <v>15</v>
      </c>
      <c r="B31" t="s">
        <v>36</v>
      </c>
      <c r="C31" s="16">
        <v>7.9725185496811405E-3</v>
      </c>
      <c r="D31">
        <v>290</v>
      </c>
      <c r="E31" s="16">
        <v>1.6610249378964301E-2</v>
      </c>
      <c r="F31">
        <v>290</v>
      </c>
      <c r="G31" s="16">
        <v>2.92891604189317E-4</v>
      </c>
      <c r="H31">
        <v>290</v>
      </c>
      <c r="I31" s="16">
        <v>7.67962694549183E-3</v>
      </c>
      <c r="J31">
        <v>290</v>
      </c>
      <c r="K31" s="16">
        <v>4.0686663170454503E-2</v>
      </c>
      <c r="L31">
        <v>290</v>
      </c>
      <c r="M31" s="16">
        <v>0.99216151491206095</v>
      </c>
      <c r="N31">
        <v>290</v>
      </c>
      <c r="O31" s="16">
        <v>1.4032819248030201E-2</v>
      </c>
      <c r="P31">
        <v>172</v>
      </c>
      <c r="Q31" s="16">
        <v>2.8205445483346799E-2</v>
      </c>
      <c r="R31">
        <v>172</v>
      </c>
      <c r="S31" s="16">
        <v>5.1553281629161804E-4</v>
      </c>
      <c r="T31">
        <v>172</v>
      </c>
      <c r="U31" s="16">
        <v>1.35172864317386E-2</v>
      </c>
      <c r="V31">
        <v>172</v>
      </c>
      <c r="W31" s="16">
        <v>4.3409137351246803E-2</v>
      </c>
      <c r="X31">
        <v>172</v>
      </c>
      <c r="Y31" s="16">
        <v>0.98634290658097501</v>
      </c>
      <c r="Z31">
        <v>172</v>
      </c>
      <c r="AA31" s="16"/>
      <c r="AC31" s="16">
        <v>1.3563996723707E-3</v>
      </c>
      <c r="AD31">
        <v>118</v>
      </c>
      <c r="AE31" s="16"/>
      <c r="AG31" s="16"/>
      <c r="AI31" s="16">
        <v>3.7105161692597602E-2</v>
      </c>
      <c r="AJ31">
        <v>118</v>
      </c>
      <c r="AK31" s="16">
        <v>0.99981607945628503</v>
      </c>
      <c r="AL31" s="11">
        <v>118</v>
      </c>
    </row>
    <row r="32" spans="1:38" outlineLevel="1" x14ac:dyDescent="0.25">
      <c r="A32" s="6" t="s">
        <v>15</v>
      </c>
      <c r="B32" t="s">
        <v>37</v>
      </c>
      <c r="C32" s="16">
        <v>7.0573517585973099E-3</v>
      </c>
      <c r="D32">
        <v>285</v>
      </c>
      <c r="E32" s="16">
        <v>7.0573517585973099E-3</v>
      </c>
      <c r="F32">
        <v>285</v>
      </c>
      <c r="G32" s="16"/>
      <c r="I32" s="16">
        <v>7.0573517585973099E-3</v>
      </c>
      <c r="J32">
        <v>285</v>
      </c>
      <c r="K32" s="16">
        <v>1.4120884461328699E-2</v>
      </c>
      <c r="L32">
        <v>285</v>
      </c>
      <c r="M32" s="16">
        <v>1</v>
      </c>
      <c r="N32">
        <v>285</v>
      </c>
      <c r="O32" s="16"/>
      <c r="Q32" s="16"/>
      <c r="S32" s="16"/>
      <c r="U32" s="16"/>
      <c r="W32" s="16"/>
      <c r="Y32" s="16">
        <v>1</v>
      </c>
      <c r="Z32">
        <v>136</v>
      </c>
      <c r="AA32" s="16">
        <v>1.43741894353395E-2</v>
      </c>
      <c r="AB32">
        <v>149</v>
      </c>
      <c r="AC32" s="16">
        <v>1.43741894353395E-2</v>
      </c>
      <c r="AD32">
        <v>149</v>
      </c>
      <c r="AE32" s="16"/>
      <c r="AG32" s="16">
        <v>1.43741894353395E-2</v>
      </c>
      <c r="AH32">
        <v>149</v>
      </c>
      <c r="AI32" s="16">
        <v>2.8760968020959499E-2</v>
      </c>
      <c r="AJ32">
        <v>149</v>
      </c>
      <c r="AK32" s="16">
        <v>1</v>
      </c>
      <c r="AL32" s="11">
        <v>149</v>
      </c>
    </row>
    <row r="33" spans="1:38" outlineLevel="1" x14ac:dyDescent="0.25">
      <c r="A33" s="6" t="s">
        <v>15</v>
      </c>
      <c r="B33" t="s">
        <v>38</v>
      </c>
      <c r="C33" s="16">
        <v>2.00572561193571E-2</v>
      </c>
      <c r="D33">
        <v>231</v>
      </c>
      <c r="E33" s="16">
        <v>2.49860648893514E-2</v>
      </c>
      <c r="F33">
        <v>231</v>
      </c>
      <c r="G33" s="16">
        <v>4.9288087699943398E-3</v>
      </c>
      <c r="H33">
        <v>231</v>
      </c>
      <c r="I33" s="16">
        <v>1.51284473493627E-2</v>
      </c>
      <c r="J33">
        <v>231</v>
      </c>
      <c r="K33" s="16">
        <v>2.49860648893514E-2</v>
      </c>
      <c r="L33">
        <v>231</v>
      </c>
      <c r="M33" s="16">
        <v>1</v>
      </c>
      <c r="N33">
        <v>231</v>
      </c>
      <c r="O33" s="16"/>
      <c r="Q33" s="16"/>
      <c r="S33" s="16"/>
      <c r="U33" s="16"/>
      <c r="W33" s="16">
        <v>9.8446397754043905E-3</v>
      </c>
      <c r="X33">
        <v>114</v>
      </c>
      <c r="Y33" s="16">
        <v>1</v>
      </c>
      <c r="Z33">
        <v>114</v>
      </c>
      <c r="AA33" s="16">
        <v>4.0167463275443703E-2</v>
      </c>
      <c r="AB33">
        <v>117</v>
      </c>
      <c r="AC33" s="16">
        <v>5.0038092841237898E-2</v>
      </c>
      <c r="AD33">
        <v>117</v>
      </c>
      <c r="AE33" s="16">
        <v>9.8706295657941898E-3</v>
      </c>
      <c r="AF33">
        <v>117</v>
      </c>
      <c r="AG33" s="16">
        <v>3.0296833709649501E-2</v>
      </c>
      <c r="AH33">
        <v>117</v>
      </c>
      <c r="AI33" s="16">
        <v>4.0167463275443703E-2</v>
      </c>
      <c r="AJ33">
        <v>117</v>
      </c>
      <c r="AK33" s="16">
        <v>1</v>
      </c>
      <c r="AL33" s="11">
        <v>117</v>
      </c>
    </row>
    <row r="34" spans="1:38" outlineLevel="1" x14ac:dyDescent="0.25">
      <c r="A34" s="6" t="s">
        <v>15</v>
      </c>
      <c r="B34" t="s">
        <v>39</v>
      </c>
      <c r="C34" s="16">
        <v>3.8138739956057197E-2</v>
      </c>
      <c r="D34">
        <v>358</v>
      </c>
      <c r="E34" s="16">
        <v>4.1588454014218401E-2</v>
      </c>
      <c r="F34">
        <v>358</v>
      </c>
      <c r="G34" s="16">
        <v>5.21754778162315E-4</v>
      </c>
      <c r="H34">
        <v>358</v>
      </c>
      <c r="I34" s="16">
        <v>3.8138739956057197E-2</v>
      </c>
      <c r="J34">
        <v>358</v>
      </c>
      <c r="K34" s="16">
        <v>3.6409984532654503E-2</v>
      </c>
      <c r="L34">
        <v>358</v>
      </c>
      <c r="M34" s="16">
        <v>0.999516107569972</v>
      </c>
      <c r="N34">
        <v>358</v>
      </c>
      <c r="O34" s="16">
        <v>3.71560290748452E-2</v>
      </c>
      <c r="P34">
        <v>165</v>
      </c>
      <c r="Q34" s="16">
        <v>4.1130593163968103E-2</v>
      </c>
      <c r="R34">
        <v>165</v>
      </c>
      <c r="S34" s="16"/>
      <c r="U34" s="16">
        <v>3.71560290748452E-2</v>
      </c>
      <c r="V34">
        <v>165</v>
      </c>
      <c r="W34" s="16">
        <v>1.6232225968119102E-2</v>
      </c>
      <c r="X34">
        <v>165</v>
      </c>
      <c r="Y34" s="16">
        <v>1</v>
      </c>
      <c r="Z34">
        <v>165</v>
      </c>
      <c r="AA34" s="16">
        <v>3.9095002173355098E-2</v>
      </c>
      <c r="AB34">
        <v>193</v>
      </c>
      <c r="AC34" s="16">
        <v>4.2033992005345903E-2</v>
      </c>
      <c r="AD34">
        <v>193</v>
      </c>
      <c r="AE34" s="16">
        <v>1.0294670571144801E-3</v>
      </c>
      <c r="AF34">
        <v>193</v>
      </c>
      <c r="AG34" s="16">
        <v>3.9095002173355098E-2</v>
      </c>
      <c r="AH34">
        <v>193</v>
      </c>
      <c r="AI34" s="16">
        <v>5.6044679246959203E-2</v>
      </c>
      <c r="AJ34">
        <v>193</v>
      </c>
      <c r="AK34" s="16">
        <v>0.999045238612562</v>
      </c>
      <c r="AL34" s="11">
        <v>193</v>
      </c>
    </row>
    <row r="35" spans="1:38" outlineLevel="1" x14ac:dyDescent="0.25">
      <c r="A35" s="6" t="s">
        <v>15</v>
      </c>
      <c r="B35" t="s">
        <v>22</v>
      </c>
      <c r="C35" s="16"/>
      <c r="E35" s="16">
        <v>7.6798884079267897E-3</v>
      </c>
      <c r="F35">
        <v>131</v>
      </c>
      <c r="G35" s="16"/>
      <c r="I35" s="16"/>
      <c r="K35" s="16">
        <v>7.6798884079267897E-3</v>
      </c>
      <c r="L35">
        <v>131</v>
      </c>
      <c r="M35" s="16">
        <v>1</v>
      </c>
      <c r="N35">
        <v>131</v>
      </c>
      <c r="O35" s="16"/>
      <c r="Q35" s="16"/>
      <c r="S35" s="16"/>
      <c r="U35" s="16"/>
      <c r="W35" s="16"/>
      <c r="Y35" s="16">
        <v>1</v>
      </c>
      <c r="Z35">
        <v>66</v>
      </c>
      <c r="AA35" s="16"/>
      <c r="AC35" s="16">
        <v>1.5481466786040799E-2</v>
      </c>
      <c r="AD35">
        <v>65</v>
      </c>
      <c r="AE35" s="16"/>
      <c r="AG35" s="16"/>
      <c r="AI35" s="16">
        <v>1.5481466786040799E-2</v>
      </c>
      <c r="AJ35">
        <v>65</v>
      </c>
      <c r="AK35" s="16">
        <v>1</v>
      </c>
      <c r="AL35" s="11">
        <v>65</v>
      </c>
    </row>
    <row r="36" spans="1:38" outlineLevel="1" x14ac:dyDescent="0.25">
      <c r="A36" s="7" t="s">
        <v>15</v>
      </c>
      <c r="B36" s="9" t="s">
        <v>35</v>
      </c>
      <c r="C36" s="15"/>
      <c r="D36" s="9"/>
      <c r="E36" s="15"/>
      <c r="F36" s="9"/>
      <c r="G36" s="15"/>
      <c r="H36" s="9"/>
      <c r="I36" s="15"/>
      <c r="J36" s="9"/>
      <c r="K36" s="15"/>
      <c r="L36" s="9"/>
      <c r="M36" s="15">
        <v>1</v>
      </c>
      <c r="N36" s="9">
        <v>62</v>
      </c>
      <c r="O36" s="15"/>
      <c r="P36" s="9"/>
      <c r="Q36" s="15"/>
      <c r="R36" s="9"/>
      <c r="S36" s="15"/>
      <c r="T36" s="9"/>
      <c r="U36" s="15"/>
      <c r="V36" s="9"/>
      <c r="W36" s="15"/>
      <c r="X36" s="9"/>
      <c r="Y36" s="15">
        <v>1</v>
      </c>
      <c r="Z36" s="9">
        <v>28</v>
      </c>
      <c r="AA36" s="15"/>
      <c r="AB36" s="9"/>
      <c r="AC36" s="15"/>
      <c r="AD36" s="9"/>
      <c r="AE36" s="15"/>
      <c r="AF36" s="9"/>
      <c r="AG36" s="15"/>
      <c r="AH36" s="9"/>
      <c r="AI36" s="15"/>
      <c r="AJ36" s="9"/>
      <c r="AK36" s="15">
        <v>1</v>
      </c>
      <c r="AL36" s="12">
        <v>34</v>
      </c>
    </row>
    <row r="37" spans="1:38" x14ac:dyDescent="0.25">
      <c r="C37" s="16"/>
      <c r="E37" s="16"/>
      <c r="G37" s="16"/>
      <c r="I37" s="16"/>
      <c r="K37" s="16"/>
      <c r="M37" s="16"/>
      <c r="O37" s="16"/>
      <c r="Q37" s="16"/>
      <c r="S37" s="16"/>
      <c r="U37" s="16"/>
      <c r="W37" s="16"/>
      <c r="Y37" s="16"/>
      <c r="AA37" s="16"/>
      <c r="AC37" s="16"/>
      <c r="AE37" s="16"/>
      <c r="AG37" s="16"/>
      <c r="AI37" s="16"/>
      <c r="AK37" s="16"/>
    </row>
    <row r="38" spans="1:38" x14ac:dyDescent="0.25">
      <c r="A38" s="19" t="s">
        <v>40</v>
      </c>
      <c r="B38" s="19"/>
      <c r="C38" s="20"/>
      <c r="D38" s="19"/>
      <c r="E38" s="20"/>
      <c r="F38" s="19"/>
      <c r="G38" s="20"/>
      <c r="H38" s="19"/>
      <c r="I38" s="20"/>
      <c r="J38" s="19"/>
      <c r="K38" s="20"/>
      <c r="L38" s="19"/>
      <c r="M38" s="20"/>
      <c r="N38" s="19"/>
      <c r="O38" s="20"/>
      <c r="P38" s="19"/>
      <c r="Q38" s="20"/>
      <c r="R38" s="19"/>
      <c r="S38" s="20"/>
      <c r="T38" s="19"/>
      <c r="U38" s="20"/>
      <c r="V38" s="19"/>
      <c r="W38" s="20"/>
      <c r="X38" s="19"/>
      <c r="Y38" s="20"/>
      <c r="Z38" s="19"/>
      <c r="AA38" s="20"/>
      <c r="AB38" s="19"/>
      <c r="AC38" s="20"/>
      <c r="AD38" s="19"/>
      <c r="AE38" s="20"/>
      <c r="AF38" s="19"/>
      <c r="AG38" s="20"/>
      <c r="AH38" s="19"/>
      <c r="AI38" s="20"/>
      <c r="AJ38" s="19"/>
      <c r="AK38" s="20"/>
      <c r="AL38" s="19"/>
    </row>
    <row r="39" spans="1:38" outlineLevel="1" x14ac:dyDescent="0.25">
      <c r="A39" s="5" t="s">
        <v>15</v>
      </c>
      <c r="B39" s="8" t="s">
        <v>43</v>
      </c>
      <c r="C39" s="14">
        <v>9.5693779904306199E-3</v>
      </c>
      <c r="D39" s="8">
        <v>209</v>
      </c>
      <c r="E39" s="14">
        <v>1.9138755980861202E-2</v>
      </c>
      <c r="F39" s="8">
        <v>209</v>
      </c>
      <c r="G39" s="14">
        <v>4.78468899521531E-3</v>
      </c>
      <c r="H39" s="8">
        <v>209</v>
      </c>
      <c r="I39" s="14">
        <v>9.5693779904306199E-3</v>
      </c>
      <c r="J39" s="8">
        <v>209</v>
      </c>
      <c r="K39" s="14">
        <v>7.1770334928229707E-2</v>
      </c>
      <c r="L39" s="8">
        <v>209</v>
      </c>
      <c r="M39" s="14">
        <v>1</v>
      </c>
      <c r="N39" s="8">
        <v>209</v>
      </c>
      <c r="O39" s="14"/>
      <c r="P39" s="8"/>
      <c r="Q39" s="14">
        <v>1.8181818181818198E-2</v>
      </c>
      <c r="R39" s="8">
        <v>110</v>
      </c>
      <c r="S39" s="14"/>
      <c r="T39" s="8"/>
      <c r="U39" s="14"/>
      <c r="V39" s="8"/>
      <c r="W39" s="14">
        <v>7.2727272727272696E-2</v>
      </c>
      <c r="X39" s="8">
        <v>110</v>
      </c>
      <c r="Y39" s="14">
        <v>1</v>
      </c>
      <c r="Z39" s="8">
        <v>110</v>
      </c>
      <c r="AA39" s="14">
        <v>2.02020202020202E-2</v>
      </c>
      <c r="AB39" s="8">
        <v>99</v>
      </c>
      <c r="AC39" s="14">
        <v>2.02020202020202E-2</v>
      </c>
      <c r="AD39" s="8">
        <v>99</v>
      </c>
      <c r="AE39" s="14">
        <v>1.01010101010101E-2</v>
      </c>
      <c r="AF39" s="8">
        <v>99</v>
      </c>
      <c r="AG39" s="14">
        <v>2.02020202020202E-2</v>
      </c>
      <c r="AH39" s="8">
        <v>99</v>
      </c>
      <c r="AI39" s="14">
        <v>7.0707070707070704E-2</v>
      </c>
      <c r="AJ39" s="8">
        <v>99</v>
      </c>
      <c r="AK39" s="14">
        <v>1</v>
      </c>
      <c r="AL39" s="10">
        <v>99</v>
      </c>
    </row>
    <row r="40" spans="1:38" outlineLevel="1" x14ac:dyDescent="0.25">
      <c r="A40" s="6" t="s">
        <v>15</v>
      </c>
      <c r="B40" t="s">
        <v>45</v>
      </c>
      <c r="C40" s="16">
        <v>8.1050416533293198E-3</v>
      </c>
      <c r="D40">
        <v>126</v>
      </c>
      <c r="E40" s="16">
        <v>8.1050416533293198E-3</v>
      </c>
      <c r="F40">
        <v>126</v>
      </c>
      <c r="G40" s="16">
        <v>8.1050416533293198E-3</v>
      </c>
      <c r="H40">
        <v>126</v>
      </c>
      <c r="I40" s="16"/>
      <c r="K40" s="16"/>
      <c r="M40" s="16">
        <v>1</v>
      </c>
      <c r="N40">
        <v>126</v>
      </c>
      <c r="O40" s="16"/>
      <c r="Q40" s="16"/>
      <c r="S40" s="16"/>
      <c r="U40" s="16"/>
      <c r="W40" s="16"/>
      <c r="Y40" s="16">
        <v>1</v>
      </c>
      <c r="Z40">
        <v>61</v>
      </c>
      <c r="AA40" s="16">
        <v>1.57655342801588E-2</v>
      </c>
      <c r="AB40">
        <v>65</v>
      </c>
      <c r="AC40" s="16">
        <v>1.57655342801588E-2</v>
      </c>
      <c r="AD40">
        <v>65</v>
      </c>
      <c r="AE40" s="16">
        <v>1.57655342801588E-2</v>
      </c>
      <c r="AF40">
        <v>65</v>
      </c>
      <c r="AG40" s="16"/>
      <c r="AI40" s="16"/>
      <c r="AK40" s="16">
        <v>1</v>
      </c>
      <c r="AL40" s="11">
        <v>65</v>
      </c>
    </row>
    <row r="41" spans="1:38" outlineLevel="1" x14ac:dyDescent="0.25">
      <c r="A41" s="6" t="s">
        <v>15</v>
      </c>
      <c r="B41" t="s">
        <v>46</v>
      </c>
      <c r="C41" s="16">
        <v>1.8604651162790701E-2</v>
      </c>
      <c r="D41">
        <v>215</v>
      </c>
      <c r="E41" s="16">
        <v>2.7906976744186001E-2</v>
      </c>
      <c r="F41">
        <v>215</v>
      </c>
      <c r="G41" s="16"/>
      <c r="I41" s="16">
        <v>1.8604651162790701E-2</v>
      </c>
      <c r="J41">
        <v>215</v>
      </c>
      <c r="K41" s="16">
        <v>6.9767441860465101E-2</v>
      </c>
      <c r="L41">
        <v>215</v>
      </c>
      <c r="M41" s="16">
        <v>1</v>
      </c>
      <c r="N41">
        <v>215</v>
      </c>
      <c r="O41" s="16">
        <v>8.6206896551724102E-3</v>
      </c>
      <c r="P41">
        <v>116</v>
      </c>
      <c r="Q41" s="16">
        <v>2.5862068965517199E-2</v>
      </c>
      <c r="R41">
        <v>116</v>
      </c>
      <c r="S41" s="16"/>
      <c r="U41" s="16">
        <v>8.6206896551724102E-3</v>
      </c>
      <c r="V41">
        <v>116</v>
      </c>
      <c r="W41" s="16">
        <v>6.0344827586206899E-2</v>
      </c>
      <c r="X41">
        <v>116</v>
      </c>
      <c r="Y41" s="16">
        <v>1</v>
      </c>
      <c r="Z41">
        <v>116</v>
      </c>
      <c r="AA41" s="16">
        <v>3.03030303030303E-2</v>
      </c>
      <c r="AB41">
        <v>99</v>
      </c>
      <c r="AC41" s="16">
        <v>3.03030303030303E-2</v>
      </c>
      <c r="AD41">
        <v>99</v>
      </c>
      <c r="AE41" s="16"/>
      <c r="AG41" s="16">
        <v>3.03030303030303E-2</v>
      </c>
      <c r="AH41">
        <v>99</v>
      </c>
      <c r="AI41" s="16">
        <v>8.0808080808080801E-2</v>
      </c>
      <c r="AJ41">
        <v>99</v>
      </c>
      <c r="AK41" s="16">
        <v>1</v>
      </c>
      <c r="AL41" s="11">
        <v>99</v>
      </c>
    </row>
    <row r="42" spans="1:38" outlineLevel="1" x14ac:dyDescent="0.25">
      <c r="A42" s="6" t="s">
        <v>15</v>
      </c>
      <c r="B42" t="s">
        <v>47</v>
      </c>
      <c r="C42" s="16">
        <v>1.74216027874564E-2</v>
      </c>
      <c r="D42">
        <v>287</v>
      </c>
      <c r="E42" s="16">
        <v>2.0905923344947699E-2</v>
      </c>
      <c r="F42">
        <v>287</v>
      </c>
      <c r="G42" s="16">
        <v>6.9686411149825801E-3</v>
      </c>
      <c r="H42">
        <v>287</v>
      </c>
      <c r="I42" s="16">
        <v>1.39372822299652E-2</v>
      </c>
      <c r="J42">
        <v>287</v>
      </c>
      <c r="K42" s="16">
        <v>7.3170731707317097E-2</v>
      </c>
      <c r="L42">
        <v>287</v>
      </c>
      <c r="M42" s="16">
        <v>1</v>
      </c>
      <c r="N42">
        <v>287</v>
      </c>
      <c r="O42" s="16">
        <v>1.35135135135135E-2</v>
      </c>
      <c r="P42">
        <v>148</v>
      </c>
      <c r="Q42" s="16">
        <v>1.35135135135135E-2</v>
      </c>
      <c r="R42">
        <v>148</v>
      </c>
      <c r="S42" s="16">
        <v>6.7567567567567597E-3</v>
      </c>
      <c r="T42">
        <v>148</v>
      </c>
      <c r="U42" s="16">
        <v>6.7567567567567597E-3</v>
      </c>
      <c r="V42">
        <v>148</v>
      </c>
      <c r="W42" s="16">
        <v>6.08108108108108E-2</v>
      </c>
      <c r="X42">
        <v>148</v>
      </c>
      <c r="Y42" s="16">
        <v>1</v>
      </c>
      <c r="Z42">
        <v>148</v>
      </c>
      <c r="AA42" s="16">
        <v>2.15827338129496E-2</v>
      </c>
      <c r="AB42">
        <v>139</v>
      </c>
      <c r="AC42" s="16">
        <v>2.8776978417266199E-2</v>
      </c>
      <c r="AD42">
        <v>139</v>
      </c>
      <c r="AE42" s="16">
        <v>7.1942446043165497E-3</v>
      </c>
      <c r="AF42">
        <v>139</v>
      </c>
      <c r="AG42" s="16">
        <v>2.15827338129496E-2</v>
      </c>
      <c r="AH42">
        <v>139</v>
      </c>
      <c r="AI42" s="16">
        <v>8.6330935251798593E-2</v>
      </c>
      <c r="AJ42">
        <v>139</v>
      </c>
      <c r="AK42" s="16">
        <v>1</v>
      </c>
      <c r="AL42" s="11">
        <v>139</v>
      </c>
    </row>
    <row r="43" spans="1:38" outlineLevel="1" x14ac:dyDescent="0.25">
      <c r="A43" s="6" t="s">
        <v>15</v>
      </c>
      <c r="B43" t="s">
        <v>49</v>
      </c>
      <c r="C43" s="16">
        <v>2.8985507246376802E-2</v>
      </c>
      <c r="D43">
        <v>138</v>
      </c>
      <c r="E43" s="16">
        <v>2.8985507246376802E-2</v>
      </c>
      <c r="F43">
        <v>138</v>
      </c>
      <c r="G43" s="16">
        <v>7.2463768115942004E-3</v>
      </c>
      <c r="H43">
        <v>138</v>
      </c>
      <c r="I43" s="16">
        <v>2.1739130434782601E-2</v>
      </c>
      <c r="J43">
        <v>138</v>
      </c>
      <c r="K43" s="16">
        <v>3.6231884057971002E-2</v>
      </c>
      <c r="L43">
        <v>138</v>
      </c>
      <c r="M43" s="16">
        <v>0.99275362318840599</v>
      </c>
      <c r="N43">
        <v>138</v>
      </c>
      <c r="O43" s="16">
        <v>2.9850746268656699E-2</v>
      </c>
      <c r="P43">
        <v>67</v>
      </c>
      <c r="Q43" s="16">
        <v>2.9850746268656699E-2</v>
      </c>
      <c r="R43">
        <v>67</v>
      </c>
      <c r="S43" s="16">
        <v>1.49253731343284E-2</v>
      </c>
      <c r="T43">
        <v>67</v>
      </c>
      <c r="U43" s="16">
        <v>1.49253731343284E-2</v>
      </c>
      <c r="V43">
        <v>67</v>
      </c>
      <c r="W43" s="16">
        <v>2.9850746268656699E-2</v>
      </c>
      <c r="X43">
        <v>67</v>
      </c>
      <c r="Y43" s="16">
        <v>0.98507462686567204</v>
      </c>
      <c r="Z43">
        <v>67</v>
      </c>
      <c r="AA43" s="16">
        <v>2.8169014084507001E-2</v>
      </c>
      <c r="AB43">
        <v>71</v>
      </c>
      <c r="AC43" s="16">
        <v>2.8169014084507001E-2</v>
      </c>
      <c r="AD43">
        <v>71</v>
      </c>
      <c r="AE43" s="16"/>
      <c r="AG43" s="16">
        <v>2.8169014084507001E-2</v>
      </c>
      <c r="AH43">
        <v>71</v>
      </c>
      <c r="AI43" s="16">
        <v>4.2253521126760597E-2</v>
      </c>
      <c r="AJ43">
        <v>71</v>
      </c>
      <c r="AK43" s="16">
        <v>1</v>
      </c>
      <c r="AL43" s="11">
        <v>71</v>
      </c>
    </row>
    <row r="44" spans="1:38" outlineLevel="1" x14ac:dyDescent="0.25">
      <c r="A44" s="6" t="s">
        <v>15</v>
      </c>
      <c r="B44" t="s">
        <v>50</v>
      </c>
      <c r="C44" s="16">
        <v>9.9009900990098994E-3</v>
      </c>
      <c r="D44">
        <v>101</v>
      </c>
      <c r="E44" s="16">
        <v>1.9801980198019799E-2</v>
      </c>
      <c r="F44">
        <v>101</v>
      </c>
      <c r="G44" s="16"/>
      <c r="I44" s="16">
        <v>9.9009900990098994E-3</v>
      </c>
      <c r="J44">
        <v>101</v>
      </c>
      <c r="K44" s="16">
        <v>6.9306930693069299E-2</v>
      </c>
      <c r="L44">
        <v>101</v>
      </c>
      <c r="M44" s="16">
        <v>1</v>
      </c>
      <c r="N44">
        <v>101</v>
      </c>
      <c r="O44" s="16">
        <v>2.0833333333333301E-2</v>
      </c>
      <c r="P44">
        <v>48</v>
      </c>
      <c r="Q44" s="16">
        <v>4.1666666666666699E-2</v>
      </c>
      <c r="R44">
        <v>48</v>
      </c>
      <c r="S44" s="16"/>
      <c r="U44" s="16">
        <v>2.0833333333333301E-2</v>
      </c>
      <c r="V44">
        <v>48</v>
      </c>
      <c r="W44" s="16">
        <v>6.25E-2</v>
      </c>
      <c r="X44">
        <v>48</v>
      </c>
      <c r="Y44" s="16">
        <v>1</v>
      </c>
      <c r="Z44">
        <v>48</v>
      </c>
      <c r="AA44" s="16"/>
      <c r="AC44" s="16"/>
      <c r="AE44" s="16"/>
      <c r="AG44" s="16"/>
      <c r="AI44" s="16">
        <v>7.54716981132076E-2</v>
      </c>
      <c r="AJ44">
        <v>53</v>
      </c>
      <c r="AK44" s="16">
        <v>1</v>
      </c>
      <c r="AL44" s="11">
        <v>53</v>
      </c>
    </row>
    <row r="45" spans="1:38" outlineLevel="1" x14ac:dyDescent="0.25">
      <c r="A45" s="6" t="s">
        <v>15</v>
      </c>
      <c r="B45" t="s">
        <v>51</v>
      </c>
      <c r="C45" s="16">
        <v>1.5151515151515201E-2</v>
      </c>
      <c r="D45">
        <v>66</v>
      </c>
      <c r="E45" s="16">
        <v>1.5151515151515201E-2</v>
      </c>
      <c r="F45">
        <v>66</v>
      </c>
      <c r="G45" s="16">
        <v>1.5151515151515201E-2</v>
      </c>
      <c r="H45">
        <v>66</v>
      </c>
      <c r="I45" s="16"/>
      <c r="K45" s="16"/>
      <c r="M45" s="16">
        <v>1</v>
      </c>
      <c r="N45">
        <v>66</v>
      </c>
      <c r="O45" s="16"/>
      <c r="Q45" s="16"/>
      <c r="S45" s="16"/>
      <c r="U45" s="16"/>
      <c r="W45" s="16"/>
      <c r="Y45" s="16">
        <v>1</v>
      </c>
      <c r="Z45">
        <v>34</v>
      </c>
      <c r="AA45" s="16">
        <v>3.125E-2</v>
      </c>
      <c r="AB45">
        <v>32</v>
      </c>
      <c r="AC45" s="16">
        <v>3.125E-2</v>
      </c>
      <c r="AD45">
        <v>32</v>
      </c>
      <c r="AE45" s="16">
        <v>3.125E-2</v>
      </c>
      <c r="AF45">
        <v>32</v>
      </c>
      <c r="AG45" s="16"/>
      <c r="AI45" s="16"/>
      <c r="AK45" s="16">
        <v>1</v>
      </c>
      <c r="AL45" s="11">
        <v>32</v>
      </c>
    </row>
    <row r="46" spans="1:38" outlineLevel="1" x14ac:dyDescent="0.25">
      <c r="A46" s="6" t="s">
        <v>15</v>
      </c>
      <c r="B46" t="s">
        <v>52</v>
      </c>
      <c r="C46" s="16">
        <v>1.5215787500560501E-2</v>
      </c>
      <c r="D46">
        <v>265</v>
      </c>
      <c r="E46" s="16">
        <v>7.8834645971828696E-2</v>
      </c>
      <c r="F46">
        <v>265</v>
      </c>
      <c r="G46" s="16">
        <v>7.2037141502460803E-3</v>
      </c>
      <c r="H46">
        <v>265</v>
      </c>
      <c r="I46" s="16">
        <v>8.0120733503144404E-3</v>
      </c>
      <c r="J46">
        <v>265</v>
      </c>
      <c r="K46" s="16">
        <v>0.10821610502828199</v>
      </c>
      <c r="L46">
        <v>265</v>
      </c>
      <c r="M46" s="16">
        <v>0.99599396332484302</v>
      </c>
      <c r="N46">
        <v>265</v>
      </c>
      <c r="O46" s="16">
        <v>2.4441887099577699E-2</v>
      </c>
      <c r="P46">
        <v>121</v>
      </c>
      <c r="Q46" s="16">
        <v>8.2151060117873001E-2</v>
      </c>
      <c r="R46">
        <v>121</v>
      </c>
      <c r="S46" s="16">
        <v>6.9722577285006304E-3</v>
      </c>
      <c r="T46">
        <v>121</v>
      </c>
      <c r="U46" s="16">
        <v>1.7469629371076999E-2</v>
      </c>
      <c r="V46">
        <v>121</v>
      </c>
      <c r="W46" s="16">
        <v>8.2151060117873001E-2</v>
      </c>
      <c r="X46">
        <v>121</v>
      </c>
      <c r="Y46" s="16">
        <v>1</v>
      </c>
      <c r="Z46">
        <v>121</v>
      </c>
      <c r="AA46" s="16">
        <v>7.4549601992880904E-3</v>
      </c>
      <c r="AB46">
        <v>143</v>
      </c>
      <c r="AC46" s="16">
        <v>7.6591873151658704E-2</v>
      </c>
      <c r="AD46">
        <v>143</v>
      </c>
      <c r="AE46" s="16">
        <v>7.4549601992880904E-3</v>
      </c>
      <c r="AF46">
        <v>143</v>
      </c>
      <c r="AG46" s="16"/>
      <c r="AI46" s="16">
        <v>0.13126875846856101</v>
      </c>
      <c r="AJ46">
        <v>143</v>
      </c>
      <c r="AK46" s="16">
        <v>0.99254503980071196</v>
      </c>
      <c r="AL46" s="11">
        <v>143</v>
      </c>
    </row>
    <row r="47" spans="1:38" outlineLevel="1" x14ac:dyDescent="0.25">
      <c r="A47" s="6" t="s">
        <v>15</v>
      </c>
      <c r="B47" t="s">
        <v>53</v>
      </c>
      <c r="C47" s="16">
        <v>8.4388185654008397E-3</v>
      </c>
      <c r="D47">
        <v>237</v>
      </c>
      <c r="E47" s="16">
        <v>0.13080168776371301</v>
      </c>
      <c r="F47">
        <v>237</v>
      </c>
      <c r="G47" s="16"/>
      <c r="I47" s="16">
        <v>8.4388185654008397E-3</v>
      </c>
      <c r="J47">
        <v>237</v>
      </c>
      <c r="K47" s="16">
        <v>0.21097046413502099</v>
      </c>
      <c r="L47">
        <v>237</v>
      </c>
      <c r="M47" s="16">
        <v>0.99578059071729996</v>
      </c>
      <c r="N47">
        <v>237</v>
      </c>
      <c r="O47" s="16">
        <v>1.63934426229508E-2</v>
      </c>
      <c r="P47">
        <v>122</v>
      </c>
      <c r="Q47" s="16">
        <v>0.13114754098360701</v>
      </c>
      <c r="R47">
        <v>122</v>
      </c>
      <c r="S47" s="16"/>
      <c r="U47" s="16">
        <v>1.63934426229508E-2</v>
      </c>
      <c r="V47">
        <v>122</v>
      </c>
      <c r="W47" s="16">
        <v>0.22131147540983601</v>
      </c>
      <c r="X47">
        <v>122</v>
      </c>
      <c r="Y47" s="16">
        <v>0.99180327868852503</v>
      </c>
      <c r="Z47">
        <v>122</v>
      </c>
      <c r="AA47" s="16"/>
      <c r="AC47" s="16">
        <v>0.13043478260869601</v>
      </c>
      <c r="AD47">
        <v>115</v>
      </c>
      <c r="AE47" s="16"/>
      <c r="AG47" s="16"/>
      <c r="AI47" s="16">
        <v>0.2</v>
      </c>
      <c r="AJ47">
        <v>115</v>
      </c>
      <c r="AK47" s="16">
        <v>1</v>
      </c>
      <c r="AL47" s="11">
        <v>115</v>
      </c>
    </row>
    <row r="48" spans="1:38" outlineLevel="1" x14ac:dyDescent="0.25">
      <c r="A48" s="6" t="s">
        <v>15</v>
      </c>
      <c r="B48" t="s">
        <v>54</v>
      </c>
      <c r="C48" s="16">
        <v>1.6888318623966201E-2</v>
      </c>
      <c r="D48">
        <v>294</v>
      </c>
      <c r="E48" s="16">
        <v>4.4810107560441299E-2</v>
      </c>
      <c r="F48">
        <v>294</v>
      </c>
      <c r="G48" s="16">
        <v>3.2828764470954098E-3</v>
      </c>
      <c r="H48">
        <v>294</v>
      </c>
      <c r="I48" s="16">
        <v>1.6888318623966201E-2</v>
      </c>
      <c r="J48">
        <v>294</v>
      </c>
      <c r="K48" s="16">
        <v>0.112600350250551</v>
      </c>
      <c r="L48">
        <v>294</v>
      </c>
      <c r="M48" s="16">
        <v>0.99671712355290498</v>
      </c>
      <c r="N48">
        <v>294</v>
      </c>
      <c r="O48" s="16">
        <v>7.5439444052175803E-3</v>
      </c>
      <c r="P48">
        <v>137</v>
      </c>
      <c r="Q48" s="16">
        <v>4.4755781832596299E-2</v>
      </c>
      <c r="R48">
        <v>137</v>
      </c>
      <c r="S48" s="16"/>
      <c r="U48" s="16">
        <v>7.5439444052175803E-3</v>
      </c>
      <c r="V48">
        <v>137</v>
      </c>
      <c r="W48" s="16">
        <v>0.124183978099025</v>
      </c>
      <c r="X48">
        <v>137</v>
      </c>
      <c r="Y48" s="16">
        <v>1</v>
      </c>
      <c r="Z48">
        <v>137</v>
      </c>
      <c r="AA48" s="16">
        <v>2.5216955213466501E-2</v>
      </c>
      <c r="AB48">
        <v>156</v>
      </c>
      <c r="AC48" s="16">
        <v>4.5135406218655999E-2</v>
      </c>
      <c r="AD48">
        <v>156</v>
      </c>
      <c r="AE48" s="16">
        <v>6.1924905150233297E-3</v>
      </c>
      <c r="AF48">
        <v>156</v>
      </c>
      <c r="AG48" s="16">
        <v>2.5216955213466501E-2</v>
      </c>
      <c r="AH48">
        <v>156</v>
      </c>
      <c r="AI48" s="16">
        <v>0.103102786620732</v>
      </c>
      <c r="AJ48">
        <v>156</v>
      </c>
      <c r="AK48" s="16">
        <v>0.99380750948497698</v>
      </c>
      <c r="AL48" s="11">
        <v>156</v>
      </c>
    </row>
    <row r="49" spans="1:38" outlineLevel="1" x14ac:dyDescent="0.25">
      <c r="A49" s="6" t="s">
        <v>15</v>
      </c>
      <c r="B49" t="s">
        <v>55</v>
      </c>
      <c r="C49" s="16">
        <v>1.76201627335037E-2</v>
      </c>
      <c r="D49">
        <v>235</v>
      </c>
      <c r="E49" s="16">
        <v>2.9290845732469602E-2</v>
      </c>
      <c r="F49">
        <v>235</v>
      </c>
      <c r="G49" s="16"/>
      <c r="I49" s="16">
        <v>1.76201627335037E-2</v>
      </c>
      <c r="J49">
        <v>235</v>
      </c>
      <c r="K49" s="16">
        <v>8.7235120099575306E-2</v>
      </c>
      <c r="L49">
        <v>235</v>
      </c>
      <c r="M49" s="16">
        <v>1</v>
      </c>
      <c r="N49">
        <v>235</v>
      </c>
      <c r="O49" s="16">
        <v>1.51108173838987E-2</v>
      </c>
      <c r="P49">
        <v>112</v>
      </c>
      <c r="Q49" s="16">
        <v>2.3647778391385699E-2</v>
      </c>
      <c r="R49">
        <v>112</v>
      </c>
      <c r="S49" s="16"/>
      <c r="U49" s="16">
        <v>1.51108173838987E-2</v>
      </c>
      <c r="V49">
        <v>112</v>
      </c>
      <c r="W49" s="16">
        <v>0.111196153066665</v>
      </c>
      <c r="X49">
        <v>112</v>
      </c>
      <c r="Y49" s="16">
        <v>1</v>
      </c>
      <c r="Z49">
        <v>112</v>
      </c>
      <c r="AA49" s="16">
        <v>2.01813132642427E-2</v>
      </c>
      <c r="AB49">
        <v>121</v>
      </c>
      <c r="AC49" s="16">
        <v>3.4893843794759301E-2</v>
      </c>
      <c r="AD49">
        <v>121</v>
      </c>
      <c r="AE49" s="16"/>
      <c r="AG49" s="16">
        <v>2.01813132642427E-2</v>
      </c>
      <c r="AH49">
        <v>121</v>
      </c>
      <c r="AI49" s="16">
        <v>6.66503520597789E-2</v>
      </c>
      <c r="AJ49">
        <v>121</v>
      </c>
      <c r="AK49" s="16">
        <v>1</v>
      </c>
      <c r="AL49" s="11">
        <v>121</v>
      </c>
    </row>
    <row r="50" spans="1:38" outlineLevel="1" x14ac:dyDescent="0.25">
      <c r="A50" s="6" t="s">
        <v>15</v>
      </c>
      <c r="B50" t="s">
        <v>56</v>
      </c>
      <c r="C50" s="16">
        <v>2.36350608388219E-2</v>
      </c>
      <c r="D50">
        <v>208</v>
      </c>
      <c r="E50" s="16">
        <v>4.3538863482228601E-2</v>
      </c>
      <c r="F50">
        <v>208</v>
      </c>
      <c r="G50" s="16">
        <v>1.4181036503293099E-2</v>
      </c>
      <c r="H50">
        <v>208</v>
      </c>
      <c r="I50" s="16">
        <v>9.4540243355287507E-3</v>
      </c>
      <c r="J50">
        <v>208</v>
      </c>
      <c r="K50" s="16">
        <v>4.8476052994703402E-2</v>
      </c>
      <c r="L50">
        <v>208</v>
      </c>
      <c r="M50" s="16">
        <v>0.99507198853938295</v>
      </c>
      <c r="N50">
        <v>208</v>
      </c>
      <c r="O50" s="16">
        <v>1.7254293500567699E-2</v>
      </c>
      <c r="P50">
        <v>114</v>
      </c>
      <c r="Q50" s="16">
        <v>3.53589209267351E-2</v>
      </c>
      <c r="R50">
        <v>114</v>
      </c>
      <c r="S50" s="16">
        <v>8.6271467502838702E-3</v>
      </c>
      <c r="T50">
        <v>114</v>
      </c>
      <c r="U50" s="16">
        <v>8.6271467502838702E-3</v>
      </c>
      <c r="V50">
        <v>114</v>
      </c>
      <c r="W50" s="16">
        <v>4.4469563030049203E-2</v>
      </c>
      <c r="X50">
        <v>114</v>
      </c>
      <c r="Y50" s="16">
        <v>0.991006014677147</v>
      </c>
      <c r="Z50">
        <v>114</v>
      </c>
      <c r="AA50" s="16">
        <v>3.1681982063378702E-2</v>
      </c>
      <c r="AB50">
        <v>93</v>
      </c>
      <c r="AC50" s="16">
        <v>5.3987015856354001E-2</v>
      </c>
      <c r="AD50">
        <v>93</v>
      </c>
      <c r="AE50" s="16">
        <v>2.1121321375585801E-2</v>
      </c>
      <c r="AF50">
        <v>93</v>
      </c>
      <c r="AG50" s="16">
        <v>1.05606606877929E-2</v>
      </c>
      <c r="AH50">
        <v>93</v>
      </c>
      <c r="AI50" s="16">
        <v>5.38647187566638E-2</v>
      </c>
      <c r="AJ50">
        <v>93</v>
      </c>
      <c r="AK50" s="16">
        <v>1</v>
      </c>
      <c r="AL50" s="11">
        <v>93</v>
      </c>
    </row>
    <row r="51" spans="1:38" outlineLevel="1" x14ac:dyDescent="0.25">
      <c r="A51" s="6" t="s">
        <v>15</v>
      </c>
      <c r="B51" t="s">
        <v>57</v>
      </c>
      <c r="C51" s="16">
        <v>1.05153632872987E-2</v>
      </c>
      <c r="D51">
        <v>191</v>
      </c>
      <c r="E51" s="16">
        <v>3.1389073553027599E-2</v>
      </c>
      <c r="F51">
        <v>191</v>
      </c>
      <c r="G51" s="16"/>
      <c r="I51" s="16">
        <v>1.05153632872987E-2</v>
      </c>
      <c r="J51">
        <v>191</v>
      </c>
      <c r="K51" s="16">
        <v>5.7778927549142697E-2</v>
      </c>
      <c r="L51">
        <v>191</v>
      </c>
      <c r="M51" s="16">
        <v>1</v>
      </c>
      <c r="N51">
        <v>191</v>
      </c>
      <c r="O51" s="16">
        <v>1.0618512708670201E-2</v>
      </c>
      <c r="P51">
        <v>94</v>
      </c>
      <c r="Q51" s="16">
        <v>4.2474050834680602E-2</v>
      </c>
      <c r="R51">
        <v>94</v>
      </c>
      <c r="S51" s="16"/>
      <c r="U51" s="16">
        <v>1.0618512708670201E-2</v>
      </c>
      <c r="V51">
        <v>94</v>
      </c>
      <c r="W51" s="16">
        <v>6.3711076252020896E-2</v>
      </c>
      <c r="X51">
        <v>94</v>
      </c>
      <c r="Y51" s="16">
        <v>1</v>
      </c>
      <c r="Z51">
        <v>94</v>
      </c>
      <c r="AA51" s="16">
        <v>1.0415683787852299E-2</v>
      </c>
      <c r="AB51">
        <v>97</v>
      </c>
      <c r="AC51" s="16">
        <v>2.0676992262420299E-2</v>
      </c>
      <c r="AD51">
        <v>97</v>
      </c>
      <c r="AE51" s="16"/>
      <c r="AG51" s="16">
        <v>1.0415683787852299E-2</v>
      </c>
      <c r="AH51">
        <v>97</v>
      </c>
      <c r="AI51" s="16">
        <v>5.20463349133077E-2</v>
      </c>
      <c r="AJ51">
        <v>97</v>
      </c>
      <c r="AK51" s="16">
        <v>1</v>
      </c>
      <c r="AL51" s="11">
        <v>97</v>
      </c>
    </row>
    <row r="52" spans="1:38" outlineLevel="1" x14ac:dyDescent="0.25">
      <c r="A52" s="6" t="s">
        <v>15</v>
      </c>
      <c r="B52" t="s">
        <v>60</v>
      </c>
      <c r="C52" s="16">
        <v>1.3333333333333299E-2</v>
      </c>
      <c r="D52">
        <v>150</v>
      </c>
      <c r="E52" s="16">
        <v>1.3333333333333299E-2</v>
      </c>
      <c r="F52">
        <v>150</v>
      </c>
      <c r="G52" s="16"/>
      <c r="I52" s="16">
        <v>1.3333333333333299E-2</v>
      </c>
      <c r="J52">
        <v>150</v>
      </c>
      <c r="K52" s="16">
        <v>0.02</v>
      </c>
      <c r="L52">
        <v>150</v>
      </c>
      <c r="M52" s="16">
        <v>1</v>
      </c>
      <c r="N52">
        <v>150</v>
      </c>
      <c r="O52" s="16"/>
      <c r="Q52" s="16"/>
      <c r="S52" s="16"/>
      <c r="U52" s="16"/>
      <c r="W52" s="16"/>
      <c r="Y52" s="16">
        <v>1</v>
      </c>
      <c r="Z52">
        <v>78</v>
      </c>
      <c r="AA52" s="16">
        <v>2.7777777777777801E-2</v>
      </c>
      <c r="AB52">
        <v>72</v>
      </c>
      <c r="AC52" s="16">
        <v>2.7777777777777801E-2</v>
      </c>
      <c r="AD52">
        <v>72</v>
      </c>
      <c r="AE52" s="16"/>
      <c r="AG52" s="16">
        <v>2.7777777777777801E-2</v>
      </c>
      <c r="AH52">
        <v>72</v>
      </c>
      <c r="AI52" s="16">
        <v>4.1666666666666699E-2</v>
      </c>
      <c r="AJ52">
        <v>72</v>
      </c>
      <c r="AK52" s="16">
        <v>1</v>
      </c>
      <c r="AL52" s="11">
        <v>72</v>
      </c>
    </row>
    <row r="53" spans="1:38" outlineLevel="1" x14ac:dyDescent="0.25">
      <c r="A53" s="6" t="s">
        <v>15</v>
      </c>
      <c r="B53" t="s">
        <v>61</v>
      </c>
      <c r="C53" s="16">
        <v>9.4339622641509396E-3</v>
      </c>
      <c r="D53">
        <v>106</v>
      </c>
      <c r="E53" s="16">
        <v>1.88679245283019E-2</v>
      </c>
      <c r="F53">
        <v>106</v>
      </c>
      <c r="G53" s="16"/>
      <c r="I53" s="16">
        <v>9.4339622641509396E-3</v>
      </c>
      <c r="J53">
        <v>106</v>
      </c>
      <c r="K53" s="16">
        <v>5.6603773584905703E-2</v>
      </c>
      <c r="L53">
        <v>106</v>
      </c>
      <c r="M53" s="16">
        <v>1</v>
      </c>
      <c r="N53">
        <v>106</v>
      </c>
      <c r="O53" s="16"/>
      <c r="Q53" s="16">
        <v>1.7543859649122799E-2</v>
      </c>
      <c r="R53">
        <v>57</v>
      </c>
      <c r="S53" s="16"/>
      <c r="U53" s="16"/>
      <c r="W53" s="16">
        <v>7.0175438596491196E-2</v>
      </c>
      <c r="X53">
        <v>57</v>
      </c>
      <c r="Y53" s="16">
        <v>1</v>
      </c>
      <c r="Z53">
        <v>57</v>
      </c>
      <c r="AA53" s="16">
        <v>2.04081632653061E-2</v>
      </c>
      <c r="AB53">
        <v>49</v>
      </c>
      <c r="AC53" s="16">
        <v>2.04081632653061E-2</v>
      </c>
      <c r="AD53">
        <v>49</v>
      </c>
      <c r="AE53" s="16"/>
      <c r="AG53" s="16">
        <v>2.04081632653061E-2</v>
      </c>
      <c r="AH53">
        <v>49</v>
      </c>
      <c r="AI53" s="16">
        <v>4.08163265306122E-2</v>
      </c>
      <c r="AJ53">
        <v>49</v>
      </c>
      <c r="AK53" s="16">
        <v>1</v>
      </c>
      <c r="AL53" s="11">
        <v>49</v>
      </c>
    </row>
    <row r="54" spans="1:38" outlineLevel="1" x14ac:dyDescent="0.25">
      <c r="A54" s="6" t="s">
        <v>15</v>
      </c>
      <c r="B54" t="s">
        <v>62</v>
      </c>
      <c r="C54" s="16">
        <v>1.10203138546875E-2</v>
      </c>
      <c r="D54">
        <v>195</v>
      </c>
      <c r="E54" s="16">
        <v>1.65253126773648E-2</v>
      </c>
      <c r="F54">
        <v>195</v>
      </c>
      <c r="G54" s="16"/>
      <c r="I54" s="16">
        <v>1.10203138546875E-2</v>
      </c>
      <c r="J54">
        <v>195</v>
      </c>
      <c r="K54" s="16">
        <v>6.8332090771578397E-2</v>
      </c>
      <c r="L54">
        <v>195</v>
      </c>
      <c r="M54" s="16">
        <v>1</v>
      </c>
      <c r="N54">
        <v>195</v>
      </c>
      <c r="O54" s="16">
        <v>2.34172375624076E-2</v>
      </c>
      <c r="P54">
        <v>91</v>
      </c>
      <c r="Q54" s="16">
        <v>2.34172375624076E-2</v>
      </c>
      <c r="R54">
        <v>91</v>
      </c>
      <c r="S54" s="16"/>
      <c r="U54" s="16">
        <v>2.34172375624076E-2</v>
      </c>
      <c r="V54">
        <v>91</v>
      </c>
      <c r="W54" s="16">
        <v>6.2691536679315193E-2</v>
      </c>
      <c r="X54">
        <v>91</v>
      </c>
      <c r="Y54" s="16">
        <v>1</v>
      </c>
      <c r="Z54">
        <v>91</v>
      </c>
      <c r="AA54" s="16"/>
      <c r="AC54" s="16">
        <v>1.03986979552943E-2</v>
      </c>
      <c r="AD54">
        <v>104</v>
      </c>
      <c r="AE54" s="16"/>
      <c r="AG54" s="16"/>
      <c r="AI54" s="16">
        <v>7.3346292510383299E-2</v>
      </c>
      <c r="AJ54">
        <v>104</v>
      </c>
      <c r="AK54" s="16">
        <v>1</v>
      </c>
      <c r="AL54" s="11">
        <v>104</v>
      </c>
    </row>
    <row r="55" spans="1:38" outlineLevel="1" x14ac:dyDescent="0.25">
      <c r="A55" s="6" t="s">
        <v>15</v>
      </c>
      <c r="B55" t="s">
        <v>63</v>
      </c>
      <c r="C55" s="16">
        <v>1.34582601944747E-2</v>
      </c>
      <c r="D55">
        <v>216</v>
      </c>
      <c r="E55" s="16">
        <v>1.82050989554936E-2</v>
      </c>
      <c r="F55">
        <v>216</v>
      </c>
      <c r="G55" s="16">
        <v>9.4936775220379604E-3</v>
      </c>
      <c r="H55">
        <v>216</v>
      </c>
      <c r="I55" s="16">
        <v>1.34582601944747E-2</v>
      </c>
      <c r="J55">
        <v>216</v>
      </c>
      <c r="K55" s="16">
        <v>5.135063215776E-2</v>
      </c>
      <c r="L55">
        <v>216</v>
      </c>
      <c r="M55" s="16">
        <v>0.98654173980552495</v>
      </c>
      <c r="N55">
        <v>216</v>
      </c>
      <c r="O55" s="16">
        <v>1.6808816276536499E-2</v>
      </c>
      <c r="P55">
        <v>122</v>
      </c>
      <c r="Q55" s="16">
        <v>1.6808816276536499E-2</v>
      </c>
      <c r="R55">
        <v>122</v>
      </c>
      <c r="S55" s="16">
        <v>1.6808816276536499E-2</v>
      </c>
      <c r="T55">
        <v>122</v>
      </c>
      <c r="U55" s="16">
        <v>1.6808816276536499E-2</v>
      </c>
      <c r="V55">
        <v>122</v>
      </c>
      <c r="W55" s="16">
        <v>5.7300069214251001E-2</v>
      </c>
      <c r="X55">
        <v>122</v>
      </c>
      <c r="Y55" s="16">
        <v>0.98319118372346304</v>
      </c>
      <c r="Z55">
        <v>122</v>
      </c>
      <c r="AA55" s="16">
        <v>9.1098670839493499E-3</v>
      </c>
      <c r="AB55">
        <v>94</v>
      </c>
      <c r="AC55" s="16">
        <v>2.00172118802792E-2</v>
      </c>
      <c r="AD55">
        <v>94</v>
      </c>
      <c r="AE55" s="16"/>
      <c r="AG55" s="16">
        <v>9.1098670839493499E-3</v>
      </c>
      <c r="AH55">
        <v>94</v>
      </c>
      <c r="AI55" s="16">
        <v>4.36293791853192E-2</v>
      </c>
      <c r="AJ55">
        <v>94</v>
      </c>
      <c r="AK55" s="16">
        <v>0.99089013291605099</v>
      </c>
      <c r="AL55" s="11">
        <v>94</v>
      </c>
    </row>
    <row r="56" spans="1:38" outlineLevel="1" x14ac:dyDescent="0.25">
      <c r="A56" s="6" t="s">
        <v>15</v>
      </c>
      <c r="B56" t="s">
        <v>66</v>
      </c>
      <c r="C56" s="16">
        <v>3.2653061224489799E-2</v>
      </c>
      <c r="D56">
        <v>245</v>
      </c>
      <c r="E56" s="16">
        <v>5.7142857142857099E-2</v>
      </c>
      <c r="F56">
        <v>245</v>
      </c>
      <c r="G56" s="16">
        <v>1.6326530612244899E-2</v>
      </c>
      <c r="H56">
        <v>245</v>
      </c>
      <c r="I56" s="16">
        <v>2.04081632653061E-2</v>
      </c>
      <c r="J56">
        <v>245</v>
      </c>
      <c r="K56" s="16">
        <v>0.15102040816326501</v>
      </c>
      <c r="L56">
        <v>245</v>
      </c>
      <c r="M56" s="16">
        <v>1</v>
      </c>
      <c r="N56">
        <v>245</v>
      </c>
      <c r="O56" s="16">
        <v>2.5862068965517199E-2</v>
      </c>
      <c r="P56">
        <v>116</v>
      </c>
      <c r="Q56" s="16">
        <v>5.1724137931034503E-2</v>
      </c>
      <c r="R56">
        <v>116</v>
      </c>
      <c r="S56" s="16">
        <v>1.72413793103448E-2</v>
      </c>
      <c r="T56">
        <v>116</v>
      </c>
      <c r="U56" s="16">
        <v>1.72413793103448E-2</v>
      </c>
      <c r="V56">
        <v>116</v>
      </c>
      <c r="W56" s="16">
        <v>0.163793103448276</v>
      </c>
      <c r="X56">
        <v>116</v>
      </c>
      <c r="Y56" s="16">
        <v>1</v>
      </c>
      <c r="Z56">
        <v>116</v>
      </c>
      <c r="AA56" s="16">
        <v>3.8759689922480599E-2</v>
      </c>
      <c r="AB56">
        <v>129</v>
      </c>
      <c r="AC56" s="16">
        <v>6.2015503875968998E-2</v>
      </c>
      <c r="AD56">
        <v>129</v>
      </c>
      <c r="AE56" s="16">
        <v>1.5503875968992199E-2</v>
      </c>
      <c r="AF56">
        <v>129</v>
      </c>
      <c r="AG56" s="16">
        <v>2.32558139534884E-2</v>
      </c>
      <c r="AH56">
        <v>129</v>
      </c>
      <c r="AI56" s="16">
        <v>0.13953488372093001</v>
      </c>
      <c r="AJ56">
        <v>129</v>
      </c>
      <c r="AK56" s="16">
        <v>1</v>
      </c>
      <c r="AL56" s="11">
        <v>129</v>
      </c>
    </row>
    <row r="57" spans="1:38" outlineLevel="1" x14ac:dyDescent="0.25">
      <c r="A57" s="6" t="s">
        <v>15</v>
      </c>
      <c r="B57" t="s">
        <v>67</v>
      </c>
      <c r="C57" s="16">
        <v>4.5662100456621002E-2</v>
      </c>
      <c r="D57">
        <v>219</v>
      </c>
      <c r="E57" s="16">
        <v>5.0228310502283102E-2</v>
      </c>
      <c r="F57">
        <v>219</v>
      </c>
      <c r="G57" s="16"/>
      <c r="I57" s="16">
        <v>4.5662100456621002E-2</v>
      </c>
      <c r="J57">
        <v>219</v>
      </c>
      <c r="K57" s="16">
        <v>0.100456621004566</v>
      </c>
      <c r="L57">
        <v>219</v>
      </c>
      <c r="M57" s="16">
        <v>1</v>
      </c>
      <c r="N57">
        <v>219</v>
      </c>
      <c r="O57" s="16">
        <v>4.3478260869565202E-2</v>
      </c>
      <c r="P57">
        <v>115</v>
      </c>
      <c r="Q57" s="16">
        <v>4.3478260869565202E-2</v>
      </c>
      <c r="R57">
        <v>115</v>
      </c>
      <c r="S57" s="16"/>
      <c r="U57" s="16">
        <v>4.3478260869565202E-2</v>
      </c>
      <c r="V57">
        <v>115</v>
      </c>
      <c r="W57" s="16">
        <v>0.11304347826087</v>
      </c>
      <c r="X57">
        <v>115</v>
      </c>
      <c r="Y57" s="16">
        <v>1</v>
      </c>
      <c r="Z57">
        <v>115</v>
      </c>
      <c r="AA57" s="16">
        <v>4.8543689320388397E-2</v>
      </c>
      <c r="AB57">
        <v>103</v>
      </c>
      <c r="AC57" s="16">
        <v>5.8252427184466E-2</v>
      </c>
      <c r="AD57">
        <v>103</v>
      </c>
      <c r="AE57" s="16"/>
      <c r="AG57" s="16">
        <v>4.8543689320388397E-2</v>
      </c>
      <c r="AH57">
        <v>103</v>
      </c>
      <c r="AI57" s="16">
        <v>8.7378640776699004E-2</v>
      </c>
      <c r="AJ57">
        <v>103</v>
      </c>
      <c r="AK57" s="16">
        <v>1</v>
      </c>
      <c r="AL57" s="11">
        <v>103</v>
      </c>
    </row>
    <row r="58" spans="1:38" outlineLevel="1" x14ac:dyDescent="0.25">
      <c r="A58" s="6" t="s">
        <v>15</v>
      </c>
      <c r="B58" t="s">
        <v>68</v>
      </c>
      <c r="C58" s="16">
        <v>5.31914893617021E-3</v>
      </c>
      <c r="D58">
        <v>188</v>
      </c>
      <c r="E58" s="16">
        <v>5.31914893617021E-3</v>
      </c>
      <c r="F58">
        <v>188</v>
      </c>
      <c r="G58" s="16"/>
      <c r="I58" s="16">
        <v>5.31914893617021E-3</v>
      </c>
      <c r="J58">
        <v>188</v>
      </c>
      <c r="K58" s="16">
        <v>4.2553191489361701E-2</v>
      </c>
      <c r="L58">
        <v>188</v>
      </c>
      <c r="M58" s="16">
        <v>1</v>
      </c>
      <c r="N58">
        <v>188</v>
      </c>
      <c r="O58" s="16">
        <v>9.0090090090090107E-3</v>
      </c>
      <c r="P58">
        <v>111</v>
      </c>
      <c r="Q58" s="16">
        <v>9.0090090090090107E-3</v>
      </c>
      <c r="R58">
        <v>111</v>
      </c>
      <c r="S58" s="16"/>
      <c r="U58" s="16">
        <v>9.0090090090090107E-3</v>
      </c>
      <c r="V58">
        <v>111</v>
      </c>
      <c r="W58" s="16">
        <v>5.4054054054054099E-2</v>
      </c>
      <c r="X58">
        <v>111</v>
      </c>
      <c r="Y58" s="16">
        <v>1</v>
      </c>
      <c r="Z58">
        <v>111</v>
      </c>
      <c r="AA58" s="16"/>
      <c r="AC58" s="16"/>
      <c r="AE58" s="16"/>
      <c r="AG58" s="16"/>
      <c r="AI58" s="16">
        <v>2.5974025974026E-2</v>
      </c>
      <c r="AJ58">
        <v>77</v>
      </c>
      <c r="AK58" s="16">
        <v>1</v>
      </c>
      <c r="AL58" s="11">
        <v>77</v>
      </c>
    </row>
    <row r="59" spans="1:38" outlineLevel="1" x14ac:dyDescent="0.25">
      <c r="A59" s="6" t="s">
        <v>15</v>
      </c>
      <c r="B59" t="s">
        <v>69</v>
      </c>
      <c r="C59" s="16">
        <v>0.145985401459854</v>
      </c>
      <c r="D59">
        <v>137</v>
      </c>
      <c r="E59" s="16">
        <v>0.160583941605839</v>
      </c>
      <c r="F59">
        <v>137</v>
      </c>
      <c r="G59" s="16">
        <v>5.8394160583941597E-2</v>
      </c>
      <c r="H59">
        <v>137</v>
      </c>
      <c r="I59" s="16">
        <v>0.102189781021898</v>
      </c>
      <c r="J59">
        <v>137</v>
      </c>
      <c r="K59" s="16">
        <v>0.102189781021898</v>
      </c>
      <c r="L59">
        <v>137</v>
      </c>
      <c r="M59" s="16">
        <v>1</v>
      </c>
      <c r="N59">
        <v>137</v>
      </c>
      <c r="O59" s="16">
        <v>0.12</v>
      </c>
      <c r="P59">
        <v>75</v>
      </c>
      <c r="Q59" s="16">
        <v>0.133333333333333</v>
      </c>
      <c r="R59">
        <v>75</v>
      </c>
      <c r="S59" s="16">
        <v>6.6666666666666693E-2</v>
      </c>
      <c r="T59">
        <v>75</v>
      </c>
      <c r="U59" s="16">
        <v>6.6666666666666693E-2</v>
      </c>
      <c r="V59">
        <v>75</v>
      </c>
      <c r="W59" s="16">
        <v>0.12</v>
      </c>
      <c r="X59">
        <v>75</v>
      </c>
      <c r="Y59" s="16">
        <v>1</v>
      </c>
      <c r="Z59">
        <v>75</v>
      </c>
      <c r="AA59" s="16">
        <v>0.17741935483870999</v>
      </c>
      <c r="AB59">
        <v>62</v>
      </c>
      <c r="AC59" s="16">
        <v>0.19354838709677399</v>
      </c>
      <c r="AD59">
        <v>62</v>
      </c>
      <c r="AE59" s="16">
        <v>4.8387096774193498E-2</v>
      </c>
      <c r="AF59">
        <v>62</v>
      </c>
      <c r="AG59" s="16">
        <v>0.14516129032258099</v>
      </c>
      <c r="AH59">
        <v>62</v>
      </c>
      <c r="AI59" s="16">
        <v>8.0645161290322606E-2</v>
      </c>
      <c r="AJ59">
        <v>62</v>
      </c>
      <c r="AK59" s="16">
        <v>1</v>
      </c>
      <c r="AL59" s="11">
        <v>62</v>
      </c>
    </row>
    <row r="60" spans="1:38" outlineLevel="1" x14ac:dyDescent="0.25">
      <c r="A60" s="6" t="s">
        <v>15</v>
      </c>
      <c r="B60" t="s">
        <v>70</v>
      </c>
      <c r="C60" s="16">
        <v>7.0422535211267599E-3</v>
      </c>
      <c r="D60">
        <v>142</v>
      </c>
      <c r="E60" s="16">
        <v>7.0422535211267599E-3</v>
      </c>
      <c r="F60">
        <v>142</v>
      </c>
      <c r="G60" s="16"/>
      <c r="I60" s="16">
        <v>7.0422535211267599E-3</v>
      </c>
      <c r="J60">
        <v>142</v>
      </c>
      <c r="K60" s="16">
        <v>1.4084507042253501E-2</v>
      </c>
      <c r="L60">
        <v>142</v>
      </c>
      <c r="M60" s="16">
        <v>1</v>
      </c>
      <c r="N60">
        <v>142</v>
      </c>
      <c r="O60" s="16"/>
      <c r="Q60" s="16"/>
      <c r="S60" s="16"/>
      <c r="U60" s="16"/>
      <c r="W60" s="16">
        <v>1.6129032258064498E-2</v>
      </c>
      <c r="X60">
        <v>62</v>
      </c>
      <c r="Y60" s="16">
        <v>1</v>
      </c>
      <c r="Z60">
        <v>62</v>
      </c>
      <c r="AA60" s="16">
        <v>1.2500000000000001E-2</v>
      </c>
      <c r="AB60">
        <v>80</v>
      </c>
      <c r="AC60" s="16">
        <v>1.2500000000000001E-2</v>
      </c>
      <c r="AD60">
        <v>80</v>
      </c>
      <c r="AE60" s="16"/>
      <c r="AG60" s="16">
        <v>1.2500000000000001E-2</v>
      </c>
      <c r="AH60">
        <v>80</v>
      </c>
      <c r="AI60" s="16">
        <v>1.2500000000000001E-2</v>
      </c>
      <c r="AJ60">
        <v>80</v>
      </c>
      <c r="AK60" s="16">
        <v>1</v>
      </c>
      <c r="AL60" s="11">
        <v>80</v>
      </c>
    </row>
    <row r="61" spans="1:38" outlineLevel="1" x14ac:dyDescent="0.25">
      <c r="A61" s="6" t="s">
        <v>15</v>
      </c>
      <c r="B61" t="s">
        <v>74</v>
      </c>
      <c r="C61" s="16">
        <v>1.8181818181818198E-2</v>
      </c>
      <c r="D61">
        <v>55</v>
      </c>
      <c r="E61" s="16">
        <v>7.2727272727272696E-2</v>
      </c>
      <c r="F61">
        <v>55</v>
      </c>
      <c r="G61" s="16">
        <v>1.8181818181818198E-2</v>
      </c>
      <c r="H61">
        <v>55</v>
      </c>
      <c r="I61" s="16"/>
      <c r="K61" s="16">
        <v>0.12727272727272701</v>
      </c>
      <c r="L61">
        <v>55</v>
      </c>
      <c r="M61" s="16">
        <v>1</v>
      </c>
      <c r="N61">
        <v>55</v>
      </c>
      <c r="O61" s="16">
        <v>2.9411764705882401E-2</v>
      </c>
      <c r="P61">
        <v>34</v>
      </c>
      <c r="Q61" s="16">
        <v>5.8823529411764698E-2</v>
      </c>
      <c r="R61">
        <v>34</v>
      </c>
      <c r="S61" s="16">
        <v>2.9411764705882401E-2</v>
      </c>
      <c r="T61">
        <v>34</v>
      </c>
      <c r="U61" s="16"/>
      <c r="W61" s="16">
        <v>0.14705882352941199</v>
      </c>
      <c r="X61">
        <v>34</v>
      </c>
      <c r="Y61" s="16">
        <v>1</v>
      </c>
      <c r="Z61">
        <v>34</v>
      </c>
      <c r="AA61" s="16"/>
      <c r="AC61" s="16">
        <v>9.5238095238095205E-2</v>
      </c>
      <c r="AD61">
        <v>21</v>
      </c>
      <c r="AE61" s="16"/>
      <c r="AG61" s="16"/>
      <c r="AI61" s="16">
        <v>9.5238095238095205E-2</v>
      </c>
      <c r="AJ61">
        <v>21</v>
      </c>
      <c r="AK61" s="16">
        <v>1</v>
      </c>
      <c r="AL61" s="11">
        <v>21</v>
      </c>
    </row>
    <row r="62" spans="1:38" outlineLevel="1" x14ac:dyDescent="0.25">
      <c r="A62" s="6" t="s">
        <v>15</v>
      </c>
      <c r="B62" t="s">
        <v>75</v>
      </c>
      <c r="C62" s="16">
        <v>7.8740157480314994E-3</v>
      </c>
      <c r="D62">
        <v>127</v>
      </c>
      <c r="E62" s="16">
        <v>1.5748031496062999E-2</v>
      </c>
      <c r="F62">
        <v>127</v>
      </c>
      <c r="G62" s="16"/>
      <c r="I62" s="16">
        <v>7.8740157480314994E-3</v>
      </c>
      <c r="J62">
        <v>127</v>
      </c>
      <c r="K62" s="16">
        <v>3.9370078740157501E-2</v>
      </c>
      <c r="L62">
        <v>127</v>
      </c>
      <c r="M62" s="16">
        <v>0.99212598425196896</v>
      </c>
      <c r="N62">
        <v>127</v>
      </c>
      <c r="O62" s="16">
        <v>1.38888888888889E-2</v>
      </c>
      <c r="P62">
        <v>72</v>
      </c>
      <c r="Q62" s="16">
        <v>2.7777777777777801E-2</v>
      </c>
      <c r="R62">
        <v>72</v>
      </c>
      <c r="S62" s="16"/>
      <c r="U62" s="16">
        <v>1.38888888888889E-2</v>
      </c>
      <c r="V62">
        <v>72</v>
      </c>
      <c r="W62" s="16">
        <v>4.1666666666666699E-2</v>
      </c>
      <c r="X62">
        <v>72</v>
      </c>
      <c r="Y62" s="16">
        <v>0.98611111111111105</v>
      </c>
      <c r="Z62">
        <v>72</v>
      </c>
      <c r="AA62" s="16"/>
      <c r="AC62" s="16"/>
      <c r="AE62" s="16"/>
      <c r="AG62" s="16"/>
      <c r="AI62" s="16">
        <v>3.6363636363636397E-2</v>
      </c>
      <c r="AJ62">
        <v>55</v>
      </c>
      <c r="AK62" s="16">
        <v>1</v>
      </c>
      <c r="AL62" s="11">
        <v>55</v>
      </c>
    </row>
    <row r="63" spans="1:38" outlineLevel="1" x14ac:dyDescent="0.25">
      <c r="A63" s="6" t="s">
        <v>15</v>
      </c>
      <c r="B63" t="s">
        <v>78</v>
      </c>
      <c r="C63" s="16">
        <v>7.1942446043165497E-3</v>
      </c>
      <c r="D63">
        <v>139</v>
      </c>
      <c r="E63" s="16">
        <v>7.1942446043165497E-3</v>
      </c>
      <c r="F63">
        <v>139</v>
      </c>
      <c r="G63" s="16"/>
      <c r="I63" s="16">
        <v>7.1942446043165497E-3</v>
      </c>
      <c r="J63">
        <v>139</v>
      </c>
      <c r="K63" s="16">
        <v>1.4388489208633099E-2</v>
      </c>
      <c r="L63">
        <v>139</v>
      </c>
      <c r="M63" s="16">
        <v>1</v>
      </c>
      <c r="N63">
        <v>139</v>
      </c>
      <c r="O63" s="16"/>
      <c r="Q63" s="16"/>
      <c r="S63" s="16"/>
      <c r="U63" s="16"/>
      <c r="W63" s="16"/>
      <c r="Y63" s="16">
        <v>1</v>
      </c>
      <c r="Z63">
        <v>71</v>
      </c>
      <c r="AA63" s="16">
        <v>1.4705882352941201E-2</v>
      </c>
      <c r="AB63">
        <v>68</v>
      </c>
      <c r="AC63" s="16">
        <v>1.4705882352941201E-2</v>
      </c>
      <c r="AD63">
        <v>68</v>
      </c>
      <c r="AE63" s="16"/>
      <c r="AG63" s="16">
        <v>1.4705882352941201E-2</v>
      </c>
      <c r="AH63">
        <v>68</v>
      </c>
      <c r="AI63" s="16">
        <v>2.9411764705882401E-2</v>
      </c>
      <c r="AJ63">
        <v>68</v>
      </c>
      <c r="AK63" s="16">
        <v>1</v>
      </c>
      <c r="AL63" s="11">
        <v>68</v>
      </c>
    </row>
    <row r="64" spans="1:38" outlineLevel="1" x14ac:dyDescent="0.25">
      <c r="A64" s="6" t="s">
        <v>15</v>
      </c>
      <c r="B64" t="s">
        <v>81</v>
      </c>
      <c r="C64" s="16">
        <v>2.01005025125628E-2</v>
      </c>
      <c r="D64">
        <v>199</v>
      </c>
      <c r="E64" s="16">
        <v>2.5125628140703501E-2</v>
      </c>
      <c r="F64">
        <v>199</v>
      </c>
      <c r="G64" s="16">
        <v>5.0251256281407001E-3</v>
      </c>
      <c r="H64">
        <v>199</v>
      </c>
      <c r="I64" s="16">
        <v>1.5075376884422099E-2</v>
      </c>
      <c r="J64">
        <v>199</v>
      </c>
      <c r="K64" s="16">
        <v>2.5125628140703501E-2</v>
      </c>
      <c r="L64">
        <v>199</v>
      </c>
      <c r="M64" s="16">
        <v>1</v>
      </c>
      <c r="N64">
        <v>199</v>
      </c>
      <c r="O64" s="16"/>
      <c r="Q64" s="16"/>
      <c r="S64" s="16"/>
      <c r="U64" s="16"/>
      <c r="W64" s="16">
        <v>0.01</v>
      </c>
      <c r="X64">
        <v>100</v>
      </c>
      <c r="Y64" s="16">
        <v>1</v>
      </c>
      <c r="Z64">
        <v>100</v>
      </c>
      <c r="AA64" s="16">
        <v>4.0404040404040401E-2</v>
      </c>
      <c r="AB64">
        <v>99</v>
      </c>
      <c r="AC64" s="16">
        <v>5.0505050505050497E-2</v>
      </c>
      <c r="AD64">
        <v>99</v>
      </c>
      <c r="AE64" s="16">
        <v>1.01010101010101E-2</v>
      </c>
      <c r="AF64">
        <v>99</v>
      </c>
      <c r="AG64" s="16">
        <v>3.03030303030303E-2</v>
      </c>
      <c r="AH64">
        <v>99</v>
      </c>
      <c r="AI64" s="16">
        <v>4.0404040404040401E-2</v>
      </c>
      <c r="AJ64">
        <v>99</v>
      </c>
      <c r="AK64" s="16">
        <v>1</v>
      </c>
      <c r="AL64" s="11">
        <v>99</v>
      </c>
    </row>
    <row r="65" spans="1:38" outlineLevel="1" x14ac:dyDescent="0.25">
      <c r="A65" s="6" t="s">
        <v>15</v>
      </c>
      <c r="B65" t="s">
        <v>82</v>
      </c>
      <c r="C65" s="16">
        <v>0.1</v>
      </c>
      <c r="D65">
        <v>10</v>
      </c>
      <c r="E65" s="16">
        <v>0.1</v>
      </c>
      <c r="F65">
        <v>10</v>
      </c>
      <c r="G65" s="16"/>
      <c r="I65" s="16">
        <v>0.1</v>
      </c>
      <c r="J65">
        <v>10</v>
      </c>
      <c r="K65" s="16">
        <v>0.1</v>
      </c>
      <c r="L65">
        <v>10</v>
      </c>
      <c r="M65" s="16">
        <v>1</v>
      </c>
      <c r="N65">
        <v>10</v>
      </c>
      <c r="O65" s="16"/>
      <c r="Q65" s="16"/>
      <c r="S65" s="16"/>
      <c r="U65" s="16"/>
      <c r="W65" s="16"/>
      <c r="Y65" s="16">
        <v>1</v>
      </c>
      <c r="Z65">
        <v>6</v>
      </c>
      <c r="AA65" s="16">
        <v>0.25</v>
      </c>
      <c r="AB65">
        <v>4</v>
      </c>
      <c r="AC65" s="16">
        <v>0.25</v>
      </c>
      <c r="AD65">
        <v>4</v>
      </c>
      <c r="AE65" s="16"/>
      <c r="AG65" s="16">
        <v>0.25</v>
      </c>
      <c r="AH65">
        <v>4</v>
      </c>
      <c r="AI65" s="16">
        <v>0.25</v>
      </c>
      <c r="AJ65">
        <v>4</v>
      </c>
      <c r="AK65" s="16">
        <v>1</v>
      </c>
      <c r="AL65" s="11">
        <v>4</v>
      </c>
    </row>
    <row r="66" spans="1:38" outlineLevel="1" x14ac:dyDescent="0.25">
      <c r="A66" s="6" t="s">
        <v>15</v>
      </c>
      <c r="B66" t="s">
        <v>83</v>
      </c>
      <c r="C66" s="16">
        <v>3.8138739956057197E-2</v>
      </c>
      <c r="D66">
        <v>358</v>
      </c>
      <c r="E66" s="16">
        <v>4.1588454014218401E-2</v>
      </c>
      <c r="F66">
        <v>358</v>
      </c>
      <c r="G66" s="16">
        <v>5.21754778162315E-4</v>
      </c>
      <c r="H66">
        <v>358</v>
      </c>
      <c r="I66" s="16">
        <v>3.8138739956057197E-2</v>
      </c>
      <c r="J66">
        <v>358</v>
      </c>
      <c r="K66" s="16">
        <v>3.6409984532654503E-2</v>
      </c>
      <c r="L66">
        <v>358</v>
      </c>
      <c r="M66" s="16">
        <v>0.999516107569972</v>
      </c>
      <c r="N66">
        <v>358</v>
      </c>
      <c r="O66" s="16">
        <v>3.71560290748452E-2</v>
      </c>
      <c r="P66">
        <v>165</v>
      </c>
      <c r="Q66" s="16">
        <v>4.1130593163968103E-2</v>
      </c>
      <c r="R66">
        <v>165</v>
      </c>
      <c r="S66" s="16"/>
      <c r="U66" s="16">
        <v>3.71560290748452E-2</v>
      </c>
      <c r="V66">
        <v>165</v>
      </c>
      <c r="W66" s="16">
        <v>1.6232225968119102E-2</v>
      </c>
      <c r="X66">
        <v>165</v>
      </c>
      <c r="Y66" s="16">
        <v>1</v>
      </c>
      <c r="Z66">
        <v>165</v>
      </c>
      <c r="AA66" s="16">
        <v>3.9095002173355098E-2</v>
      </c>
      <c r="AB66">
        <v>193</v>
      </c>
      <c r="AC66" s="16">
        <v>4.2033992005345903E-2</v>
      </c>
      <c r="AD66">
        <v>193</v>
      </c>
      <c r="AE66" s="16">
        <v>1.0294670571144801E-3</v>
      </c>
      <c r="AF66">
        <v>193</v>
      </c>
      <c r="AG66" s="16">
        <v>3.9095002173355098E-2</v>
      </c>
      <c r="AH66">
        <v>193</v>
      </c>
      <c r="AI66" s="16">
        <v>5.6044679246959203E-2</v>
      </c>
      <c r="AJ66">
        <v>193</v>
      </c>
      <c r="AK66" s="16">
        <v>0.999045238612562</v>
      </c>
      <c r="AL66" s="11">
        <v>193</v>
      </c>
    </row>
    <row r="67" spans="1:38" outlineLevel="1" x14ac:dyDescent="0.25">
      <c r="A67" s="6" t="s">
        <v>15</v>
      </c>
      <c r="B67" t="s">
        <v>41</v>
      </c>
      <c r="C67" s="16"/>
      <c r="E67" s="16">
        <v>7.6798884079267897E-3</v>
      </c>
      <c r="F67">
        <v>131</v>
      </c>
      <c r="G67" s="16"/>
      <c r="I67" s="16"/>
      <c r="K67" s="16">
        <v>7.6798884079267897E-3</v>
      </c>
      <c r="L67">
        <v>131</v>
      </c>
      <c r="M67" s="16">
        <v>1</v>
      </c>
      <c r="N67">
        <v>131</v>
      </c>
      <c r="O67" s="16"/>
      <c r="Q67" s="16"/>
      <c r="S67" s="16"/>
      <c r="U67" s="16"/>
      <c r="W67" s="16"/>
      <c r="Y67" s="16">
        <v>1</v>
      </c>
      <c r="Z67">
        <v>66</v>
      </c>
      <c r="AA67" s="16"/>
      <c r="AC67" s="16">
        <v>1.5481466786040799E-2</v>
      </c>
      <c r="AD67">
        <v>65</v>
      </c>
      <c r="AE67" s="16"/>
      <c r="AG67" s="16"/>
      <c r="AI67" s="16">
        <v>1.5481466786040799E-2</v>
      </c>
      <c r="AJ67">
        <v>65</v>
      </c>
      <c r="AK67" s="16">
        <v>1</v>
      </c>
      <c r="AL67" s="11">
        <v>65</v>
      </c>
    </row>
    <row r="68" spans="1:38" outlineLevel="1" x14ac:dyDescent="0.25">
      <c r="A68" s="6" t="s">
        <v>15</v>
      </c>
      <c r="B68" t="s">
        <v>42</v>
      </c>
      <c r="C68" s="16"/>
      <c r="E68" s="16">
        <v>2.3809523809523801E-2</v>
      </c>
      <c r="F68">
        <v>168</v>
      </c>
      <c r="G68" s="16"/>
      <c r="I68" s="16"/>
      <c r="K68" s="16">
        <v>8.3333333333333301E-2</v>
      </c>
      <c r="L68">
        <v>168</v>
      </c>
      <c r="M68" s="16">
        <v>1</v>
      </c>
      <c r="N68">
        <v>168</v>
      </c>
      <c r="O68" s="16"/>
      <c r="Q68" s="16">
        <v>3.5294117647058802E-2</v>
      </c>
      <c r="R68">
        <v>85</v>
      </c>
      <c r="S68" s="16"/>
      <c r="U68" s="16"/>
      <c r="W68" s="16">
        <v>7.0588235294117604E-2</v>
      </c>
      <c r="X68">
        <v>85</v>
      </c>
      <c r="Y68" s="16">
        <v>1</v>
      </c>
      <c r="Z68">
        <v>85</v>
      </c>
      <c r="AA68" s="16"/>
      <c r="AC68" s="16">
        <v>1.20481927710843E-2</v>
      </c>
      <c r="AD68">
        <v>83</v>
      </c>
      <c r="AE68" s="16"/>
      <c r="AG68" s="16"/>
      <c r="AI68" s="16">
        <v>9.6385542168674704E-2</v>
      </c>
      <c r="AJ68">
        <v>83</v>
      </c>
      <c r="AK68" s="16">
        <v>1</v>
      </c>
      <c r="AL68" s="11">
        <v>83</v>
      </c>
    </row>
    <row r="69" spans="1:38" outlineLevel="1" x14ac:dyDescent="0.25">
      <c r="A69" s="6" t="s">
        <v>15</v>
      </c>
      <c r="B69" t="s">
        <v>64</v>
      </c>
      <c r="C69" s="16"/>
      <c r="E69" s="16">
        <v>5.2851321953330298E-3</v>
      </c>
      <c r="F69">
        <v>182</v>
      </c>
      <c r="G69" s="16"/>
      <c r="I69" s="16"/>
      <c r="K69" s="16">
        <v>3.8328664176863501E-2</v>
      </c>
      <c r="L69">
        <v>182</v>
      </c>
      <c r="M69" s="16">
        <v>1</v>
      </c>
      <c r="N69">
        <v>182</v>
      </c>
      <c r="O69" s="16"/>
      <c r="Q69" s="16">
        <v>9.6243756662156704E-3</v>
      </c>
      <c r="R69">
        <v>100</v>
      </c>
      <c r="S69" s="16"/>
      <c r="U69" s="16"/>
      <c r="W69" s="16">
        <v>1.9639335671568399E-2</v>
      </c>
      <c r="X69">
        <v>100</v>
      </c>
      <c r="Y69" s="16">
        <v>1</v>
      </c>
      <c r="Z69">
        <v>100</v>
      </c>
      <c r="AA69" s="16"/>
      <c r="AC69" s="16"/>
      <c r="AE69" s="16"/>
      <c r="AG69" s="16"/>
      <c r="AI69" s="16">
        <v>6.1091980514215501E-2</v>
      </c>
      <c r="AJ69">
        <v>82</v>
      </c>
      <c r="AK69" s="16">
        <v>1</v>
      </c>
      <c r="AL69" s="11">
        <v>82</v>
      </c>
    </row>
    <row r="70" spans="1:38" outlineLevel="1" x14ac:dyDescent="0.25">
      <c r="A70" s="6" t="s">
        <v>15</v>
      </c>
      <c r="B70" t="s">
        <v>76</v>
      </c>
      <c r="C70" s="16"/>
      <c r="E70" s="16">
        <v>9.2592592592592605E-3</v>
      </c>
      <c r="F70">
        <v>108</v>
      </c>
      <c r="G70" s="16"/>
      <c r="I70" s="16"/>
      <c r="K70" s="16">
        <v>2.7777777777777801E-2</v>
      </c>
      <c r="L70">
        <v>108</v>
      </c>
      <c r="M70" s="16">
        <v>0.98148148148148096</v>
      </c>
      <c r="N70">
        <v>108</v>
      </c>
      <c r="O70" s="16"/>
      <c r="Q70" s="16">
        <v>1.5151515151515201E-2</v>
      </c>
      <c r="R70">
        <v>66</v>
      </c>
      <c r="S70" s="16"/>
      <c r="U70" s="16"/>
      <c r="W70" s="16">
        <v>3.03030303030303E-2</v>
      </c>
      <c r="X70">
        <v>66</v>
      </c>
      <c r="Y70" s="16">
        <v>0.98484848484848497</v>
      </c>
      <c r="Z70">
        <v>66</v>
      </c>
      <c r="AA70" s="16"/>
      <c r="AC70" s="16"/>
      <c r="AE70" s="16"/>
      <c r="AG70" s="16"/>
      <c r="AI70" s="16">
        <v>2.3809523809523801E-2</v>
      </c>
      <c r="AJ70">
        <v>42</v>
      </c>
      <c r="AK70" s="16">
        <v>0.97619047619047605</v>
      </c>
      <c r="AL70" s="11">
        <v>42</v>
      </c>
    </row>
    <row r="71" spans="1:38" outlineLevel="1" x14ac:dyDescent="0.25">
      <c r="A71" s="6" t="s">
        <v>15</v>
      </c>
      <c r="B71" t="s">
        <v>48</v>
      </c>
      <c r="C71" s="16"/>
      <c r="E71" s="16"/>
      <c r="G71" s="16"/>
      <c r="I71" s="16"/>
      <c r="K71" s="16">
        <v>2.1739130434782601E-2</v>
      </c>
      <c r="L71">
        <v>46</v>
      </c>
      <c r="M71" s="16">
        <v>1</v>
      </c>
      <c r="N71">
        <v>46</v>
      </c>
      <c r="O71" s="16"/>
      <c r="Q71" s="16"/>
      <c r="S71" s="16"/>
      <c r="U71" s="16"/>
      <c r="W71" s="16">
        <v>0.05</v>
      </c>
      <c r="X71">
        <v>20</v>
      </c>
      <c r="Y71" s="16">
        <v>1</v>
      </c>
      <c r="Z71">
        <v>20</v>
      </c>
      <c r="AA71" s="16"/>
      <c r="AC71" s="16"/>
      <c r="AE71" s="16"/>
      <c r="AG71" s="16"/>
      <c r="AI71" s="16"/>
      <c r="AK71" s="16">
        <v>1</v>
      </c>
      <c r="AL71" s="11">
        <v>26</v>
      </c>
    </row>
    <row r="72" spans="1:38" outlineLevel="1" x14ac:dyDescent="0.25">
      <c r="A72" s="6" t="s">
        <v>15</v>
      </c>
      <c r="B72" t="s">
        <v>58</v>
      </c>
      <c r="C72" s="16"/>
      <c r="E72" s="16"/>
      <c r="G72" s="16"/>
      <c r="I72" s="16"/>
      <c r="K72" s="16">
        <v>1.9004259029834401E-2</v>
      </c>
      <c r="L72">
        <v>152</v>
      </c>
      <c r="M72" s="16">
        <v>1</v>
      </c>
      <c r="N72">
        <v>152</v>
      </c>
      <c r="O72" s="16"/>
      <c r="Q72" s="16"/>
      <c r="S72" s="16"/>
      <c r="U72" s="16"/>
      <c r="W72" s="16">
        <v>2.8150106304453901E-2</v>
      </c>
      <c r="X72">
        <v>73</v>
      </c>
      <c r="Y72" s="16">
        <v>1</v>
      </c>
      <c r="Z72">
        <v>73</v>
      </c>
      <c r="AA72" s="16"/>
      <c r="AC72" s="16"/>
      <c r="AE72" s="16"/>
      <c r="AG72" s="16"/>
      <c r="AI72" s="16">
        <v>1.09453142736781E-2</v>
      </c>
      <c r="AJ72">
        <v>79</v>
      </c>
      <c r="AK72" s="16">
        <v>1</v>
      </c>
      <c r="AL72" s="11">
        <v>79</v>
      </c>
    </row>
    <row r="73" spans="1:38" outlineLevel="1" x14ac:dyDescent="0.25">
      <c r="A73" s="6" t="s">
        <v>15</v>
      </c>
      <c r="B73" t="s">
        <v>59</v>
      </c>
      <c r="C73" s="16"/>
      <c r="E73" s="16"/>
      <c r="G73" s="16"/>
      <c r="I73" s="16"/>
      <c r="K73" s="16">
        <v>1.2987012987013E-2</v>
      </c>
      <c r="L73">
        <v>154</v>
      </c>
      <c r="M73" s="16">
        <v>1</v>
      </c>
      <c r="N73">
        <v>154</v>
      </c>
      <c r="O73" s="16"/>
      <c r="Q73" s="16"/>
      <c r="S73" s="16"/>
      <c r="U73" s="16"/>
      <c r="W73" s="16">
        <v>2.40963855421687E-2</v>
      </c>
      <c r="X73">
        <v>83</v>
      </c>
      <c r="Y73" s="16">
        <v>1</v>
      </c>
      <c r="Z73">
        <v>83</v>
      </c>
      <c r="AA73" s="16"/>
      <c r="AC73" s="16"/>
      <c r="AE73" s="16"/>
      <c r="AG73" s="16"/>
      <c r="AI73" s="16"/>
      <c r="AK73" s="16">
        <v>1</v>
      </c>
      <c r="AL73" s="11">
        <v>71</v>
      </c>
    </row>
    <row r="74" spans="1:38" outlineLevel="1" x14ac:dyDescent="0.25">
      <c r="A74" s="6" t="s">
        <v>15</v>
      </c>
      <c r="B74" t="s">
        <v>71</v>
      </c>
      <c r="C74" s="16"/>
      <c r="E74" s="16"/>
      <c r="G74" s="16"/>
      <c r="I74" s="16"/>
      <c r="K74" s="16">
        <v>5.9880239520958096E-3</v>
      </c>
      <c r="L74">
        <v>167</v>
      </c>
      <c r="M74" s="16">
        <v>1</v>
      </c>
      <c r="N74">
        <v>167</v>
      </c>
      <c r="O74" s="16"/>
      <c r="Q74" s="16"/>
      <c r="S74" s="16"/>
      <c r="U74" s="16"/>
      <c r="W74" s="16">
        <v>1.1904761904761901E-2</v>
      </c>
      <c r="X74">
        <v>84</v>
      </c>
      <c r="Y74" s="16">
        <v>1</v>
      </c>
      <c r="Z74">
        <v>84</v>
      </c>
      <c r="AA74" s="16"/>
      <c r="AC74" s="16"/>
      <c r="AE74" s="16"/>
      <c r="AG74" s="16"/>
      <c r="AI74" s="16"/>
      <c r="AK74" s="16">
        <v>1</v>
      </c>
      <c r="AL74" s="11">
        <v>83</v>
      </c>
    </row>
    <row r="75" spans="1:38" outlineLevel="1" x14ac:dyDescent="0.25">
      <c r="A75" s="6" t="s">
        <v>15</v>
      </c>
      <c r="B75" t="s">
        <v>79</v>
      </c>
      <c r="C75" s="16"/>
      <c r="E75" s="16"/>
      <c r="G75" s="16"/>
      <c r="I75" s="16"/>
      <c r="K75" s="16">
        <v>1.6129032258064498E-2</v>
      </c>
      <c r="L75">
        <v>62</v>
      </c>
      <c r="M75" s="16">
        <v>1</v>
      </c>
      <c r="N75">
        <v>62</v>
      </c>
      <c r="O75" s="16"/>
      <c r="Q75" s="16"/>
      <c r="S75" s="16"/>
      <c r="U75" s="16"/>
      <c r="W75" s="16"/>
      <c r="Y75" s="16">
        <v>1</v>
      </c>
      <c r="Z75">
        <v>30</v>
      </c>
      <c r="AA75" s="16"/>
      <c r="AC75" s="16"/>
      <c r="AE75" s="16"/>
      <c r="AG75" s="16"/>
      <c r="AI75" s="16">
        <v>3.125E-2</v>
      </c>
      <c r="AJ75">
        <v>32</v>
      </c>
      <c r="AK75" s="16">
        <v>1</v>
      </c>
      <c r="AL75" s="11">
        <v>32</v>
      </c>
    </row>
    <row r="76" spans="1:38" outlineLevel="1" x14ac:dyDescent="0.25">
      <c r="A76" s="6" t="s">
        <v>15</v>
      </c>
      <c r="B76" t="s">
        <v>44</v>
      </c>
      <c r="C76" s="16"/>
      <c r="E76" s="16"/>
      <c r="G76" s="16"/>
      <c r="I76" s="16"/>
      <c r="K76" s="16"/>
      <c r="M76" s="16">
        <v>1</v>
      </c>
      <c r="N76">
        <v>29</v>
      </c>
      <c r="O76" s="16"/>
      <c r="Q76" s="16"/>
      <c r="S76" s="16"/>
      <c r="U76" s="16"/>
      <c r="W76" s="16"/>
      <c r="Y76" s="16">
        <v>1</v>
      </c>
      <c r="Z76">
        <v>15</v>
      </c>
      <c r="AA76" s="16"/>
      <c r="AC76" s="16"/>
      <c r="AE76" s="16"/>
      <c r="AG76" s="16"/>
      <c r="AI76" s="16"/>
      <c r="AK76" s="16">
        <v>1</v>
      </c>
      <c r="AL76" s="11">
        <v>14</v>
      </c>
    </row>
    <row r="77" spans="1:38" outlineLevel="1" x14ac:dyDescent="0.25">
      <c r="A77" s="6" t="s">
        <v>15</v>
      </c>
      <c r="B77" t="s">
        <v>72</v>
      </c>
      <c r="C77" s="16"/>
      <c r="E77" s="16"/>
      <c r="G77" s="16"/>
      <c r="I77" s="16"/>
      <c r="K77" s="16"/>
      <c r="M77" s="16">
        <v>1</v>
      </c>
      <c r="N77">
        <v>157</v>
      </c>
      <c r="O77" s="16"/>
      <c r="Q77" s="16"/>
      <c r="S77" s="16"/>
      <c r="U77" s="16"/>
      <c r="W77" s="16"/>
      <c r="Y77" s="16">
        <v>1</v>
      </c>
      <c r="Z77">
        <v>77</v>
      </c>
      <c r="AA77" s="16"/>
      <c r="AC77" s="16"/>
      <c r="AE77" s="16"/>
      <c r="AG77" s="16"/>
      <c r="AI77" s="16"/>
      <c r="AK77" s="16">
        <v>1</v>
      </c>
      <c r="AL77" s="11">
        <v>80</v>
      </c>
    </row>
    <row r="78" spans="1:38" outlineLevel="1" x14ac:dyDescent="0.25">
      <c r="A78" s="6" t="s">
        <v>15</v>
      </c>
      <c r="B78" t="s">
        <v>73</v>
      </c>
      <c r="C78" s="16"/>
      <c r="E78" s="16"/>
      <c r="G78" s="16"/>
      <c r="I78" s="16"/>
      <c r="K78" s="16"/>
      <c r="M78" s="16">
        <v>1</v>
      </c>
      <c r="N78">
        <v>62</v>
      </c>
      <c r="O78" s="16"/>
      <c r="Q78" s="16"/>
      <c r="S78" s="16"/>
      <c r="U78" s="16"/>
      <c r="W78" s="16"/>
      <c r="Y78" s="16">
        <v>1</v>
      </c>
      <c r="Z78">
        <v>28</v>
      </c>
      <c r="AA78" s="16"/>
      <c r="AC78" s="16"/>
      <c r="AE78" s="16"/>
      <c r="AG78" s="16"/>
      <c r="AI78" s="16"/>
      <c r="AK78" s="16">
        <v>1</v>
      </c>
      <c r="AL78" s="11">
        <v>34</v>
      </c>
    </row>
    <row r="79" spans="1:38" outlineLevel="1" x14ac:dyDescent="0.25">
      <c r="A79" s="6" t="s">
        <v>15</v>
      </c>
      <c r="B79" t="s">
        <v>77</v>
      </c>
      <c r="C79" s="16"/>
      <c r="E79" s="16"/>
      <c r="G79" s="16"/>
      <c r="I79" s="16"/>
      <c r="K79" s="16"/>
      <c r="M79" s="16">
        <v>1</v>
      </c>
      <c r="N79">
        <v>84</v>
      </c>
      <c r="O79" s="16"/>
      <c r="Q79" s="16"/>
      <c r="S79" s="16"/>
      <c r="U79" s="16"/>
      <c r="W79" s="16"/>
      <c r="Y79" s="16">
        <v>1</v>
      </c>
      <c r="Z79">
        <v>35</v>
      </c>
      <c r="AA79" s="16"/>
      <c r="AC79" s="16"/>
      <c r="AE79" s="16"/>
      <c r="AG79" s="16"/>
      <c r="AI79" s="16"/>
      <c r="AK79" s="16">
        <v>1</v>
      </c>
      <c r="AL79" s="11">
        <v>49</v>
      </c>
    </row>
    <row r="80" spans="1:38" outlineLevel="1" x14ac:dyDescent="0.25">
      <c r="A80" s="7" t="s">
        <v>15</v>
      </c>
      <c r="B80" s="9" t="s">
        <v>80</v>
      </c>
      <c r="C80" s="15"/>
      <c r="D80" s="9"/>
      <c r="E80" s="15"/>
      <c r="F80" s="9"/>
      <c r="G80" s="15"/>
      <c r="H80" s="9"/>
      <c r="I80" s="15"/>
      <c r="J80" s="9"/>
      <c r="K80" s="15"/>
      <c r="L80" s="9"/>
      <c r="M80" s="15">
        <v>1</v>
      </c>
      <c r="N80" s="9">
        <v>22</v>
      </c>
      <c r="O80" s="15"/>
      <c r="P80" s="9"/>
      <c r="Q80" s="15"/>
      <c r="R80" s="9"/>
      <c r="S80" s="15"/>
      <c r="T80" s="9"/>
      <c r="U80" s="15"/>
      <c r="V80" s="9"/>
      <c r="W80" s="15"/>
      <c r="X80" s="9"/>
      <c r="Y80" s="15">
        <v>1</v>
      </c>
      <c r="Z80" s="9">
        <v>8</v>
      </c>
      <c r="AA80" s="15"/>
      <c r="AB80" s="9"/>
      <c r="AC80" s="15"/>
      <c r="AD80" s="9"/>
      <c r="AE80" s="15"/>
      <c r="AF80" s="9"/>
      <c r="AG80" s="15"/>
      <c r="AH80" s="9"/>
      <c r="AI80" s="15"/>
      <c r="AJ80" s="9"/>
      <c r="AK80" s="15">
        <v>1</v>
      </c>
      <c r="AL80" s="12">
        <v>14</v>
      </c>
    </row>
    <row r="81" spans="1:38" x14ac:dyDescent="0.25">
      <c r="C81" s="16"/>
      <c r="E81" s="16"/>
      <c r="G81" s="16"/>
      <c r="I81" s="16"/>
      <c r="K81" s="16"/>
      <c r="M81" s="16"/>
      <c r="O81" s="16"/>
      <c r="Q81" s="16"/>
      <c r="S81" s="16"/>
      <c r="U81" s="16"/>
      <c r="W81" s="16"/>
      <c r="Y81" s="16"/>
      <c r="AA81" s="16"/>
      <c r="AC81" s="16"/>
      <c r="AE81" s="16"/>
      <c r="AG81" s="16"/>
      <c r="AI81" s="16"/>
      <c r="AK81" s="16"/>
    </row>
    <row r="82" spans="1:38" x14ac:dyDescent="0.25">
      <c r="A82" s="19" t="s">
        <v>84</v>
      </c>
      <c r="B82" s="19"/>
      <c r="C82" s="20"/>
      <c r="D82" s="19"/>
      <c r="E82" s="20"/>
      <c r="F82" s="19"/>
      <c r="G82" s="20"/>
      <c r="H82" s="19"/>
      <c r="I82" s="20"/>
      <c r="J82" s="19"/>
      <c r="K82" s="20"/>
      <c r="L82" s="19"/>
      <c r="M82" s="20"/>
      <c r="N82" s="19"/>
      <c r="O82" s="20"/>
      <c r="P82" s="19"/>
      <c r="Q82" s="20"/>
      <c r="R82" s="19"/>
      <c r="S82" s="20"/>
      <c r="T82" s="19"/>
      <c r="U82" s="20"/>
      <c r="V82" s="19"/>
      <c r="W82" s="20"/>
      <c r="X82" s="19"/>
      <c r="Y82" s="20"/>
      <c r="Z82" s="19"/>
      <c r="AA82" s="20"/>
      <c r="AB82" s="19"/>
      <c r="AC82" s="20"/>
      <c r="AD82" s="19"/>
      <c r="AE82" s="20"/>
      <c r="AF82" s="19"/>
      <c r="AG82" s="20"/>
      <c r="AH82" s="19"/>
      <c r="AI82" s="20"/>
      <c r="AJ82" s="19"/>
      <c r="AK82" s="20"/>
      <c r="AL82" s="19"/>
    </row>
    <row r="83" spans="1:38" outlineLevel="1" x14ac:dyDescent="0.25">
      <c r="A83" s="5" t="s">
        <v>15</v>
      </c>
      <c r="B83" s="8" t="s">
        <v>85</v>
      </c>
      <c r="C83" s="14">
        <v>1.29083797797248E-2</v>
      </c>
      <c r="D83" s="8">
        <v>1916</v>
      </c>
      <c r="E83" s="14">
        <v>2.5645853351939401E-2</v>
      </c>
      <c r="F83" s="8">
        <v>1916</v>
      </c>
      <c r="G83" s="14">
        <v>3.4966072602980501E-3</v>
      </c>
      <c r="H83" s="8">
        <v>1916</v>
      </c>
      <c r="I83" s="14">
        <v>1.00211099413656E-2</v>
      </c>
      <c r="J83" s="8">
        <v>1916</v>
      </c>
      <c r="K83" s="14">
        <v>6.1413871336336502E-2</v>
      </c>
      <c r="L83" s="8">
        <v>1916</v>
      </c>
      <c r="M83" s="14">
        <v>0.99945202246992204</v>
      </c>
      <c r="N83" s="8">
        <v>1916</v>
      </c>
      <c r="O83" s="14">
        <v>1.04554088994983E-2</v>
      </c>
      <c r="P83" s="8">
        <v>920</v>
      </c>
      <c r="Q83" s="14">
        <v>2.3608885439353699E-2</v>
      </c>
      <c r="R83" s="8">
        <v>920</v>
      </c>
      <c r="S83" s="14">
        <v>4.2734462987991098E-3</v>
      </c>
      <c r="T83" s="8">
        <v>920</v>
      </c>
      <c r="U83" s="14">
        <v>7.4955740813359697E-3</v>
      </c>
      <c r="V83" s="8">
        <v>920</v>
      </c>
      <c r="W83" s="14">
        <v>6.6540336110911993E-2</v>
      </c>
      <c r="X83" s="8">
        <v>920</v>
      </c>
      <c r="Y83" s="14">
        <v>0.99945599574408805</v>
      </c>
      <c r="Z83" s="8">
        <v>920</v>
      </c>
      <c r="AA83" s="14">
        <v>1.50657131443367E-2</v>
      </c>
      <c r="AB83" s="8">
        <v>993</v>
      </c>
      <c r="AC83" s="14">
        <v>2.74721035415692E-2</v>
      </c>
      <c r="AD83" s="8">
        <v>993</v>
      </c>
      <c r="AE83" s="14">
        <v>2.8310683191273599E-3</v>
      </c>
      <c r="AF83" s="8">
        <v>993</v>
      </c>
      <c r="AG83" s="14">
        <v>1.22346448252094E-2</v>
      </c>
      <c r="AH83" s="8">
        <v>993</v>
      </c>
      <c r="AI83" s="14">
        <v>5.7111229445955702E-2</v>
      </c>
      <c r="AJ83" s="8">
        <v>993</v>
      </c>
      <c r="AK83" s="14">
        <v>0.99944729988202197</v>
      </c>
      <c r="AL83" s="10">
        <v>993</v>
      </c>
    </row>
    <row r="84" spans="1:38" outlineLevel="1" x14ac:dyDescent="0.25">
      <c r="A84" s="6" t="s">
        <v>15</v>
      </c>
      <c r="B84" t="s">
        <v>86</v>
      </c>
      <c r="C84" s="16">
        <v>4.5662100456621002E-2</v>
      </c>
      <c r="D84">
        <v>219</v>
      </c>
      <c r="E84" s="16">
        <v>5.0228310502283102E-2</v>
      </c>
      <c r="F84">
        <v>219</v>
      </c>
      <c r="G84" s="16"/>
      <c r="I84" s="16">
        <v>4.5662100456621002E-2</v>
      </c>
      <c r="J84">
        <v>219</v>
      </c>
      <c r="K84" s="16">
        <v>0.100456621004566</v>
      </c>
      <c r="L84">
        <v>219</v>
      </c>
      <c r="M84" s="16">
        <v>1</v>
      </c>
      <c r="N84">
        <v>219</v>
      </c>
      <c r="O84" s="16">
        <v>4.3478260869565202E-2</v>
      </c>
      <c r="P84">
        <v>115</v>
      </c>
      <c r="Q84" s="16">
        <v>4.3478260869565202E-2</v>
      </c>
      <c r="R84">
        <v>115</v>
      </c>
      <c r="S84" s="16"/>
      <c r="U84" s="16">
        <v>4.3478260869565202E-2</v>
      </c>
      <c r="V84">
        <v>115</v>
      </c>
      <c r="W84" s="16">
        <v>0.11304347826087</v>
      </c>
      <c r="X84">
        <v>115</v>
      </c>
      <c r="Y84" s="16">
        <v>1</v>
      </c>
      <c r="Z84">
        <v>115</v>
      </c>
      <c r="AA84" s="16">
        <v>4.8543689320388397E-2</v>
      </c>
      <c r="AB84">
        <v>103</v>
      </c>
      <c r="AC84" s="16">
        <v>5.8252427184466E-2</v>
      </c>
      <c r="AD84">
        <v>103</v>
      </c>
      <c r="AE84" s="16"/>
      <c r="AG84" s="16">
        <v>4.8543689320388397E-2</v>
      </c>
      <c r="AH84">
        <v>103</v>
      </c>
      <c r="AI84" s="16">
        <v>8.7378640776699004E-2</v>
      </c>
      <c r="AJ84">
        <v>103</v>
      </c>
      <c r="AK84" s="16">
        <v>1</v>
      </c>
      <c r="AL84" s="11">
        <v>103</v>
      </c>
    </row>
    <row r="85" spans="1:38" outlineLevel="1" x14ac:dyDescent="0.25">
      <c r="A85" s="6" t="s">
        <v>15</v>
      </c>
      <c r="B85" t="s">
        <v>87</v>
      </c>
      <c r="C85" s="16">
        <v>9.3545253892880799E-3</v>
      </c>
      <c r="D85">
        <v>3015</v>
      </c>
      <c r="E85" s="16">
        <v>1.5992123008651798E-2</v>
      </c>
      <c r="F85">
        <v>3015</v>
      </c>
      <c r="G85" s="16">
        <v>2.4502339580020301E-3</v>
      </c>
      <c r="H85">
        <v>3015</v>
      </c>
      <c r="I85" s="16">
        <v>8.0138245659170295E-3</v>
      </c>
      <c r="J85">
        <v>3015</v>
      </c>
      <c r="K85" s="16">
        <v>3.4635924635505598E-2</v>
      </c>
      <c r="L85">
        <v>3015</v>
      </c>
      <c r="M85" s="16">
        <v>0.99843302356949104</v>
      </c>
      <c r="N85">
        <v>3015</v>
      </c>
      <c r="O85" s="16">
        <v>6.48678718945561E-3</v>
      </c>
      <c r="P85">
        <v>1562</v>
      </c>
      <c r="Q85" s="16">
        <v>1.3754204705954599E-2</v>
      </c>
      <c r="R85">
        <v>1562</v>
      </c>
      <c r="S85" s="16">
        <v>1.70390361894345E-3</v>
      </c>
      <c r="T85">
        <v>1562</v>
      </c>
      <c r="U85" s="16">
        <v>5.9077820340355204E-3</v>
      </c>
      <c r="V85">
        <v>1562</v>
      </c>
      <c r="W85" s="16">
        <v>3.52886493995734E-2</v>
      </c>
      <c r="X85">
        <v>1562</v>
      </c>
      <c r="Y85" s="16">
        <v>0.99753486596943597</v>
      </c>
      <c r="Z85">
        <v>1562</v>
      </c>
      <c r="AA85" s="16">
        <v>1.2509074954813499E-2</v>
      </c>
      <c r="AB85">
        <v>1452</v>
      </c>
      <c r="AC85" s="16">
        <v>1.8457975451312499E-2</v>
      </c>
      <c r="AD85">
        <v>1452</v>
      </c>
      <c r="AE85" s="16">
        <v>3.2712145379509799E-3</v>
      </c>
      <c r="AF85">
        <v>1452</v>
      </c>
      <c r="AG85" s="16">
        <v>1.0331040227257801E-2</v>
      </c>
      <c r="AH85">
        <v>1452</v>
      </c>
      <c r="AI85" s="16">
        <v>3.3935315784089398E-2</v>
      </c>
      <c r="AJ85">
        <v>1452</v>
      </c>
      <c r="AK85" s="16">
        <v>0.99941888086237796</v>
      </c>
      <c r="AL85" s="11">
        <v>1452</v>
      </c>
    </row>
    <row r="86" spans="1:38" outlineLevel="1" x14ac:dyDescent="0.25">
      <c r="A86" s="7" t="s">
        <v>15</v>
      </c>
      <c r="B86" s="9" t="s">
        <v>88</v>
      </c>
      <c r="C86" s="15">
        <v>1.9222617902879501E-2</v>
      </c>
      <c r="D86" s="9">
        <v>1432</v>
      </c>
      <c r="E86" s="15">
        <v>2.37908893896361E-2</v>
      </c>
      <c r="F86" s="9">
        <v>1432</v>
      </c>
      <c r="G86" s="15">
        <v>5.6522989041651803E-3</v>
      </c>
      <c r="H86" s="9">
        <v>1432</v>
      </c>
      <c r="I86" s="15">
        <v>1.47262861228625E-2</v>
      </c>
      <c r="J86" s="9">
        <v>1432</v>
      </c>
      <c r="K86" s="15">
        <v>2.63018331310149E-2</v>
      </c>
      <c r="L86" s="9">
        <v>1432</v>
      </c>
      <c r="M86" s="15">
        <v>0.99831776420808804</v>
      </c>
      <c r="N86" s="9">
        <v>1432</v>
      </c>
      <c r="O86" s="15">
        <v>1.0916785367376501E-2</v>
      </c>
      <c r="P86" s="9">
        <v>732</v>
      </c>
      <c r="Q86" s="15">
        <v>1.7474129404853302E-2</v>
      </c>
      <c r="R86" s="9">
        <v>732</v>
      </c>
      <c r="S86" s="15">
        <v>5.4719539282164498E-3</v>
      </c>
      <c r="T86" s="9">
        <v>732</v>
      </c>
      <c r="U86" s="15">
        <v>6.5392222248033599E-3</v>
      </c>
      <c r="V86" s="9">
        <v>732</v>
      </c>
      <c r="W86" s="15">
        <v>2.1556275066844099E-2</v>
      </c>
      <c r="X86" s="9">
        <v>732</v>
      </c>
      <c r="Y86" s="15">
        <v>0.99839866587078696</v>
      </c>
      <c r="Z86" s="9">
        <v>732</v>
      </c>
      <c r="AA86" s="15">
        <v>2.8187969354550702E-2</v>
      </c>
      <c r="AB86" s="9">
        <v>699</v>
      </c>
      <c r="AC86" s="15">
        <v>3.0609606044976801E-2</v>
      </c>
      <c r="AD86" s="9">
        <v>699</v>
      </c>
      <c r="AE86" s="15">
        <v>5.8471801942433597E-3</v>
      </c>
      <c r="AF86" s="9">
        <v>699</v>
      </c>
      <c r="AG86" s="15">
        <v>2.35632638945821E-2</v>
      </c>
      <c r="AH86" s="9">
        <v>699</v>
      </c>
      <c r="AI86" s="15">
        <v>3.1424841473804102E-2</v>
      </c>
      <c r="AJ86" s="9">
        <v>699</v>
      </c>
      <c r="AK86" s="15">
        <v>0.99823037687718297</v>
      </c>
      <c r="AL86" s="12">
        <v>699</v>
      </c>
    </row>
    <row r="87" spans="1:38" x14ac:dyDescent="0.25">
      <c r="C87" s="16"/>
      <c r="E87" s="16"/>
      <c r="G87" s="16"/>
      <c r="I87" s="16"/>
      <c r="K87" s="16"/>
      <c r="M87" s="16"/>
      <c r="O87" s="16"/>
      <c r="Q87" s="16"/>
      <c r="S87" s="16"/>
      <c r="U87" s="16"/>
      <c r="W87" s="16"/>
      <c r="Y87" s="16"/>
      <c r="AA87" s="16"/>
      <c r="AC87" s="16"/>
      <c r="AE87" s="16"/>
      <c r="AG87" s="16"/>
      <c r="AI87" s="16"/>
      <c r="AK87" s="16"/>
    </row>
    <row r="88" spans="1:38" x14ac:dyDescent="0.25">
      <c r="A88" s="19" t="s">
        <v>89</v>
      </c>
      <c r="B88" s="19"/>
      <c r="C88" s="20"/>
      <c r="D88" s="19"/>
      <c r="E88" s="20"/>
      <c r="F88" s="19"/>
      <c r="G88" s="20"/>
      <c r="H88" s="19"/>
      <c r="I88" s="20"/>
      <c r="J88" s="19"/>
      <c r="K88" s="20"/>
      <c r="L88" s="19"/>
      <c r="M88" s="20"/>
      <c r="N88" s="19"/>
      <c r="O88" s="20"/>
      <c r="P88" s="19"/>
      <c r="Q88" s="20"/>
      <c r="R88" s="19"/>
      <c r="S88" s="20"/>
      <c r="T88" s="19"/>
      <c r="U88" s="20"/>
      <c r="V88" s="19"/>
      <c r="W88" s="20"/>
      <c r="X88" s="19"/>
      <c r="Y88" s="20"/>
      <c r="Z88" s="19"/>
      <c r="AA88" s="20"/>
      <c r="AB88" s="19"/>
      <c r="AC88" s="20"/>
      <c r="AD88" s="19"/>
      <c r="AE88" s="20"/>
      <c r="AF88" s="19"/>
      <c r="AG88" s="20"/>
      <c r="AH88" s="19"/>
      <c r="AI88" s="20"/>
      <c r="AJ88" s="19"/>
      <c r="AK88" s="20"/>
      <c r="AL88" s="19"/>
    </row>
    <row r="89" spans="1:38" outlineLevel="1" x14ac:dyDescent="0.25">
      <c r="A89" s="5" t="s">
        <v>15</v>
      </c>
      <c r="B89" s="8" t="s">
        <v>90</v>
      </c>
      <c r="C89" s="14">
        <v>8.3354009668002299E-3</v>
      </c>
      <c r="D89" s="8">
        <v>1471</v>
      </c>
      <c r="E89" s="14">
        <v>2.27960940467026E-2</v>
      </c>
      <c r="F89" s="8">
        <v>1471</v>
      </c>
      <c r="G89" s="14">
        <v>2.0685561264597702E-3</v>
      </c>
      <c r="H89" s="8">
        <v>1471</v>
      </c>
      <c r="I89" s="14">
        <v>6.2668448403404601E-3</v>
      </c>
      <c r="J89" s="8">
        <v>1471</v>
      </c>
      <c r="K89" s="14">
        <v>6.3109688446049306E-2</v>
      </c>
      <c r="L89" s="8">
        <v>1471</v>
      </c>
      <c r="M89" s="14">
        <v>0.99963350347104896</v>
      </c>
      <c r="N89" s="8">
        <v>1471</v>
      </c>
      <c r="O89" s="14">
        <v>8.04268288761191E-3</v>
      </c>
      <c r="P89" s="8">
        <v>716</v>
      </c>
      <c r="Q89" s="14">
        <v>2.2755587934647201E-2</v>
      </c>
      <c r="R89" s="8">
        <v>716</v>
      </c>
      <c r="S89" s="14">
        <v>2.04569287995119E-3</v>
      </c>
      <c r="T89" s="8">
        <v>716</v>
      </c>
      <c r="U89" s="14">
        <v>5.9969900076607199E-3</v>
      </c>
      <c r="V89" s="8">
        <v>716</v>
      </c>
      <c r="W89" s="14">
        <v>7.3068925217428901E-2</v>
      </c>
      <c r="X89" s="8">
        <v>716</v>
      </c>
      <c r="Y89" s="14">
        <v>1</v>
      </c>
      <c r="Z89" s="8">
        <v>716</v>
      </c>
      <c r="AA89" s="14">
        <v>8.6123080361214105E-3</v>
      </c>
      <c r="AB89" s="8">
        <v>752</v>
      </c>
      <c r="AC89" s="14">
        <v>2.28968386502874E-2</v>
      </c>
      <c r="AD89" s="8">
        <v>752</v>
      </c>
      <c r="AE89" s="14">
        <v>2.0942731027399301E-3</v>
      </c>
      <c r="AF89" s="8">
        <v>752</v>
      </c>
      <c r="AG89" s="14">
        <v>6.5180349333814804E-3</v>
      </c>
      <c r="AH89" s="8">
        <v>752</v>
      </c>
      <c r="AI89" s="14">
        <v>5.4688443552890098E-2</v>
      </c>
      <c r="AJ89" s="8">
        <v>752</v>
      </c>
      <c r="AK89" s="14">
        <v>0.99931584857978395</v>
      </c>
      <c r="AL89" s="10">
        <v>752</v>
      </c>
    </row>
    <row r="90" spans="1:38" outlineLevel="1" x14ac:dyDescent="0.25">
      <c r="A90" s="6" t="s">
        <v>15</v>
      </c>
      <c r="B90" t="s">
        <v>91</v>
      </c>
      <c r="C90" s="16">
        <v>3.19863574806502E-2</v>
      </c>
      <c r="D90">
        <v>445</v>
      </c>
      <c r="E90" s="16">
        <v>3.7534743876569097E-2</v>
      </c>
      <c r="F90">
        <v>445</v>
      </c>
      <c r="G90" s="16">
        <v>9.4542836024991399E-3</v>
      </c>
      <c r="H90">
        <v>445</v>
      </c>
      <c r="I90" s="16">
        <v>2.5683501745650799E-2</v>
      </c>
      <c r="J90">
        <v>445</v>
      </c>
      <c r="K90" s="16">
        <v>5.4339104028753499E-2</v>
      </c>
      <c r="L90">
        <v>445</v>
      </c>
      <c r="M90" s="16">
        <v>0.99869490317541498</v>
      </c>
      <c r="N90">
        <v>445</v>
      </c>
      <c r="O90" s="16">
        <v>2.0398309286105702E-2</v>
      </c>
      <c r="P90">
        <v>204</v>
      </c>
      <c r="Q90" s="16">
        <v>2.71253444353769E-2</v>
      </c>
      <c r="R90">
        <v>204</v>
      </c>
      <c r="S90" s="16">
        <v>1.3454070298542399E-2</v>
      </c>
      <c r="T90">
        <v>204</v>
      </c>
      <c r="U90" s="16">
        <v>1.3671274136834499E-2</v>
      </c>
      <c r="V90">
        <v>204</v>
      </c>
      <c r="W90" s="16">
        <v>3.9635867542416402E-2</v>
      </c>
      <c r="X90">
        <v>204</v>
      </c>
      <c r="Y90" s="16">
        <v>0.99721414146814902</v>
      </c>
      <c r="Z90">
        <v>204</v>
      </c>
      <c r="AA90" s="16">
        <v>4.2199698916772499E-2</v>
      </c>
      <c r="AB90">
        <v>241</v>
      </c>
      <c r="AC90" s="16">
        <v>4.67092613494881E-2</v>
      </c>
      <c r="AD90">
        <v>241</v>
      </c>
      <c r="AE90" s="16">
        <v>5.9289973323245404E-3</v>
      </c>
      <c r="AF90">
        <v>241</v>
      </c>
      <c r="AG90" s="16">
        <v>3.6270701584447999E-2</v>
      </c>
      <c r="AH90">
        <v>241</v>
      </c>
      <c r="AI90" s="16">
        <v>6.7298074506776703E-2</v>
      </c>
      <c r="AJ90">
        <v>241</v>
      </c>
      <c r="AK90" s="16">
        <v>1</v>
      </c>
      <c r="AL90" s="11">
        <v>241</v>
      </c>
    </row>
    <row r="91" spans="1:38" outlineLevel="1" x14ac:dyDescent="0.25">
      <c r="A91" s="6" t="s">
        <v>15</v>
      </c>
      <c r="B91" t="s">
        <v>92</v>
      </c>
      <c r="C91" s="16">
        <v>5.5555555555555601E-2</v>
      </c>
      <c r="D91">
        <v>126</v>
      </c>
      <c r="E91" s="16">
        <v>6.3492063492063502E-2</v>
      </c>
      <c r="F91">
        <v>126</v>
      </c>
      <c r="G91" s="16"/>
      <c r="I91" s="16">
        <v>5.5555555555555601E-2</v>
      </c>
      <c r="J91">
        <v>126</v>
      </c>
      <c r="K91" s="16">
        <v>0.126984126984127</v>
      </c>
      <c r="L91">
        <v>126</v>
      </c>
      <c r="M91" s="16">
        <v>1</v>
      </c>
      <c r="N91">
        <v>126</v>
      </c>
      <c r="O91" s="16">
        <v>4.6875E-2</v>
      </c>
      <c r="P91">
        <v>64</v>
      </c>
      <c r="Q91" s="16">
        <v>4.6875E-2</v>
      </c>
      <c r="R91">
        <v>64</v>
      </c>
      <c r="S91" s="16"/>
      <c r="U91" s="16">
        <v>4.6875E-2</v>
      </c>
      <c r="V91">
        <v>64</v>
      </c>
      <c r="W91" s="16">
        <v>0.140625</v>
      </c>
      <c r="X91">
        <v>64</v>
      </c>
      <c r="Y91" s="16">
        <v>1</v>
      </c>
      <c r="Z91">
        <v>64</v>
      </c>
      <c r="AA91" s="16">
        <v>6.5573770491803296E-2</v>
      </c>
      <c r="AB91">
        <v>61</v>
      </c>
      <c r="AC91" s="16">
        <v>8.1967213114754106E-2</v>
      </c>
      <c r="AD91">
        <v>61</v>
      </c>
      <c r="AE91" s="16"/>
      <c r="AG91" s="16">
        <v>6.5573770491803296E-2</v>
      </c>
      <c r="AH91">
        <v>61</v>
      </c>
      <c r="AI91" s="16">
        <v>0.114754098360656</v>
      </c>
      <c r="AJ91">
        <v>61</v>
      </c>
      <c r="AK91" s="16">
        <v>1</v>
      </c>
      <c r="AL91" s="11">
        <v>61</v>
      </c>
    </row>
    <row r="92" spans="1:38" outlineLevel="1" x14ac:dyDescent="0.25">
      <c r="A92" s="6" t="s">
        <v>15</v>
      </c>
      <c r="B92" t="s">
        <v>93</v>
      </c>
      <c r="C92" s="16">
        <v>3.2258064516128997E-2</v>
      </c>
      <c r="D92">
        <v>93</v>
      </c>
      <c r="E92" s="16">
        <v>3.2258064516128997E-2</v>
      </c>
      <c r="F92">
        <v>93</v>
      </c>
      <c r="G92" s="16"/>
      <c r="I92" s="16">
        <v>3.2258064516128997E-2</v>
      </c>
      <c r="J92">
        <v>93</v>
      </c>
      <c r="K92" s="16">
        <v>6.4516129032258104E-2</v>
      </c>
      <c r="L92">
        <v>93</v>
      </c>
      <c r="M92" s="16">
        <v>1</v>
      </c>
      <c r="N92">
        <v>93</v>
      </c>
      <c r="O92" s="16">
        <v>3.9215686274509803E-2</v>
      </c>
      <c r="P92">
        <v>51</v>
      </c>
      <c r="Q92" s="16">
        <v>3.9215686274509803E-2</v>
      </c>
      <c r="R92">
        <v>51</v>
      </c>
      <c r="S92" s="16"/>
      <c r="U92" s="16">
        <v>3.9215686274509803E-2</v>
      </c>
      <c r="V92">
        <v>51</v>
      </c>
      <c r="W92" s="16">
        <v>7.8431372549019607E-2</v>
      </c>
      <c r="X92">
        <v>51</v>
      </c>
      <c r="Y92" s="16">
        <v>1</v>
      </c>
      <c r="Z92">
        <v>51</v>
      </c>
      <c r="AA92" s="16">
        <v>2.3809523809523801E-2</v>
      </c>
      <c r="AB92">
        <v>42</v>
      </c>
      <c r="AC92" s="16">
        <v>2.3809523809523801E-2</v>
      </c>
      <c r="AD92">
        <v>42</v>
      </c>
      <c r="AE92" s="16"/>
      <c r="AG92" s="16">
        <v>2.3809523809523801E-2</v>
      </c>
      <c r="AH92">
        <v>42</v>
      </c>
      <c r="AI92" s="16">
        <v>4.7619047619047603E-2</v>
      </c>
      <c r="AJ92">
        <v>42</v>
      </c>
      <c r="AK92" s="16">
        <v>1</v>
      </c>
      <c r="AL92" s="11">
        <v>42</v>
      </c>
    </row>
    <row r="93" spans="1:38" outlineLevel="1" x14ac:dyDescent="0.25">
      <c r="A93" s="6" t="s">
        <v>15</v>
      </c>
      <c r="B93" t="s">
        <v>94</v>
      </c>
      <c r="C93" s="16">
        <v>9.5143827897642193E-3</v>
      </c>
      <c r="D93">
        <v>2097</v>
      </c>
      <c r="E93" s="16">
        <v>1.6031598458192999E-2</v>
      </c>
      <c r="F93">
        <v>2097</v>
      </c>
      <c r="G93" s="16">
        <v>2.34205837802444E-3</v>
      </c>
      <c r="H93">
        <v>2097</v>
      </c>
      <c r="I93" s="16">
        <v>8.5303215125479993E-3</v>
      </c>
      <c r="J93">
        <v>2097</v>
      </c>
      <c r="K93" s="16">
        <v>3.4798356026919199E-2</v>
      </c>
      <c r="L93">
        <v>2097</v>
      </c>
      <c r="M93" s="16">
        <v>0.99837522357210595</v>
      </c>
      <c r="N93">
        <v>2097</v>
      </c>
      <c r="O93" s="16">
        <v>6.36773128353855E-3</v>
      </c>
      <c r="P93">
        <v>1103</v>
      </c>
      <c r="Q93" s="16">
        <v>1.29493724066996E-2</v>
      </c>
      <c r="R93">
        <v>1103</v>
      </c>
      <c r="S93" s="16">
        <v>1.58108299202886E-3</v>
      </c>
      <c r="T93">
        <v>1103</v>
      </c>
      <c r="U93" s="16">
        <v>6.21121366905772E-3</v>
      </c>
      <c r="V93">
        <v>1103</v>
      </c>
      <c r="W93" s="16">
        <v>3.5170581795172899E-2</v>
      </c>
      <c r="X93">
        <v>1103</v>
      </c>
      <c r="Y93" s="16">
        <v>0.99747942234097597</v>
      </c>
      <c r="Z93">
        <v>1103</v>
      </c>
      <c r="AA93" s="16">
        <v>1.29440428858349E-2</v>
      </c>
      <c r="AB93">
        <v>994</v>
      </c>
      <c r="AC93" s="16">
        <v>1.9391038699656499E-2</v>
      </c>
      <c r="AD93">
        <v>994</v>
      </c>
      <c r="AE93" s="16">
        <v>3.1714755887569598E-3</v>
      </c>
      <c r="AF93">
        <v>994</v>
      </c>
      <c r="AG93" s="16">
        <v>1.1058008996708999E-2</v>
      </c>
      <c r="AH93">
        <v>994</v>
      </c>
      <c r="AI93" s="16">
        <v>3.4392652420535297E-2</v>
      </c>
      <c r="AJ93">
        <v>994</v>
      </c>
      <c r="AK93" s="16">
        <v>0.99935159281107</v>
      </c>
      <c r="AL93" s="11">
        <v>994</v>
      </c>
    </row>
    <row r="94" spans="1:38" outlineLevel="1" x14ac:dyDescent="0.25">
      <c r="A94" s="6" t="s">
        <v>15</v>
      </c>
      <c r="B94" t="s">
        <v>95</v>
      </c>
      <c r="C94" s="16">
        <v>8.7443215483733808E-3</v>
      </c>
      <c r="D94">
        <v>918</v>
      </c>
      <c r="E94" s="16">
        <v>1.5841438268000999E-2</v>
      </c>
      <c r="F94">
        <v>918</v>
      </c>
      <c r="G94" s="16">
        <v>2.86315919135933E-3</v>
      </c>
      <c r="H94">
        <v>918</v>
      </c>
      <c r="I94" s="16">
        <v>6.0422647900406599E-3</v>
      </c>
      <c r="J94">
        <v>918</v>
      </c>
      <c r="K94" s="16">
        <v>3.4015895418025001E-2</v>
      </c>
      <c r="L94">
        <v>918</v>
      </c>
      <c r="M94" s="16">
        <v>0.99865365633534398</v>
      </c>
      <c r="N94">
        <v>918</v>
      </c>
      <c r="O94" s="16">
        <v>6.9337027459339404E-3</v>
      </c>
      <c r="P94">
        <v>459</v>
      </c>
      <c r="Q94" s="16">
        <v>1.67754078300047E-2</v>
      </c>
      <c r="R94">
        <v>459</v>
      </c>
      <c r="S94" s="16">
        <v>2.1649512956776599E-3</v>
      </c>
      <c r="T94">
        <v>459</v>
      </c>
      <c r="U94" s="16">
        <v>4.7687514502562801E-3</v>
      </c>
      <c r="V94">
        <v>459</v>
      </c>
      <c r="W94" s="16">
        <v>3.5731855040790898E-2</v>
      </c>
      <c r="X94">
        <v>459</v>
      </c>
      <c r="Y94" s="16">
        <v>0.99774299189041005</v>
      </c>
      <c r="Z94">
        <v>459</v>
      </c>
      <c r="AA94" s="16">
        <v>1.0813694761980099E-2</v>
      </c>
      <c r="AB94">
        <v>458</v>
      </c>
      <c r="AC94" s="16">
        <v>1.48211626265399E-2</v>
      </c>
      <c r="AD94">
        <v>458</v>
      </c>
      <c r="AE94" s="16">
        <v>3.65996834451442E-3</v>
      </c>
      <c r="AF94">
        <v>458</v>
      </c>
      <c r="AG94" s="16">
        <v>7.4975245479703499E-3</v>
      </c>
      <c r="AH94">
        <v>458</v>
      </c>
      <c r="AI94" s="16">
        <v>3.2152748795606499E-2</v>
      </c>
      <c r="AJ94">
        <v>458</v>
      </c>
      <c r="AK94" s="16">
        <v>0.99968115037988703</v>
      </c>
      <c r="AL94" s="11">
        <v>458</v>
      </c>
    </row>
    <row r="95" spans="1:38" outlineLevel="1" x14ac:dyDescent="0.25">
      <c r="A95" s="6" t="s">
        <v>15</v>
      </c>
      <c r="B95" t="s">
        <v>96</v>
      </c>
      <c r="C95" s="16">
        <v>1.20819186804494E-2</v>
      </c>
      <c r="D95">
        <v>1208</v>
      </c>
      <c r="E95" s="16">
        <v>1.60645234537929E-2</v>
      </c>
      <c r="F95">
        <v>1208</v>
      </c>
      <c r="G95" s="16">
        <v>2.4954561269563899E-5</v>
      </c>
      <c r="H95">
        <v>1208</v>
      </c>
      <c r="I95" s="16">
        <v>1.20819186804494E-2</v>
      </c>
      <c r="J95">
        <v>1208</v>
      </c>
      <c r="K95" s="16">
        <v>2.7966165189141998E-2</v>
      </c>
      <c r="L95">
        <v>1208</v>
      </c>
      <c r="M95" s="16">
        <v>0.99997504543872995</v>
      </c>
      <c r="N95">
        <v>1208</v>
      </c>
      <c r="O95" s="16">
        <v>5.4595564682193599E-3</v>
      </c>
      <c r="P95">
        <v>613</v>
      </c>
      <c r="Q95" s="16">
        <v>1.0305669618080901E-2</v>
      </c>
      <c r="R95">
        <v>613</v>
      </c>
      <c r="S95" s="16"/>
      <c r="U95" s="16">
        <v>5.4595564682193599E-3</v>
      </c>
      <c r="V95">
        <v>613</v>
      </c>
      <c r="W95" s="16">
        <v>2.0922124731857401E-2</v>
      </c>
      <c r="X95">
        <v>613</v>
      </c>
      <c r="Y95" s="16">
        <v>1</v>
      </c>
      <c r="Z95">
        <v>613</v>
      </c>
      <c r="AA95" s="16">
        <v>1.9251364386188699E-2</v>
      </c>
      <c r="AB95">
        <v>594</v>
      </c>
      <c r="AC95" s="16">
        <v>2.2299413879363301E-2</v>
      </c>
      <c r="AD95">
        <v>594</v>
      </c>
      <c r="AE95" s="16">
        <v>5.1969587935148899E-5</v>
      </c>
      <c r="AF95">
        <v>594</v>
      </c>
      <c r="AG95" s="16">
        <v>1.9251364386188699E-2</v>
      </c>
      <c r="AH95">
        <v>594</v>
      </c>
      <c r="AI95" s="16">
        <v>3.5592910142898497E-2</v>
      </c>
      <c r="AJ95">
        <v>594</v>
      </c>
      <c r="AK95" s="16">
        <v>0.99994803041206504</v>
      </c>
      <c r="AL95" s="11">
        <v>594</v>
      </c>
    </row>
    <row r="96" spans="1:38" outlineLevel="1" x14ac:dyDescent="0.25">
      <c r="A96" s="7" t="s">
        <v>15</v>
      </c>
      <c r="B96" s="9" t="s">
        <v>97</v>
      </c>
      <c r="C96" s="15">
        <v>4.70368753684424E-2</v>
      </c>
      <c r="D96" s="9">
        <v>224</v>
      </c>
      <c r="E96" s="15">
        <v>5.3886419913825E-2</v>
      </c>
      <c r="F96" s="9">
        <v>224</v>
      </c>
      <c r="G96" s="15">
        <v>2.7571777588972599E-2</v>
      </c>
      <c r="H96" s="9">
        <v>224</v>
      </c>
      <c r="I96" s="15">
        <v>2.5026554287889701E-2</v>
      </c>
      <c r="J96" s="9">
        <v>224</v>
      </c>
      <c r="K96" s="15">
        <v>1.9818972149064501E-2</v>
      </c>
      <c r="L96" s="9">
        <v>224</v>
      </c>
      <c r="M96" s="15">
        <v>0.99186236741765499</v>
      </c>
      <c r="N96" s="9">
        <v>224</v>
      </c>
      <c r="O96" s="15">
        <v>3.2322440343819703E-2</v>
      </c>
      <c r="P96" s="9">
        <v>119</v>
      </c>
      <c r="Q96" s="15">
        <v>4.5591985507949198E-2</v>
      </c>
      <c r="R96" s="9">
        <v>119</v>
      </c>
      <c r="S96" s="15">
        <v>2.6935366953183101E-2</v>
      </c>
      <c r="T96" s="9">
        <v>119</v>
      </c>
      <c r="U96" s="15">
        <v>1.0774146781273201E-2</v>
      </c>
      <c r="V96" s="9">
        <v>119</v>
      </c>
      <c r="W96" s="15">
        <v>2.40436919454028E-2</v>
      </c>
      <c r="X96" s="9">
        <v>119</v>
      </c>
      <c r="Y96" s="15">
        <v>0.99211752822650701</v>
      </c>
      <c r="Z96" s="9">
        <v>119</v>
      </c>
      <c r="AA96" s="15">
        <v>6.2735811263710403E-2</v>
      </c>
      <c r="AB96" s="9">
        <v>105</v>
      </c>
      <c r="AC96" s="15">
        <v>6.2735811263710403E-2</v>
      </c>
      <c r="AD96" s="9">
        <v>105</v>
      </c>
      <c r="AE96" s="15">
        <v>2.82507686448717E-2</v>
      </c>
      <c r="AF96" s="9">
        <v>105</v>
      </c>
      <c r="AG96" s="15">
        <v>4.0232549721978497E-2</v>
      </c>
      <c r="AH96" s="9">
        <v>105</v>
      </c>
      <c r="AI96" s="15">
        <v>1.53115884032937E-2</v>
      </c>
      <c r="AJ96" s="9">
        <v>105</v>
      </c>
      <c r="AK96" s="15">
        <v>0.99159013452699696</v>
      </c>
      <c r="AL96" s="12">
        <v>105</v>
      </c>
    </row>
    <row r="97" spans="1:38" x14ac:dyDescent="0.25">
      <c r="C97" s="16"/>
      <c r="E97" s="16"/>
      <c r="G97" s="16"/>
      <c r="I97" s="16"/>
      <c r="K97" s="16"/>
      <c r="M97" s="16"/>
      <c r="O97" s="16"/>
      <c r="Q97" s="16"/>
      <c r="S97" s="16"/>
      <c r="U97" s="16"/>
      <c r="W97" s="16"/>
      <c r="Y97" s="16"/>
      <c r="AA97" s="16"/>
      <c r="AC97" s="16"/>
      <c r="AE97" s="16"/>
      <c r="AG97" s="16"/>
      <c r="AI97" s="16"/>
      <c r="AK97" s="16"/>
    </row>
    <row r="98" spans="1:38" x14ac:dyDescent="0.25">
      <c r="A98" s="19" t="s">
        <v>98</v>
      </c>
      <c r="B98" s="19"/>
      <c r="C98" s="20"/>
      <c r="D98" s="19"/>
      <c r="E98" s="20"/>
      <c r="F98" s="19"/>
      <c r="G98" s="20"/>
      <c r="H98" s="19"/>
      <c r="I98" s="20"/>
      <c r="J98" s="19"/>
      <c r="K98" s="20"/>
      <c r="L98" s="19"/>
      <c r="M98" s="20"/>
      <c r="N98" s="19"/>
      <c r="O98" s="20"/>
      <c r="P98" s="19"/>
      <c r="Q98" s="20"/>
      <c r="R98" s="19"/>
      <c r="S98" s="20"/>
      <c r="T98" s="19"/>
      <c r="U98" s="20"/>
      <c r="V98" s="19"/>
      <c r="W98" s="20"/>
      <c r="X98" s="19"/>
      <c r="Y98" s="20"/>
      <c r="Z98" s="19"/>
      <c r="AA98" s="20"/>
      <c r="AB98" s="19"/>
      <c r="AC98" s="20"/>
      <c r="AD98" s="19"/>
      <c r="AE98" s="20"/>
      <c r="AF98" s="19"/>
      <c r="AG98" s="20"/>
      <c r="AH98" s="19"/>
      <c r="AI98" s="20"/>
      <c r="AJ98" s="19"/>
      <c r="AK98" s="20"/>
      <c r="AL98" s="19"/>
    </row>
    <row r="99" spans="1:38" outlineLevel="1" x14ac:dyDescent="0.25">
      <c r="A99" s="5" t="s">
        <v>15</v>
      </c>
      <c r="B99" s="8" t="s">
        <v>99</v>
      </c>
      <c r="C99" s="14">
        <v>1.63724734420903E-2</v>
      </c>
      <c r="D99" s="8">
        <v>743</v>
      </c>
      <c r="E99" s="14">
        <v>2.6958354040473999E-2</v>
      </c>
      <c r="F99" s="8">
        <v>743</v>
      </c>
      <c r="G99" s="14">
        <v>5.2738994392615797E-3</v>
      </c>
      <c r="H99" s="8">
        <v>743</v>
      </c>
      <c r="I99" s="14">
        <v>1.1098574002828701E-2</v>
      </c>
      <c r="J99" s="8">
        <v>743</v>
      </c>
      <c r="K99" s="14">
        <v>5.8288464307923601E-2</v>
      </c>
      <c r="L99" s="8">
        <v>743</v>
      </c>
      <c r="M99" s="14">
        <v>0.99878367390567102</v>
      </c>
      <c r="N99" s="8">
        <v>743</v>
      </c>
      <c r="O99" s="14">
        <v>8.7494854008085994E-3</v>
      </c>
      <c r="P99" s="8">
        <v>341</v>
      </c>
      <c r="Q99" s="14">
        <v>2.0001799677055E-2</v>
      </c>
      <c r="R99" s="8">
        <v>341</v>
      </c>
      <c r="S99" s="14">
        <v>4.3433442984209102E-3</v>
      </c>
      <c r="T99" s="8">
        <v>341</v>
      </c>
      <c r="U99" s="14">
        <v>4.40614110238769E-3</v>
      </c>
      <c r="V99" s="8">
        <v>341</v>
      </c>
      <c r="W99" s="14">
        <v>7.7171124115356093E-2</v>
      </c>
      <c r="X99" s="8">
        <v>341</v>
      </c>
      <c r="Y99" s="14">
        <v>0.99872804814432703</v>
      </c>
      <c r="Z99" s="8">
        <v>341</v>
      </c>
      <c r="AA99" s="14">
        <v>2.2455448125190101E-2</v>
      </c>
      <c r="AB99" s="8">
        <v>400</v>
      </c>
      <c r="AC99" s="14">
        <v>3.2555017983156499E-2</v>
      </c>
      <c r="AD99" s="8">
        <v>400</v>
      </c>
      <c r="AE99" s="14">
        <v>6.0288595251999097E-3</v>
      </c>
      <c r="AF99" s="8">
        <v>400</v>
      </c>
      <c r="AG99" s="14">
        <v>1.6426588599990199E-2</v>
      </c>
      <c r="AH99" s="8">
        <v>400</v>
      </c>
      <c r="AI99" s="14">
        <v>4.3594674516030801E-2</v>
      </c>
      <c r="AJ99" s="8">
        <v>400</v>
      </c>
      <c r="AK99" s="14">
        <v>0.99882300566597404</v>
      </c>
      <c r="AL99" s="10">
        <v>400</v>
      </c>
    </row>
    <row r="100" spans="1:38" outlineLevel="1" x14ac:dyDescent="0.25">
      <c r="A100" s="6" t="s">
        <v>15</v>
      </c>
      <c r="B100" t="s">
        <v>100</v>
      </c>
      <c r="C100" s="16">
        <v>1.00681769415721E-2</v>
      </c>
      <c r="D100">
        <v>1173</v>
      </c>
      <c r="E100" s="16">
        <v>2.4569736900137699E-2</v>
      </c>
      <c r="F100">
        <v>1173</v>
      </c>
      <c r="G100" s="16">
        <v>2.0394092792619298E-3</v>
      </c>
      <c r="H100">
        <v>1173</v>
      </c>
      <c r="I100" s="16">
        <v>9.1376995074556305E-3</v>
      </c>
      <c r="J100">
        <v>1173</v>
      </c>
      <c r="K100" s="16">
        <v>6.3976385742029504E-2</v>
      </c>
      <c r="L100">
        <v>1173</v>
      </c>
      <c r="M100" s="16">
        <v>1</v>
      </c>
      <c r="N100">
        <v>1173</v>
      </c>
      <c r="O100" s="16">
        <v>1.17302666555382E-2</v>
      </c>
      <c r="P100">
        <v>579</v>
      </c>
      <c r="Q100" s="16">
        <v>2.6304505298215999E-2</v>
      </c>
      <c r="R100">
        <v>579</v>
      </c>
      <c r="S100" s="16">
        <v>4.2212106580930796E-3</v>
      </c>
      <c r="T100">
        <v>579</v>
      </c>
      <c r="U100" s="16">
        <v>9.8043456047970708E-3</v>
      </c>
      <c r="V100">
        <v>579</v>
      </c>
      <c r="W100" s="16">
        <v>5.8595816587796098E-2</v>
      </c>
      <c r="X100">
        <v>579</v>
      </c>
      <c r="Y100" s="16">
        <v>1</v>
      </c>
      <c r="Z100">
        <v>579</v>
      </c>
      <c r="AA100" s="16">
        <v>8.5234334134672192E-3</v>
      </c>
      <c r="AB100">
        <v>593</v>
      </c>
      <c r="AC100" s="16">
        <v>2.2972098032427099E-2</v>
      </c>
      <c r="AD100">
        <v>593</v>
      </c>
      <c r="AE100" s="16"/>
      <c r="AG100" s="16">
        <v>8.5234334134672192E-3</v>
      </c>
      <c r="AH100">
        <v>593</v>
      </c>
      <c r="AI100" s="16">
        <v>6.9077705047360799E-2</v>
      </c>
      <c r="AJ100">
        <v>593</v>
      </c>
      <c r="AK100" s="16">
        <v>1</v>
      </c>
      <c r="AL100" s="11">
        <v>593</v>
      </c>
    </row>
    <row r="101" spans="1:38" outlineLevel="1" x14ac:dyDescent="0.25">
      <c r="A101" s="7" t="s">
        <v>15</v>
      </c>
      <c r="B101" s="9" t="s">
        <v>101</v>
      </c>
      <c r="C101" s="15">
        <v>9.8673859296494592E-3</v>
      </c>
      <c r="D101" s="9">
        <v>4666</v>
      </c>
      <c r="E101" s="15">
        <v>1.6468199656140901E-2</v>
      </c>
      <c r="F101" s="9">
        <v>4666</v>
      </c>
      <c r="G101" s="15">
        <v>2.4349452446979099E-3</v>
      </c>
      <c r="H101" s="9">
        <v>4666</v>
      </c>
      <c r="I101" s="15">
        <v>8.5280395181836794E-3</v>
      </c>
      <c r="J101" s="9">
        <v>4666</v>
      </c>
      <c r="K101" s="15">
        <v>3.5434676201420698E-2</v>
      </c>
      <c r="L101" s="9">
        <v>4666</v>
      </c>
      <c r="M101" s="15">
        <v>0.99845245459367704</v>
      </c>
      <c r="N101" s="9">
        <v>4666</v>
      </c>
      <c r="O101" s="15">
        <v>6.9826296860945498E-3</v>
      </c>
      <c r="P101" s="9">
        <v>2409</v>
      </c>
      <c r="Q101" s="15">
        <v>1.4153426969267901E-2</v>
      </c>
      <c r="R101" s="9">
        <v>2409</v>
      </c>
      <c r="S101" s="15">
        <v>1.7007435106872299E-3</v>
      </c>
      <c r="T101" s="9">
        <v>2409</v>
      </c>
      <c r="U101" s="15">
        <v>6.3922225170711102E-3</v>
      </c>
      <c r="V101" s="9">
        <v>2409</v>
      </c>
      <c r="W101" s="15">
        <v>3.6216723862389603E-2</v>
      </c>
      <c r="X101" s="9">
        <v>2409</v>
      </c>
      <c r="Y101" s="15">
        <v>0.99757072619800802</v>
      </c>
      <c r="Z101" s="9">
        <v>2409</v>
      </c>
      <c r="AA101" s="15">
        <v>1.3042376317893199E-2</v>
      </c>
      <c r="AB101" s="9">
        <v>2254</v>
      </c>
      <c r="AC101" s="15">
        <v>1.9020883486618501E-2</v>
      </c>
      <c r="AD101" s="9">
        <v>2254</v>
      </c>
      <c r="AE101" s="15">
        <v>3.2429698280861102E-3</v>
      </c>
      <c r="AF101" s="9">
        <v>2254</v>
      </c>
      <c r="AG101" s="15">
        <v>1.0879458282031899E-2</v>
      </c>
      <c r="AH101" s="9">
        <v>2254</v>
      </c>
      <c r="AI101" s="15">
        <v>3.4596333891841101E-2</v>
      </c>
      <c r="AJ101" s="9">
        <v>2254</v>
      </c>
      <c r="AK101" s="15">
        <v>0.99942021256469404</v>
      </c>
      <c r="AL101" s="12">
        <v>2254</v>
      </c>
    </row>
    <row r="102" spans="1:38" x14ac:dyDescent="0.25">
      <c r="C102" s="16"/>
      <c r="E102" s="16"/>
      <c r="G102" s="16"/>
      <c r="I102" s="16"/>
      <c r="K102" s="16"/>
      <c r="M102" s="16"/>
      <c r="O102" s="16"/>
      <c r="Q102" s="16"/>
      <c r="S102" s="16"/>
      <c r="U102" s="16"/>
      <c r="W102" s="16"/>
      <c r="Y102" s="16"/>
      <c r="AA102" s="16"/>
      <c r="AC102" s="16"/>
      <c r="AE102" s="16"/>
      <c r="AG102" s="16"/>
      <c r="AI102" s="16"/>
      <c r="AK102" s="16"/>
    </row>
    <row r="103" spans="1:38" x14ac:dyDescent="0.25">
      <c r="A103" s="19" t="s">
        <v>102</v>
      </c>
      <c r="B103" s="19"/>
      <c r="C103" s="20"/>
      <c r="D103" s="19"/>
      <c r="E103" s="20"/>
      <c r="F103" s="19"/>
      <c r="G103" s="20"/>
      <c r="H103" s="19"/>
      <c r="I103" s="20"/>
      <c r="J103" s="19"/>
      <c r="K103" s="20"/>
      <c r="L103" s="19"/>
      <c r="M103" s="20"/>
      <c r="N103" s="19"/>
      <c r="O103" s="20"/>
      <c r="P103" s="19"/>
      <c r="Q103" s="20"/>
      <c r="R103" s="19"/>
      <c r="S103" s="20"/>
      <c r="T103" s="19"/>
      <c r="U103" s="20"/>
      <c r="V103" s="19"/>
      <c r="W103" s="20"/>
      <c r="X103" s="19"/>
      <c r="Y103" s="20"/>
      <c r="Z103" s="19"/>
      <c r="AA103" s="20"/>
      <c r="AB103" s="19"/>
      <c r="AC103" s="20"/>
      <c r="AD103" s="19"/>
      <c r="AE103" s="20"/>
      <c r="AF103" s="19"/>
      <c r="AG103" s="20"/>
      <c r="AH103" s="19"/>
      <c r="AI103" s="20"/>
      <c r="AJ103" s="19"/>
      <c r="AK103" s="20"/>
      <c r="AL103" s="19"/>
    </row>
    <row r="104" spans="1:38" outlineLevel="1" x14ac:dyDescent="0.25">
      <c r="A104" s="5" t="s">
        <v>15</v>
      </c>
      <c r="B104" s="8" t="s">
        <v>101</v>
      </c>
      <c r="C104" s="14">
        <v>9.8194953926338292E-3</v>
      </c>
      <c r="D104" s="8">
        <v>3243</v>
      </c>
      <c r="E104" s="14">
        <v>1.6431404115490499E-2</v>
      </c>
      <c r="F104" s="8">
        <v>3243</v>
      </c>
      <c r="G104" s="14">
        <v>2.4185653910077098E-3</v>
      </c>
      <c r="H104" s="8">
        <v>3243</v>
      </c>
      <c r="I104" s="14">
        <v>8.4961227406015298E-3</v>
      </c>
      <c r="J104" s="8">
        <v>3243</v>
      </c>
      <c r="K104" s="14">
        <v>3.5478701984867203E-2</v>
      </c>
      <c r="L104" s="8">
        <v>3243</v>
      </c>
      <c r="M104" s="14">
        <v>0.99845327628777003</v>
      </c>
      <c r="N104" s="8">
        <v>3243</v>
      </c>
      <c r="O104" s="14">
        <v>6.9620208003401797E-3</v>
      </c>
      <c r="P104" s="8">
        <v>1683</v>
      </c>
      <c r="Q104" s="14">
        <v>1.4137711325234699E-2</v>
      </c>
      <c r="R104" s="8">
        <v>1683</v>
      </c>
      <c r="S104" s="14">
        <v>1.6817198827117101E-3</v>
      </c>
      <c r="T104" s="8">
        <v>1683</v>
      </c>
      <c r="U104" s="14">
        <v>6.3905539220279299E-3</v>
      </c>
      <c r="V104" s="8">
        <v>1683</v>
      </c>
      <c r="W104" s="14">
        <v>3.6287291206113202E-2</v>
      </c>
      <c r="X104" s="8">
        <v>1683</v>
      </c>
      <c r="Y104" s="14">
        <v>0.99756696043915905</v>
      </c>
      <c r="Z104" s="8">
        <v>1683</v>
      </c>
      <c r="AA104" s="14">
        <v>1.2965138144378399E-2</v>
      </c>
      <c r="AB104" s="8">
        <v>1558</v>
      </c>
      <c r="AC104" s="14">
        <v>1.8961454893315001E-2</v>
      </c>
      <c r="AD104" s="8">
        <v>1558</v>
      </c>
      <c r="AE104" s="14">
        <v>3.2296526525129E-3</v>
      </c>
      <c r="AF104" s="8">
        <v>1558</v>
      </c>
      <c r="AG104" s="14">
        <v>1.0814776083587999E-2</v>
      </c>
      <c r="AH104" s="8">
        <v>1558</v>
      </c>
      <c r="AI104" s="14">
        <v>3.4611147517066503E-2</v>
      </c>
      <c r="AJ104" s="8">
        <v>1558</v>
      </c>
      <c r="AK104" s="14">
        <v>0.99942626417727298</v>
      </c>
      <c r="AL104" s="10">
        <v>1558</v>
      </c>
    </row>
    <row r="105" spans="1:38" outlineLevel="1" x14ac:dyDescent="0.25">
      <c r="A105" s="6" t="s">
        <v>15</v>
      </c>
      <c r="B105" t="s">
        <v>103</v>
      </c>
      <c r="C105" s="16">
        <v>1.2206413050644901E-2</v>
      </c>
      <c r="D105">
        <v>2437</v>
      </c>
      <c r="E105" s="16">
        <v>2.39854792813287E-2</v>
      </c>
      <c r="F105">
        <v>2437</v>
      </c>
      <c r="G105" s="16">
        <v>1.2766732007781401E-3</v>
      </c>
      <c r="H105">
        <v>2437</v>
      </c>
      <c r="I105" s="16">
        <v>1.10539475416454E-2</v>
      </c>
      <c r="J105">
        <v>2437</v>
      </c>
      <c r="K105" s="16">
        <v>5.5401631783527597E-2</v>
      </c>
      <c r="L105">
        <v>2437</v>
      </c>
      <c r="M105" s="16">
        <v>0.99951737810766395</v>
      </c>
      <c r="N105">
        <v>2437</v>
      </c>
      <c r="O105" s="16">
        <v>7.2330338676246204E-3</v>
      </c>
      <c r="P105">
        <v>1202</v>
      </c>
      <c r="Q105" s="16">
        <v>1.8106337888955999E-2</v>
      </c>
      <c r="R105">
        <v>1202</v>
      </c>
      <c r="S105" s="16">
        <v>2.0600257370807702E-3</v>
      </c>
      <c r="T105">
        <v>1202</v>
      </c>
      <c r="U105" s="16">
        <v>5.3020331016467902E-3</v>
      </c>
      <c r="V105">
        <v>1202</v>
      </c>
      <c r="W105" s="16">
        <v>6.1041845237690601E-2</v>
      </c>
      <c r="X105">
        <v>1202</v>
      </c>
      <c r="Y105" s="16">
        <v>0.99917309747929595</v>
      </c>
      <c r="Z105">
        <v>1202</v>
      </c>
      <c r="AA105" s="16">
        <v>1.6707391456712298E-2</v>
      </c>
      <c r="AB105">
        <v>1233</v>
      </c>
      <c r="AC105" s="16">
        <v>2.9326856006695799E-2</v>
      </c>
      <c r="AD105">
        <v>1233</v>
      </c>
      <c r="AE105" s="16">
        <v>5.7464852652201195E-4</v>
      </c>
      <c r="AF105">
        <v>1233</v>
      </c>
      <c r="AG105" s="16">
        <v>1.62528851665204E-2</v>
      </c>
      <c r="AH105">
        <v>1233</v>
      </c>
      <c r="AI105" s="16">
        <v>5.0446943029924203E-2</v>
      </c>
      <c r="AJ105">
        <v>1233</v>
      </c>
      <c r="AK105" s="16">
        <v>0.99982608517503402</v>
      </c>
      <c r="AL105" s="11">
        <v>1233</v>
      </c>
    </row>
    <row r="106" spans="1:38" outlineLevel="1" x14ac:dyDescent="0.25">
      <c r="A106" s="6" t="s">
        <v>15</v>
      </c>
      <c r="B106" t="s">
        <v>104</v>
      </c>
      <c r="C106" s="16">
        <v>4.8541110562291901E-3</v>
      </c>
      <c r="D106">
        <v>423</v>
      </c>
      <c r="E106" s="16">
        <v>7.8646999900622797E-3</v>
      </c>
      <c r="F106">
        <v>423</v>
      </c>
      <c r="G106" s="16">
        <v>1.9682438265619098E-3</v>
      </c>
      <c r="H106">
        <v>423</v>
      </c>
      <c r="I106" s="16">
        <v>2.8858672296672798E-3</v>
      </c>
      <c r="J106">
        <v>423</v>
      </c>
      <c r="K106" s="16">
        <v>5.1912523458617299E-2</v>
      </c>
      <c r="L106">
        <v>423</v>
      </c>
      <c r="M106" s="16">
        <v>0.99803175617343798</v>
      </c>
      <c r="N106">
        <v>423</v>
      </c>
      <c r="O106" s="16">
        <v>6.3031616219535796E-3</v>
      </c>
      <c r="P106">
        <v>216</v>
      </c>
      <c r="Q106" s="16">
        <v>1.21829731169754E-2</v>
      </c>
      <c r="R106">
        <v>216</v>
      </c>
      <c r="S106" s="16"/>
      <c r="U106" s="16">
        <v>6.3031616219535796E-3</v>
      </c>
      <c r="V106">
        <v>216</v>
      </c>
      <c r="W106" s="16">
        <v>5.8522088317001897E-2</v>
      </c>
      <c r="X106">
        <v>216</v>
      </c>
      <c r="Y106" s="16">
        <v>1</v>
      </c>
      <c r="Z106">
        <v>216</v>
      </c>
      <c r="AA106" s="16">
        <v>3.63040391785851E-3</v>
      </c>
      <c r="AB106">
        <v>207</v>
      </c>
      <c r="AC106" s="16">
        <v>4.2179662073828297E-3</v>
      </c>
      <c r="AD106">
        <v>207</v>
      </c>
      <c r="AE106" s="16">
        <v>3.63040391785851E-3</v>
      </c>
      <c r="AF106">
        <v>207</v>
      </c>
      <c r="AG106" s="16"/>
      <c r="AI106" s="16">
        <v>4.6330819210300703E-2</v>
      </c>
      <c r="AJ106">
        <v>207</v>
      </c>
      <c r="AK106" s="16">
        <v>0.99636959608214104</v>
      </c>
      <c r="AL106" s="11">
        <v>207</v>
      </c>
    </row>
    <row r="107" spans="1:38" outlineLevel="1" x14ac:dyDescent="0.25">
      <c r="A107" s="6" t="s">
        <v>15</v>
      </c>
      <c r="B107" t="s">
        <v>109</v>
      </c>
      <c r="C107" s="16">
        <v>8.8067887579790591E-3</v>
      </c>
      <c r="D107">
        <v>74</v>
      </c>
      <c r="E107" s="16">
        <v>2.1248889397183699E-2</v>
      </c>
      <c r="F107">
        <v>74</v>
      </c>
      <c r="G107" s="16"/>
      <c r="I107" s="16">
        <v>8.8067887579790591E-3</v>
      </c>
      <c r="J107">
        <v>74</v>
      </c>
      <c r="K107" s="16">
        <v>3.76389937251616E-2</v>
      </c>
      <c r="L107">
        <v>74</v>
      </c>
      <c r="M107" s="16">
        <v>1</v>
      </c>
      <c r="N107">
        <v>74</v>
      </c>
      <c r="O107" s="16"/>
      <c r="Q107" s="16"/>
      <c r="S107" s="16"/>
      <c r="U107" s="16"/>
      <c r="W107" s="16">
        <v>1.9525094785214199E-2</v>
      </c>
      <c r="X107">
        <v>33</v>
      </c>
      <c r="Y107" s="16">
        <v>1</v>
      </c>
      <c r="Z107">
        <v>33</v>
      </c>
      <c r="AA107" s="16">
        <v>1.38980991675199E-2</v>
      </c>
      <c r="AB107">
        <v>41</v>
      </c>
      <c r="AC107" s="16">
        <v>3.3533127699260097E-2</v>
      </c>
      <c r="AD107">
        <v>41</v>
      </c>
      <c r="AE107" s="16"/>
      <c r="AG107" s="16">
        <v>1.38980991675199E-2</v>
      </c>
      <c r="AH107">
        <v>41</v>
      </c>
      <c r="AI107" s="16">
        <v>4.8110856371664699E-2</v>
      </c>
      <c r="AJ107">
        <v>41</v>
      </c>
      <c r="AK107" s="16">
        <v>1</v>
      </c>
      <c r="AL107" s="11">
        <v>41</v>
      </c>
    </row>
    <row r="108" spans="1:38" outlineLevel="1" x14ac:dyDescent="0.25">
      <c r="A108" s="6" t="s">
        <v>15</v>
      </c>
      <c r="B108" t="s">
        <v>110</v>
      </c>
      <c r="C108" s="16">
        <v>0.177528140604096</v>
      </c>
      <c r="D108">
        <v>44</v>
      </c>
      <c r="E108" s="16">
        <v>0.28237798535303699</v>
      </c>
      <c r="F108">
        <v>44</v>
      </c>
      <c r="G108" s="16">
        <v>0.161325441819549</v>
      </c>
      <c r="H108">
        <v>44</v>
      </c>
      <c r="I108" s="16">
        <v>1.6202698784547699E-2</v>
      </c>
      <c r="J108">
        <v>44</v>
      </c>
      <c r="K108" s="16">
        <v>0.27479125637623403</v>
      </c>
      <c r="L108">
        <v>44</v>
      </c>
      <c r="M108" s="16">
        <v>1</v>
      </c>
      <c r="N108">
        <v>44</v>
      </c>
      <c r="O108" s="16">
        <v>0.15172380759519499</v>
      </c>
      <c r="P108">
        <v>22</v>
      </c>
      <c r="Q108" s="16">
        <v>0.26762624893301401</v>
      </c>
      <c r="R108">
        <v>22</v>
      </c>
      <c r="S108" s="16">
        <v>0.142768466030851</v>
      </c>
      <c r="T108">
        <v>22</v>
      </c>
      <c r="U108" s="16">
        <v>8.9553415643438897E-3</v>
      </c>
      <c r="V108">
        <v>22</v>
      </c>
      <c r="W108" s="16">
        <v>0.24971556580432699</v>
      </c>
      <c r="X108">
        <v>22</v>
      </c>
      <c r="Y108" s="16">
        <v>1</v>
      </c>
      <c r="Z108">
        <v>22</v>
      </c>
      <c r="AA108" s="16">
        <v>0.198839467464519</v>
      </c>
      <c r="AB108">
        <v>22</v>
      </c>
      <c r="AC108" s="16">
        <v>0.29456117476147797</v>
      </c>
      <c r="AD108">
        <v>22</v>
      </c>
      <c r="AE108" s="16">
        <v>0.17665130885271199</v>
      </c>
      <c r="AF108">
        <v>22</v>
      </c>
      <c r="AG108" s="16">
        <v>2.2188158611807399E-2</v>
      </c>
      <c r="AH108">
        <v>22</v>
      </c>
      <c r="AI108" s="16">
        <v>0.295500810769459</v>
      </c>
      <c r="AJ108">
        <v>22</v>
      </c>
      <c r="AK108" s="16">
        <v>1</v>
      </c>
      <c r="AL108" s="11">
        <v>22</v>
      </c>
    </row>
    <row r="109" spans="1:38" outlineLevel="1" x14ac:dyDescent="0.25">
      <c r="A109" s="6" t="s">
        <v>15</v>
      </c>
      <c r="B109" t="s">
        <v>113</v>
      </c>
      <c r="C109" s="16">
        <v>5.42123003492209E-2</v>
      </c>
      <c r="D109">
        <v>81</v>
      </c>
      <c r="E109" s="16">
        <v>5.42123003492209E-2</v>
      </c>
      <c r="F109">
        <v>81</v>
      </c>
      <c r="G109" s="16"/>
      <c r="I109" s="16">
        <v>5.42123003492209E-2</v>
      </c>
      <c r="J109">
        <v>81</v>
      </c>
      <c r="K109" s="16">
        <v>0.13686226733728801</v>
      </c>
      <c r="L109">
        <v>81</v>
      </c>
      <c r="M109" s="16">
        <v>1</v>
      </c>
      <c r="N109">
        <v>81</v>
      </c>
      <c r="O109" s="16">
        <v>9.6251036994789693E-2</v>
      </c>
      <c r="P109">
        <v>42</v>
      </c>
      <c r="Q109" s="16">
        <v>9.6251036994789693E-2</v>
      </c>
      <c r="R109">
        <v>42</v>
      </c>
      <c r="S109" s="16"/>
      <c r="U109" s="16">
        <v>9.6251036994789693E-2</v>
      </c>
      <c r="V109">
        <v>42</v>
      </c>
      <c r="W109" s="16">
        <v>5.2158856544404601E-2</v>
      </c>
      <c r="X109">
        <v>42</v>
      </c>
      <c r="Y109" s="16">
        <v>1</v>
      </c>
      <c r="Z109">
        <v>42</v>
      </c>
      <c r="AA109" s="16">
        <v>1.5363146327884601E-2</v>
      </c>
      <c r="AB109">
        <v>38</v>
      </c>
      <c r="AC109" s="16">
        <v>1.5363146327884601E-2</v>
      </c>
      <c r="AD109">
        <v>38</v>
      </c>
      <c r="AE109" s="16"/>
      <c r="AG109" s="16">
        <v>1.5363146327884601E-2</v>
      </c>
      <c r="AH109">
        <v>38</v>
      </c>
      <c r="AI109" s="16">
        <v>0.21527118127575001</v>
      </c>
      <c r="AJ109">
        <v>38</v>
      </c>
      <c r="AK109" s="16">
        <v>1</v>
      </c>
      <c r="AL109" s="11">
        <v>38</v>
      </c>
    </row>
    <row r="110" spans="1:38" outlineLevel="1" x14ac:dyDescent="0.25">
      <c r="A110" s="6" t="s">
        <v>15</v>
      </c>
      <c r="B110" t="s">
        <v>114</v>
      </c>
      <c r="C110" s="16">
        <v>4.0194751834856303E-2</v>
      </c>
      <c r="D110">
        <v>181</v>
      </c>
      <c r="E110" s="16">
        <v>4.8597962597493098E-2</v>
      </c>
      <c r="F110">
        <v>181</v>
      </c>
      <c r="G110" s="16">
        <v>2.6957780310785402E-2</v>
      </c>
      <c r="H110">
        <v>181</v>
      </c>
      <c r="I110" s="16">
        <v>4.0194751834856303E-2</v>
      </c>
      <c r="J110">
        <v>181</v>
      </c>
      <c r="K110" s="16">
        <v>3.5034967759973799E-2</v>
      </c>
      <c r="L110">
        <v>181</v>
      </c>
      <c r="M110" s="16">
        <v>1</v>
      </c>
      <c r="N110">
        <v>181</v>
      </c>
      <c r="O110" s="16">
        <v>9.6216795508677094E-2</v>
      </c>
      <c r="P110">
        <v>87</v>
      </c>
      <c r="Q110" s="16">
        <v>9.6406424802024895E-2</v>
      </c>
      <c r="R110">
        <v>87</v>
      </c>
      <c r="S110" s="16">
        <v>6.4784955406383099E-2</v>
      </c>
      <c r="T110">
        <v>87</v>
      </c>
      <c r="U110" s="16">
        <v>9.6216795508677094E-2</v>
      </c>
      <c r="V110">
        <v>87</v>
      </c>
      <c r="W110" s="16">
        <v>3.2190357275684998E-2</v>
      </c>
      <c r="X110">
        <v>87</v>
      </c>
      <c r="Y110" s="16">
        <v>1</v>
      </c>
      <c r="Z110">
        <v>87</v>
      </c>
      <c r="AA110" s="16">
        <v>2.7647412704526002E-4</v>
      </c>
      <c r="AB110">
        <v>93</v>
      </c>
      <c r="AC110" s="16">
        <v>1.48598150471252E-2</v>
      </c>
      <c r="AD110">
        <v>93</v>
      </c>
      <c r="AE110" s="16"/>
      <c r="AG110" s="16">
        <v>2.7647412704526002E-4</v>
      </c>
      <c r="AH110">
        <v>93</v>
      </c>
      <c r="AI110" s="16">
        <v>3.7911417446487697E-2</v>
      </c>
      <c r="AJ110">
        <v>93</v>
      </c>
      <c r="AK110" s="16">
        <v>1</v>
      </c>
      <c r="AL110" s="11">
        <v>93</v>
      </c>
    </row>
    <row r="111" spans="1:38" outlineLevel="1" x14ac:dyDescent="0.25">
      <c r="A111" s="6" t="s">
        <v>15</v>
      </c>
      <c r="B111" t="s">
        <v>108</v>
      </c>
      <c r="C111" s="16"/>
      <c r="E111" s="16">
        <v>3.69737403519858E-2</v>
      </c>
      <c r="F111">
        <v>28</v>
      </c>
      <c r="G111" s="16"/>
      <c r="I111" s="16"/>
      <c r="K111" s="16">
        <v>3.69737403519858E-2</v>
      </c>
      <c r="L111">
        <v>28</v>
      </c>
      <c r="M111" s="16">
        <v>1</v>
      </c>
      <c r="N111">
        <v>28</v>
      </c>
      <c r="O111" s="16"/>
      <c r="Q111" s="16">
        <v>6.25E-2</v>
      </c>
      <c r="R111">
        <v>16</v>
      </c>
      <c r="S111" s="16"/>
      <c r="U111" s="16"/>
      <c r="W111" s="16">
        <v>6.25E-2</v>
      </c>
      <c r="X111">
        <v>16</v>
      </c>
      <c r="Y111" s="16">
        <v>1</v>
      </c>
      <c r="Z111">
        <v>16</v>
      </c>
      <c r="AA111" s="16"/>
      <c r="AC111" s="16"/>
      <c r="AE111" s="16"/>
      <c r="AG111" s="16"/>
      <c r="AI111" s="16"/>
      <c r="AK111" s="16">
        <v>1</v>
      </c>
      <c r="AL111" s="11">
        <v>12</v>
      </c>
    </row>
    <row r="112" spans="1:38" outlineLevel="1" x14ac:dyDescent="0.25">
      <c r="A112" s="6" t="s">
        <v>15</v>
      </c>
      <c r="B112" t="s">
        <v>116</v>
      </c>
      <c r="C112" s="16"/>
      <c r="E112" s="16">
        <v>9.7190577592331504E-2</v>
      </c>
      <c r="F112">
        <v>13</v>
      </c>
      <c r="G112" s="16"/>
      <c r="I112" s="16"/>
      <c r="K112" s="16">
        <v>9.7190577592331504E-2</v>
      </c>
      <c r="L112">
        <v>13</v>
      </c>
      <c r="M112" s="16">
        <v>1</v>
      </c>
      <c r="N112">
        <v>13</v>
      </c>
      <c r="O112" s="16"/>
      <c r="Q112" s="16">
        <v>0.14968063268606599</v>
      </c>
      <c r="R112">
        <v>8</v>
      </c>
      <c r="S112" s="16"/>
      <c r="U112" s="16"/>
      <c r="W112" s="16">
        <v>0.14968063268606599</v>
      </c>
      <c r="X112">
        <v>8</v>
      </c>
      <c r="Y112" s="16">
        <v>1</v>
      </c>
      <c r="Z112">
        <v>8</v>
      </c>
      <c r="AA112" s="16"/>
      <c r="AC112" s="16"/>
      <c r="AE112" s="16"/>
      <c r="AG112" s="16"/>
      <c r="AI112" s="16"/>
      <c r="AK112" s="16">
        <v>1</v>
      </c>
      <c r="AL112" s="11">
        <v>5</v>
      </c>
    </row>
    <row r="113" spans="1:38" outlineLevel="1" x14ac:dyDescent="0.25">
      <c r="A113" s="6" t="s">
        <v>15</v>
      </c>
      <c r="B113" t="s">
        <v>107</v>
      </c>
      <c r="C113" s="16"/>
      <c r="E113" s="16"/>
      <c r="G113" s="16"/>
      <c r="I113" s="16"/>
      <c r="K113" s="16">
        <v>0.75</v>
      </c>
      <c r="L113">
        <v>4</v>
      </c>
      <c r="M113" s="16">
        <v>1</v>
      </c>
      <c r="N113">
        <v>4</v>
      </c>
      <c r="O113" s="16"/>
      <c r="Q113" s="16"/>
      <c r="S113" s="16"/>
      <c r="U113" s="16"/>
      <c r="W113" s="16">
        <v>1</v>
      </c>
      <c r="X113">
        <v>1</v>
      </c>
      <c r="Y113" s="16">
        <v>1</v>
      </c>
      <c r="Z113">
        <v>1</v>
      </c>
      <c r="AA113" s="16"/>
      <c r="AC113" s="16"/>
      <c r="AE113" s="16"/>
      <c r="AG113" s="16"/>
      <c r="AI113" s="16">
        <v>0.66666666666666696</v>
      </c>
      <c r="AJ113">
        <v>3</v>
      </c>
      <c r="AK113" s="16">
        <v>1</v>
      </c>
      <c r="AL113" s="11">
        <v>3</v>
      </c>
    </row>
    <row r="114" spans="1:38" outlineLevel="1" x14ac:dyDescent="0.25">
      <c r="A114" s="6" t="s">
        <v>15</v>
      </c>
      <c r="B114" t="s">
        <v>111</v>
      </c>
      <c r="C114" s="16"/>
      <c r="E114" s="16"/>
      <c r="G114" s="16"/>
      <c r="I114" s="16"/>
      <c r="K114" s="16">
        <v>3.1649712457503101E-2</v>
      </c>
      <c r="L114">
        <v>10</v>
      </c>
      <c r="M114" s="16">
        <v>1</v>
      </c>
      <c r="N114">
        <v>10</v>
      </c>
      <c r="O114" s="16"/>
      <c r="Q114" s="16"/>
      <c r="S114" s="16"/>
      <c r="U114" s="16"/>
      <c r="W114" s="16"/>
      <c r="Y114" s="16">
        <v>1</v>
      </c>
      <c r="Z114">
        <v>1</v>
      </c>
      <c r="AA114" s="16"/>
      <c r="AC114" s="16"/>
      <c r="AE114" s="16"/>
      <c r="AG114" s="16"/>
      <c r="AI114" s="16">
        <v>3.6349439873755697E-2</v>
      </c>
      <c r="AJ114">
        <v>9</v>
      </c>
      <c r="AK114" s="16">
        <v>1</v>
      </c>
      <c r="AL114" s="11">
        <v>9</v>
      </c>
    </row>
    <row r="115" spans="1:38" outlineLevel="1" x14ac:dyDescent="0.25">
      <c r="A115" s="6" t="s">
        <v>15</v>
      </c>
      <c r="B115" t="s">
        <v>112</v>
      </c>
      <c r="C115" s="16"/>
      <c r="E115" s="16"/>
      <c r="G115" s="16"/>
      <c r="I115" s="16"/>
      <c r="K115" s="16">
        <v>4.3252509011146703E-2</v>
      </c>
      <c r="L115">
        <v>34</v>
      </c>
      <c r="M115" s="16">
        <v>1</v>
      </c>
      <c r="N115">
        <v>34</v>
      </c>
      <c r="O115" s="16"/>
      <c r="Q115" s="16"/>
      <c r="S115" s="16"/>
      <c r="U115" s="16"/>
      <c r="W115" s="16"/>
      <c r="Y115" s="16">
        <v>1</v>
      </c>
      <c r="Z115">
        <v>12</v>
      </c>
      <c r="AA115" s="16"/>
      <c r="AC115" s="16"/>
      <c r="AE115" s="16"/>
      <c r="AG115" s="16"/>
      <c r="AI115" s="16">
        <v>8.1433455033174895E-2</v>
      </c>
      <c r="AJ115">
        <v>22</v>
      </c>
      <c r="AK115" s="16">
        <v>1</v>
      </c>
      <c r="AL115" s="11">
        <v>22</v>
      </c>
    </row>
    <row r="116" spans="1:38" outlineLevel="1" x14ac:dyDescent="0.25">
      <c r="A116" s="6" t="s">
        <v>15</v>
      </c>
      <c r="B116" t="s">
        <v>115</v>
      </c>
      <c r="C116" s="16"/>
      <c r="E116" s="16"/>
      <c r="G116" s="16"/>
      <c r="I116" s="16"/>
      <c r="K116" s="16">
        <v>0.31519981009310699</v>
      </c>
      <c r="L116">
        <v>4</v>
      </c>
      <c r="M116" s="16">
        <v>1</v>
      </c>
      <c r="N116">
        <v>4</v>
      </c>
      <c r="O116" s="16"/>
      <c r="Q116" s="16"/>
      <c r="S116" s="16"/>
      <c r="U116" s="16"/>
      <c r="W116" s="16"/>
      <c r="Y116" s="16">
        <v>1</v>
      </c>
      <c r="Z116">
        <v>3</v>
      </c>
      <c r="AA116" s="16"/>
      <c r="AC116" s="16"/>
      <c r="AE116" s="16"/>
      <c r="AG116" s="16"/>
      <c r="AI116" s="16">
        <v>1</v>
      </c>
      <c r="AJ116">
        <v>1</v>
      </c>
      <c r="AK116" s="16">
        <v>1</v>
      </c>
      <c r="AL116" s="11">
        <v>1</v>
      </c>
    </row>
    <row r="117" spans="1:38" outlineLevel="1" x14ac:dyDescent="0.25">
      <c r="A117" s="6" t="s">
        <v>15</v>
      </c>
      <c r="B117" t="s">
        <v>105</v>
      </c>
      <c r="C117" s="16"/>
      <c r="E117" s="16"/>
      <c r="G117" s="16"/>
      <c r="I117" s="16"/>
      <c r="K117" s="16"/>
      <c r="M117" s="16">
        <v>1</v>
      </c>
      <c r="N117">
        <v>4</v>
      </c>
      <c r="O117" s="16"/>
      <c r="Q117" s="16"/>
      <c r="S117" s="16"/>
      <c r="U117" s="16"/>
      <c r="W117" s="16"/>
      <c r="Y117" s="16">
        <v>1</v>
      </c>
      <c r="Z117">
        <v>2</v>
      </c>
      <c r="AA117" s="16"/>
      <c r="AC117" s="16"/>
      <c r="AE117" s="16"/>
      <c r="AG117" s="16"/>
      <c r="AI117" s="16"/>
      <c r="AK117" s="16">
        <v>1</v>
      </c>
      <c r="AL117" s="11">
        <v>2</v>
      </c>
    </row>
    <row r="118" spans="1:38" outlineLevel="1" x14ac:dyDescent="0.25">
      <c r="A118" s="7" t="s">
        <v>15</v>
      </c>
      <c r="B118" s="9" t="s">
        <v>106</v>
      </c>
      <c r="C118" s="15"/>
      <c r="D118" s="9"/>
      <c r="E118" s="15"/>
      <c r="F118" s="9"/>
      <c r="G118" s="15"/>
      <c r="H118" s="9"/>
      <c r="I118" s="15"/>
      <c r="J118" s="9"/>
      <c r="K118" s="15"/>
      <c r="L118" s="9"/>
      <c r="M118" s="15">
        <v>1</v>
      </c>
      <c r="N118" s="9">
        <v>2</v>
      </c>
      <c r="O118" s="15"/>
      <c r="P118" s="9"/>
      <c r="Q118" s="15"/>
      <c r="R118" s="9"/>
      <c r="S118" s="15"/>
      <c r="T118" s="9"/>
      <c r="U118" s="15"/>
      <c r="V118" s="9"/>
      <c r="W118" s="15"/>
      <c r="X118" s="9"/>
      <c r="Y118" s="15">
        <v>1</v>
      </c>
      <c r="Z118" s="9">
        <v>1</v>
      </c>
      <c r="AA118" s="15"/>
      <c r="AB118" s="9"/>
      <c r="AC118" s="15"/>
      <c r="AD118" s="9"/>
      <c r="AE118" s="15"/>
      <c r="AF118" s="9"/>
      <c r="AG118" s="15"/>
      <c r="AH118" s="9"/>
      <c r="AI118" s="15"/>
      <c r="AJ118" s="9"/>
      <c r="AK118" s="15">
        <v>1</v>
      </c>
      <c r="AL118" s="12">
        <v>1</v>
      </c>
    </row>
    <row r="119" spans="1:38" x14ac:dyDescent="0.25">
      <c r="C119" s="16"/>
      <c r="E119" s="16"/>
      <c r="G119" s="16"/>
      <c r="I119" s="16"/>
      <c r="K119" s="16"/>
      <c r="M119" s="16"/>
      <c r="O119" s="16"/>
      <c r="Q119" s="16"/>
      <c r="S119" s="16"/>
      <c r="U119" s="16"/>
      <c r="W119" s="16"/>
      <c r="Y119" s="16"/>
      <c r="AA119" s="16"/>
      <c r="AC119" s="16"/>
      <c r="AE119" s="16"/>
      <c r="AG119" s="16"/>
      <c r="AI119" s="16"/>
      <c r="AK119" s="16"/>
    </row>
    <row r="120" spans="1:38" x14ac:dyDescent="0.25">
      <c r="A120" s="19" t="s">
        <v>117</v>
      </c>
      <c r="B120" s="19"/>
      <c r="C120" s="20"/>
      <c r="D120" s="19"/>
      <c r="E120" s="20"/>
      <c r="F120" s="19"/>
      <c r="G120" s="20"/>
      <c r="H120" s="19"/>
      <c r="I120" s="20"/>
      <c r="J120" s="19"/>
      <c r="K120" s="20"/>
      <c r="L120" s="19"/>
      <c r="M120" s="20"/>
      <c r="N120" s="19"/>
      <c r="O120" s="20"/>
      <c r="P120" s="19"/>
      <c r="Q120" s="20"/>
      <c r="R120" s="19"/>
      <c r="S120" s="20"/>
      <c r="T120" s="19"/>
      <c r="U120" s="20"/>
      <c r="V120" s="19"/>
      <c r="W120" s="20"/>
      <c r="X120" s="19"/>
      <c r="Y120" s="20"/>
      <c r="Z120" s="19"/>
      <c r="AA120" s="20"/>
      <c r="AB120" s="19"/>
      <c r="AC120" s="20"/>
      <c r="AD120" s="19"/>
      <c r="AE120" s="20"/>
      <c r="AF120" s="19"/>
      <c r="AG120" s="20"/>
      <c r="AH120" s="19"/>
      <c r="AI120" s="20"/>
      <c r="AJ120" s="19"/>
      <c r="AK120" s="20"/>
      <c r="AL120" s="19"/>
    </row>
    <row r="121" spans="1:38" outlineLevel="1" x14ac:dyDescent="0.25">
      <c r="A121" s="5" t="s">
        <v>15</v>
      </c>
      <c r="B121" s="8" t="s">
        <v>101</v>
      </c>
      <c r="C121" s="14"/>
      <c r="D121" s="8"/>
      <c r="E121" s="14">
        <v>2.1635779131459901E-3</v>
      </c>
      <c r="F121" s="8">
        <v>83</v>
      </c>
      <c r="G121" s="14"/>
      <c r="H121" s="8"/>
      <c r="I121" s="14"/>
      <c r="J121" s="8"/>
      <c r="K121" s="14">
        <v>4.3346881576841597E-3</v>
      </c>
      <c r="L121" s="8">
        <v>83</v>
      </c>
      <c r="M121" s="14">
        <v>1</v>
      </c>
      <c r="N121" s="8">
        <v>83</v>
      </c>
      <c r="O121" s="14"/>
      <c r="P121" s="8"/>
      <c r="Q121" s="14"/>
      <c r="R121" s="8"/>
      <c r="S121" s="14"/>
      <c r="T121" s="8"/>
      <c r="U121" s="14"/>
      <c r="V121" s="8"/>
      <c r="W121" s="14"/>
      <c r="X121" s="8"/>
      <c r="Y121" s="14">
        <v>1</v>
      </c>
      <c r="Z121" s="8">
        <v>45</v>
      </c>
      <c r="AA121" s="14"/>
      <c r="AB121" s="8"/>
      <c r="AC121" s="14">
        <v>5.4181694684560097E-3</v>
      </c>
      <c r="AD121" s="8">
        <v>38</v>
      </c>
      <c r="AE121" s="14"/>
      <c r="AF121" s="8"/>
      <c r="AG121" s="14"/>
      <c r="AH121" s="8"/>
      <c r="AI121" s="14">
        <v>1.08552018804314E-2</v>
      </c>
      <c r="AJ121" s="8">
        <v>38</v>
      </c>
      <c r="AK121" s="14">
        <v>1</v>
      </c>
      <c r="AL121" s="10">
        <v>38</v>
      </c>
    </row>
    <row r="122" spans="1:38" outlineLevel="1" x14ac:dyDescent="0.25">
      <c r="A122" s="6" t="s">
        <v>15</v>
      </c>
      <c r="B122" t="s">
        <v>118</v>
      </c>
      <c r="C122" s="16">
        <v>8.6218237561748994E-3</v>
      </c>
      <c r="D122">
        <v>4459</v>
      </c>
      <c r="E122" s="16">
        <v>1.43738668020807E-2</v>
      </c>
      <c r="F122">
        <v>4459</v>
      </c>
      <c r="G122" s="16">
        <v>1.76779581250151E-3</v>
      </c>
      <c r="H122">
        <v>4459</v>
      </c>
      <c r="I122" s="16">
        <v>7.3301579094501596E-3</v>
      </c>
      <c r="J122">
        <v>4459</v>
      </c>
      <c r="K122" s="16">
        <v>3.2988055448604101E-2</v>
      </c>
      <c r="L122">
        <v>4459</v>
      </c>
      <c r="M122" s="16">
        <v>0.999659566816962</v>
      </c>
      <c r="N122">
        <v>4459</v>
      </c>
      <c r="O122" s="16">
        <v>4.8129391017639198E-3</v>
      </c>
      <c r="P122">
        <v>2269</v>
      </c>
      <c r="Q122" s="16">
        <v>1.12075628389847E-2</v>
      </c>
      <c r="R122">
        <v>2269</v>
      </c>
      <c r="S122" s="16">
        <v>7.5547272226769894E-5</v>
      </c>
      <c r="T122">
        <v>2269</v>
      </c>
      <c r="U122" s="16">
        <v>4.7373918295371504E-3</v>
      </c>
      <c r="V122">
        <v>2269</v>
      </c>
      <c r="W122" s="16">
        <v>3.3218299514570601E-2</v>
      </c>
      <c r="X122">
        <v>2269</v>
      </c>
      <c r="Y122" s="16">
        <v>0.99941536482620297</v>
      </c>
      <c r="Z122">
        <v>2269</v>
      </c>
      <c r="AA122" s="16">
        <v>1.26657179790202E-2</v>
      </c>
      <c r="AB122">
        <v>2187</v>
      </c>
      <c r="AC122" s="16">
        <v>1.7740747373069601E-2</v>
      </c>
      <c r="AD122">
        <v>2187</v>
      </c>
      <c r="AE122" s="16">
        <v>3.56296412089287E-3</v>
      </c>
      <c r="AF122">
        <v>2187</v>
      </c>
      <c r="AG122" s="16">
        <v>1.0083955849507701E-2</v>
      </c>
      <c r="AH122">
        <v>2187</v>
      </c>
      <c r="AI122" s="16">
        <v>3.2767851642348897E-2</v>
      </c>
      <c r="AJ122">
        <v>2187</v>
      </c>
      <c r="AK122" s="16">
        <v>0.99991818985548198</v>
      </c>
      <c r="AL122" s="11">
        <v>2187</v>
      </c>
    </row>
    <row r="123" spans="1:38" outlineLevel="1" x14ac:dyDescent="0.25">
      <c r="A123" s="6" t="s">
        <v>15</v>
      </c>
      <c r="B123" t="s">
        <v>119</v>
      </c>
      <c r="C123" s="16">
        <v>1.56461049371786E-2</v>
      </c>
      <c r="D123">
        <v>1717</v>
      </c>
      <c r="E123" s="16">
        <v>2.8994486393720001E-2</v>
      </c>
      <c r="F123">
        <v>1717</v>
      </c>
      <c r="G123" s="16">
        <v>6.7908158288507402E-3</v>
      </c>
      <c r="H123">
        <v>1717</v>
      </c>
      <c r="I123" s="16">
        <v>1.3379038328238901E-2</v>
      </c>
      <c r="J123">
        <v>1717</v>
      </c>
      <c r="K123" s="16">
        <v>5.9644597942171799E-2</v>
      </c>
      <c r="L123">
        <v>1717</v>
      </c>
      <c r="M123" s="16">
        <v>0.99440638945867299</v>
      </c>
      <c r="N123">
        <v>1717</v>
      </c>
      <c r="O123" s="16">
        <v>1.41075056083975E-2</v>
      </c>
      <c r="P123">
        <v>853</v>
      </c>
      <c r="Q123" s="16">
        <v>2.7607415838506E-2</v>
      </c>
      <c r="R123">
        <v>853</v>
      </c>
      <c r="S123" s="16">
        <v>1.1338928847856001E-2</v>
      </c>
      <c r="T123">
        <v>853</v>
      </c>
      <c r="U123" s="16">
        <v>1.0069713841733399E-2</v>
      </c>
      <c r="V123">
        <v>853</v>
      </c>
      <c r="W123" s="16">
        <v>6.3421498603549897E-2</v>
      </c>
      <c r="X123">
        <v>853</v>
      </c>
      <c r="Y123" s="16">
        <v>0.99261907624252199</v>
      </c>
      <c r="Z123">
        <v>853</v>
      </c>
      <c r="AA123" s="16">
        <v>1.7426724483924901E-2</v>
      </c>
      <c r="AB123">
        <v>862</v>
      </c>
      <c r="AC123" s="16">
        <v>3.0605153313807899E-2</v>
      </c>
      <c r="AD123">
        <v>862</v>
      </c>
      <c r="AE123" s="16">
        <v>1.5465665175791001E-3</v>
      </c>
      <c r="AF123">
        <v>862</v>
      </c>
      <c r="AG123" s="16">
        <v>1.72015480005328E-2</v>
      </c>
      <c r="AH123">
        <v>862</v>
      </c>
      <c r="AI123" s="16">
        <v>5.53092312164866E-2</v>
      </c>
      <c r="AJ123">
        <v>862</v>
      </c>
      <c r="AK123" s="16">
        <v>0.99646620659501195</v>
      </c>
      <c r="AL123" s="11">
        <v>862</v>
      </c>
    </row>
    <row r="124" spans="1:38" outlineLevel="1" x14ac:dyDescent="0.25">
      <c r="A124" s="7" t="s">
        <v>15</v>
      </c>
      <c r="B124" s="9" t="s">
        <v>120</v>
      </c>
      <c r="C124" s="15">
        <v>3.1486362821562003E-2</v>
      </c>
      <c r="D124" s="9">
        <v>323</v>
      </c>
      <c r="E124" s="15">
        <v>4.0767974408282601E-2</v>
      </c>
      <c r="F124" s="9">
        <v>323</v>
      </c>
      <c r="G124" s="15">
        <v>1.0316193223504099E-3</v>
      </c>
      <c r="H124" s="9">
        <v>323</v>
      </c>
      <c r="I124" s="15">
        <v>3.0602117688118699E-2</v>
      </c>
      <c r="J124" s="9">
        <v>323</v>
      </c>
      <c r="K124" s="15">
        <v>3.4957817857370503E-2</v>
      </c>
      <c r="L124" s="9">
        <v>323</v>
      </c>
      <c r="M124" s="15">
        <v>0.97915069419173995</v>
      </c>
      <c r="N124" s="9">
        <v>323</v>
      </c>
      <c r="O124" s="15">
        <v>4.7669174156227297E-2</v>
      </c>
      <c r="P124" s="9">
        <v>162</v>
      </c>
      <c r="Q124" s="15">
        <v>5.4829604588130798E-2</v>
      </c>
      <c r="R124" s="9">
        <v>162</v>
      </c>
      <c r="S124" s="15">
        <v>9.37923242483723E-4</v>
      </c>
      <c r="T124" s="9">
        <v>162</v>
      </c>
      <c r="U124" s="15">
        <v>4.6731250913743597E-2</v>
      </c>
      <c r="V124" s="9">
        <v>162</v>
      </c>
      <c r="W124" s="15">
        <v>3.5367032129794397E-2</v>
      </c>
      <c r="X124" s="9">
        <v>162</v>
      </c>
      <c r="Y124" s="15">
        <v>0.96682755533343201</v>
      </c>
      <c r="Z124" s="9">
        <v>162</v>
      </c>
      <c r="AA124" s="15">
        <v>4.1164057062278896E-3</v>
      </c>
      <c r="AB124" s="9">
        <v>160</v>
      </c>
      <c r="AC124" s="15">
        <v>1.70164588893039E-2</v>
      </c>
      <c r="AD124" s="9">
        <v>160</v>
      </c>
      <c r="AE124" s="15">
        <v>1.19288404388534E-3</v>
      </c>
      <c r="AF124" s="9">
        <v>160</v>
      </c>
      <c r="AG124" s="15">
        <v>3.3211496769709999E-3</v>
      </c>
      <c r="AH124" s="9">
        <v>160</v>
      </c>
      <c r="AI124" s="15">
        <v>3.4344418771193402E-2</v>
      </c>
      <c r="AJ124" s="9">
        <v>160</v>
      </c>
      <c r="AK124" s="15">
        <v>1</v>
      </c>
      <c r="AL124" s="12">
        <v>160</v>
      </c>
    </row>
    <row r="125" spans="1:38" x14ac:dyDescent="0.25">
      <c r="C125" s="16"/>
      <c r="E125" s="16"/>
      <c r="G125" s="16"/>
      <c r="I125" s="16"/>
      <c r="K125" s="16"/>
      <c r="M125" s="16"/>
      <c r="O125" s="16"/>
      <c r="Q125" s="16"/>
      <c r="S125" s="16"/>
      <c r="U125" s="16"/>
      <c r="W125" s="16"/>
      <c r="Y125" s="16"/>
      <c r="AA125" s="16"/>
      <c r="AC125" s="16"/>
      <c r="AE125" s="16"/>
      <c r="AG125" s="16"/>
      <c r="AI125" s="16"/>
      <c r="AK125" s="16"/>
    </row>
    <row r="126" spans="1:38" x14ac:dyDescent="0.25">
      <c r="A126" s="19" t="s">
        <v>121</v>
      </c>
      <c r="B126" s="19"/>
      <c r="C126" s="20"/>
      <c r="D126" s="19"/>
      <c r="E126" s="20"/>
      <c r="F126" s="19"/>
      <c r="G126" s="20"/>
      <c r="H126" s="19"/>
      <c r="I126" s="20"/>
      <c r="J126" s="19"/>
      <c r="K126" s="20"/>
      <c r="L126" s="19"/>
      <c r="M126" s="20"/>
      <c r="N126" s="19"/>
      <c r="O126" s="20"/>
      <c r="P126" s="19"/>
      <c r="Q126" s="20"/>
      <c r="R126" s="19"/>
      <c r="S126" s="20"/>
      <c r="T126" s="19"/>
      <c r="U126" s="20"/>
      <c r="V126" s="19"/>
      <c r="W126" s="20"/>
      <c r="X126" s="19"/>
      <c r="Y126" s="20"/>
      <c r="Z126" s="19"/>
      <c r="AA126" s="20"/>
      <c r="AB126" s="19"/>
      <c r="AC126" s="20"/>
      <c r="AD126" s="19"/>
      <c r="AE126" s="20"/>
      <c r="AF126" s="19"/>
      <c r="AG126" s="20"/>
      <c r="AH126" s="19"/>
      <c r="AI126" s="20"/>
      <c r="AJ126" s="19"/>
      <c r="AK126" s="20"/>
      <c r="AL126" s="19"/>
    </row>
    <row r="127" spans="1:38" outlineLevel="1" x14ac:dyDescent="0.25">
      <c r="A127" s="5" t="s">
        <v>15</v>
      </c>
      <c r="B127" s="8" t="s">
        <v>101</v>
      </c>
      <c r="C127" s="14">
        <v>1.3498886528107699E-3</v>
      </c>
      <c r="D127" s="8">
        <v>111</v>
      </c>
      <c r="E127" s="14">
        <v>6.7242173699148602E-2</v>
      </c>
      <c r="F127" s="8">
        <v>111</v>
      </c>
      <c r="G127" s="14"/>
      <c r="H127" s="8"/>
      <c r="I127" s="14">
        <v>1.3498886528107699E-3</v>
      </c>
      <c r="J127" s="8">
        <v>111</v>
      </c>
      <c r="K127" s="14">
        <v>0.138088538883267</v>
      </c>
      <c r="L127" s="8">
        <v>111</v>
      </c>
      <c r="M127" s="14">
        <v>0.94303451299491703</v>
      </c>
      <c r="N127" s="8">
        <v>111</v>
      </c>
      <c r="O127" s="14"/>
      <c r="P127" s="8"/>
      <c r="Q127" s="14">
        <v>0.111549822944487</v>
      </c>
      <c r="R127" s="8">
        <v>64</v>
      </c>
      <c r="S127" s="14"/>
      <c r="T127" s="8"/>
      <c r="U127" s="14"/>
      <c r="V127" s="8"/>
      <c r="W127" s="14">
        <v>0.22765084099962599</v>
      </c>
      <c r="X127" s="8">
        <v>64</v>
      </c>
      <c r="Y127" s="14">
        <v>0.90027431232285704</v>
      </c>
      <c r="Z127" s="8">
        <v>64</v>
      </c>
      <c r="AA127" s="14">
        <v>3.1482212916060098E-3</v>
      </c>
      <c r="AB127" s="8">
        <v>47</v>
      </c>
      <c r="AC127" s="14">
        <v>8.2151631229257296E-3</v>
      </c>
      <c r="AD127" s="8">
        <v>47</v>
      </c>
      <c r="AE127" s="14"/>
      <c r="AF127" s="8"/>
      <c r="AG127" s="14">
        <v>3.1482212916060098E-3</v>
      </c>
      <c r="AH127" s="8">
        <v>47</v>
      </c>
      <c r="AI127" s="14">
        <v>1.8772911800899499E-2</v>
      </c>
      <c r="AJ127" s="8">
        <v>47</v>
      </c>
      <c r="AK127" s="14">
        <v>1</v>
      </c>
      <c r="AL127" s="10">
        <v>47</v>
      </c>
    </row>
    <row r="128" spans="1:38" outlineLevel="1" x14ac:dyDescent="0.25">
      <c r="A128" s="6" t="s">
        <v>15</v>
      </c>
      <c r="B128" t="s">
        <v>122</v>
      </c>
      <c r="C128" s="16">
        <v>1.63921167344474E-2</v>
      </c>
      <c r="D128">
        <v>570</v>
      </c>
      <c r="E128" s="16">
        <v>2.4835323396524601E-2</v>
      </c>
      <c r="F128">
        <v>570</v>
      </c>
      <c r="G128" s="16">
        <v>5.0763438542467997E-3</v>
      </c>
      <c r="H128">
        <v>570</v>
      </c>
      <c r="I128" s="16">
        <v>1.1959317228951501E-2</v>
      </c>
      <c r="J128">
        <v>570</v>
      </c>
      <c r="K128" s="16">
        <v>5.3542858391546301E-2</v>
      </c>
      <c r="L128">
        <v>570</v>
      </c>
      <c r="M128" s="16">
        <v>0.99999812180623204</v>
      </c>
      <c r="N128">
        <v>570</v>
      </c>
      <c r="O128" s="16">
        <v>1.89188839102832E-2</v>
      </c>
      <c r="P128">
        <v>288</v>
      </c>
      <c r="Q128" s="16">
        <v>2.14268499619042E-2</v>
      </c>
      <c r="R128">
        <v>288</v>
      </c>
      <c r="S128" s="16">
        <v>8.4368993079291001E-3</v>
      </c>
      <c r="T128">
        <v>288</v>
      </c>
      <c r="U128" s="16">
        <v>1.15488304736457E-2</v>
      </c>
      <c r="V128">
        <v>288</v>
      </c>
      <c r="W128" s="16">
        <v>3.60408641872084E-2</v>
      </c>
      <c r="X128">
        <v>288</v>
      </c>
      <c r="Y128" s="16">
        <v>1</v>
      </c>
      <c r="Z128">
        <v>288</v>
      </c>
      <c r="AA128" s="16">
        <v>1.2578868568460499E-2</v>
      </c>
      <c r="AB128">
        <v>281</v>
      </c>
      <c r="AC128" s="16">
        <v>2.9979411955553301E-2</v>
      </c>
      <c r="AD128">
        <v>281</v>
      </c>
      <c r="AE128" s="16">
        <v>4.7127194303732097E-6</v>
      </c>
      <c r="AF128">
        <v>281</v>
      </c>
      <c r="AG128" s="16">
        <v>1.2578868568460499E-2</v>
      </c>
      <c r="AH128">
        <v>281</v>
      </c>
      <c r="AI128" s="16">
        <v>7.9956624400085996E-2</v>
      </c>
      <c r="AJ128">
        <v>281</v>
      </c>
      <c r="AK128" s="16">
        <v>0.99999528728056997</v>
      </c>
      <c r="AL128" s="11">
        <v>281</v>
      </c>
    </row>
    <row r="129" spans="1:38" outlineLevel="1" x14ac:dyDescent="0.25">
      <c r="A129" s="6" t="s">
        <v>15</v>
      </c>
      <c r="B129" t="s">
        <v>123</v>
      </c>
      <c r="C129" s="16">
        <v>1.6344883668828299E-2</v>
      </c>
      <c r="D129">
        <v>2337</v>
      </c>
      <c r="E129" s="16">
        <v>2.8741850126390599E-2</v>
      </c>
      <c r="F129">
        <v>2337</v>
      </c>
      <c r="G129" s="16">
        <v>6.7127034176993903E-3</v>
      </c>
      <c r="H129">
        <v>2337</v>
      </c>
      <c r="I129" s="16">
        <v>1.28720227992839E-2</v>
      </c>
      <c r="J129">
        <v>2337</v>
      </c>
      <c r="K129" s="16">
        <v>7.5395692071093201E-2</v>
      </c>
      <c r="L129">
        <v>2337</v>
      </c>
      <c r="M129" s="16">
        <v>0.99555690158524801</v>
      </c>
      <c r="N129">
        <v>2337</v>
      </c>
      <c r="O129" s="16">
        <v>1.54584835446103E-2</v>
      </c>
      <c r="P129">
        <v>1171</v>
      </c>
      <c r="Q129" s="16">
        <v>3.0516334498518202E-2</v>
      </c>
      <c r="R129">
        <v>1171</v>
      </c>
      <c r="S129" s="16">
        <v>6.8705576183010798E-3</v>
      </c>
      <c r="T129">
        <v>1171</v>
      </c>
      <c r="U129" s="16">
        <v>1.41560022079206E-2</v>
      </c>
      <c r="V129">
        <v>1171</v>
      </c>
      <c r="W129" s="16">
        <v>9.20002530998736E-2</v>
      </c>
      <c r="X129">
        <v>1171</v>
      </c>
      <c r="Y129" s="16">
        <v>0.99400302764222903</v>
      </c>
      <c r="Z129">
        <v>1171</v>
      </c>
      <c r="AA129" s="16">
        <v>1.7327272889652402E-2</v>
      </c>
      <c r="AB129">
        <v>1164</v>
      </c>
      <c r="AC129" s="16">
        <v>2.6823354662843801E-2</v>
      </c>
      <c r="AD129">
        <v>1164</v>
      </c>
      <c r="AE129" s="16">
        <v>6.5452940094235896E-3</v>
      </c>
      <c r="AF129">
        <v>1164</v>
      </c>
      <c r="AG129" s="16">
        <v>1.14776316321979E-2</v>
      </c>
      <c r="AH129">
        <v>1164</v>
      </c>
      <c r="AI129" s="16">
        <v>5.72919331098109E-2</v>
      </c>
      <c r="AJ129">
        <v>1164</v>
      </c>
      <c r="AK129" s="16">
        <v>0.99725311882715295</v>
      </c>
      <c r="AL129" s="11">
        <v>1164</v>
      </c>
    </row>
    <row r="130" spans="1:38" outlineLevel="1" x14ac:dyDescent="0.25">
      <c r="A130" s="7" t="s">
        <v>15</v>
      </c>
      <c r="B130" s="9" t="s">
        <v>124</v>
      </c>
      <c r="C130" s="15">
        <v>8.0959332855857508E-3</v>
      </c>
      <c r="D130" s="9">
        <v>3564</v>
      </c>
      <c r="E130" s="15">
        <v>1.30229792818476E-2</v>
      </c>
      <c r="F130" s="9">
        <v>3564</v>
      </c>
      <c r="G130" s="15">
        <v>1.28133192774325E-3</v>
      </c>
      <c r="H130" s="9">
        <v>3564</v>
      </c>
      <c r="I130" s="15">
        <v>7.3775277845133597E-3</v>
      </c>
      <c r="J130" s="9">
        <v>3564</v>
      </c>
      <c r="K130" s="15">
        <v>2.5105809527291901E-2</v>
      </c>
      <c r="L130" s="9">
        <v>3564</v>
      </c>
      <c r="M130" s="15">
        <v>0.99963745059327003</v>
      </c>
      <c r="N130" s="9">
        <v>3564</v>
      </c>
      <c r="O130" s="15">
        <v>4.1806272845010097E-3</v>
      </c>
      <c r="P130" s="9">
        <v>1806</v>
      </c>
      <c r="Q130" s="15">
        <v>9.0510710680355207E-3</v>
      </c>
      <c r="R130" s="9">
        <v>1806</v>
      </c>
      <c r="S130" s="15">
        <v>3.7434712480894603E-5</v>
      </c>
      <c r="T130" s="9">
        <v>1806</v>
      </c>
      <c r="U130" s="15">
        <v>4.1431925720201096E-3</v>
      </c>
      <c r="V130" s="9">
        <v>1806</v>
      </c>
      <c r="W130" s="15">
        <v>2.2024811323596599E-2</v>
      </c>
      <c r="X130" s="9">
        <v>1806</v>
      </c>
      <c r="Y130" s="15">
        <v>0.99936895628285005</v>
      </c>
      <c r="Z130" s="9">
        <v>1806</v>
      </c>
      <c r="AA130" s="15">
        <v>1.224327253171E-2</v>
      </c>
      <c r="AB130" s="9">
        <v>1755</v>
      </c>
      <c r="AC130" s="15">
        <v>1.72336877286581E-2</v>
      </c>
      <c r="AD130" s="9">
        <v>1755</v>
      </c>
      <c r="AE130" s="15">
        <v>2.59803061682098E-3</v>
      </c>
      <c r="AF130" s="9">
        <v>1755</v>
      </c>
      <c r="AG130" s="15">
        <v>1.08040290993909E-2</v>
      </c>
      <c r="AH130" s="9">
        <v>1755</v>
      </c>
      <c r="AI130" s="15">
        <v>2.8382689271355802E-2</v>
      </c>
      <c r="AJ130" s="9">
        <v>1755</v>
      </c>
      <c r="AK130" s="15">
        <v>0.99992120560840003</v>
      </c>
      <c r="AL130" s="12">
        <v>1755</v>
      </c>
    </row>
    <row r="131" spans="1:38" x14ac:dyDescent="0.25">
      <c r="C131" s="16"/>
      <c r="E131" s="16"/>
      <c r="G131" s="16"/>
      <c r="I131" s="16"/>
      <c r="K131" s="16"/>
      <c r="M131" s="16"/>
      <c r="O131" s="16"/>
      <c r="Q131" s="16"/>
      <c r="S131" s="16"/>
      <c r="U131" s="16"/>
      <c r="W131" s="16"/>
      <c r="Y131" s="16"/>
      <c r="AA131" s="16"/>
      <c r="AC131" s="16"/>
      <c r="AE131" s="16"/>
      <c r="AG131" s="16"/>
      <c r="AI131" s="16"/>
      <c r="AK131" s="16"/>
    </row>
    <row r="132" spans="1:38" x14ac:dyDescent="0.25">
      <c r="A132" s="19" t="s">
        <v>125</v>
      </c>
      <c r="B132" s="19"/>
      <c r="C132" s="20"/>
      <c r="D132" s="19"/>
      <c r="E132" s="20"/>
      <c r="F132" s="19"/>
      <c r="G132" s="20"/>
      <c r="H132" s="19"/>
      <c r="I132" s="20"/>
      <c r="J132" s="19"/>
      <c r="K132" s="20"/>
      <c r="L132" s="19"/>
      <c r="M132" s="20"/>
      <c r="N132" s="19"/>
      <c r="O132" s="20"/>
      <c r="P132" s="19"/>
      <c r="Q132" s="20"/>
      <c r="R132" s="19"/>
      <c r="S132" s="20"/>
      <c r="T132" s="19"/>
      <c r="U132" s="20"/>
      <c r="V132" s="19"/>
      <c r="W132" s="20"/>
      <c r="X132" s="19"/>
      <c r="Y132" s="20"/>
      <c r="Z132" s="19"/>
      <c r="AA132" s="20"/>
      <c r="AB132" s="19"/>
      <c r="AC132" s="20"/>
      <c r="AD132" s="19"/>
      <c r="AE132" s="20"/>
      <c r="AF132" s="19"/>
      <c r="AG132" s="20"/>
      <c r="AH132" s="19"/>
      <c r="AI132" s="20"/>
      <c r="AJ132" s="19"/>
      <c r="AK132" s="20"/>
      <c r="AL132" s="19"/>
    </row>
    <row r="133" spans="1:38" outlineLevel="1" x14ac:dyDescent="0.25">
      <c r="A133" s="5" t="s">
        <v>15</v>
      </c>
      <c r="B133" s="8" t="s">
        <v>101</v>
      </c>
      <c r="C133" s="14">
        <v>5.1851498075354396E-3</v>
      </c>
      <c r="D133" s="8">
        <v>72</v>
      </c>
      <c r="E133" s="14">
        <v>7.8694674233131201E-2</v>
      </c>
      <c r="F133" s="8">
        <v>72</v>
      </c>
      <c r="G133" s="14"/>
      <c r="H133" s="8"/>
      <c r="I133" s="14">
        <v>5.1851498075354396E-3</v>
      </c>
      <c r="J133" s="8">
        <v>72</v>
      </c>
      <c r="K133" s="14">
        <v>0.124668078892471</v>
      </c>
      <c r="L133" s="8">
        <v>72</v>
      </c>
      <c r="M133" s="14">
        <v>1</v>
      </c>
      <c r="N133" s="8">
        <v>72</v>
      </c>
      <c r="O133" s="14"/>
      <c r="P133" s="8"/>
      <c r="Q133" s="14">
        <v>0.15783489853788199</v>
      </c>
      <c r="R133" s="8">
        <v>26</v>
      </c>
      <c r="S133" s="14"/>
      <c r="T133" s="8"/>
      <c r="U133" s="14"/>
      <c r="V133" s="8"/>
      <c r="W133" s="14">
        <v>0.16157504980762999</v>
      </c>
      <c r="X133" s="8">
        <v>26</v>
      </c>
      <c r="Y133" s="14">
        <v>1</v>
      </c>
      <c r="Z133" s="8">
        <v>26</v>
      </c>
      <c r="AA133" s="14">
        <v>9.1430321032323E-3</v>
      </c>
      <c r="AB133" s="8">
        <v>46</v>
      </c>
      <c r="AC133" s="14">
        <v>1.82860642064646E-2</v>
      </c>
      <c r="AD133" s="8">
        <v>46</v>
      </c>
      <c r="AE133" s="14"/>
      <c r="AF133" s="8"/>
      <c r="AG133" s="14">
        <v>9.1430321032323E-3</v>
      </c>
      <c r="AH133" s="8">
        <v>46</v>
      </c>
      <c r="AI133" s="14">
        <v>9.6496579091131296E-2</v>
      </c>
      <c r="AJ133" s="8">
        <v>46</v>
      </c>
      <c r="AK133" s="14">
        <v>1</v>
      </c>
      <c r="AL133" s="10">
        <v>46</v>
      </c>
    </row>
    <row r="134" spans="1:38" outlineLevel="1" x14ac:dyDescent="0.25">
      <c r="A134" s="6" t="s">
        <v>15</v>
      </c>
      <c r="B134" t="s">
        <v>126</v>
      </c>
      <c r="C134" s="16">
        <v>1.0909735967803201E-2</v>
      </c>
      <c r="D134">
        <v>971</v>
      </c>
      <c r="E134" s="16">
        <v>2.0013906297022301E-2</v>
      </c>
      <c r="F134">
        <v>971</v>
      </c>
      <c r="G134" s="16">
        <v>1.5381083248172101E-3</v>
      </c>
      <c r="H134">
        <v>971</v>
      </c>
      <c r="I134" s="16">
        <v>1.0134746017994601E-2</v>
      </c>
      <c r="J134">
        <v>971</v>
      </c>
      <c r="K134" s="16">
        <v>6.1578475039108099E-2</v>
      </c>
      <c r="L134">
        <v>971</v>
      </c>
      <c r="M134" s="16">
        <v>1</v>
      </c>
      <c r="N134">
        <v>971</v>
      </c>
      <c r="O134" s="16">
        <v>1.0697028945821601E-2</v>
      </c>
      <c r="P134">
        <v>495</v>
      </c>
      <c r="Q134" s="16">
        <v>2.1104115507045201E-2</v>
      </c>
      <c r="R134">
        <v>495</v>
      </c>
      <c r="S134" s="16">
        <v>1.3228943642184801E-3</v>
      </c>
      <c r="T134">
        <v>495</v>
      </c>
      <c r="U134" s="16">
        <v>1.0035581763712401E-2</v>
      </c>
      <c r="V134">
        <v>495</v>
      </c>
      <c r="W134" s="16">
        <v>7.6380171664118507E-2</v>
      </c>
      <c r="X134">
        <v>495</v>
      </c>
      <c r="Y134" s="16">
        <v>1</v>
      </c>
      <c r="Z134">
        <v>495</v>
      </c>
      <c r="AA134" s="16">
        <v>1.12106019582097E-2</v>
      </c>
      <c r="AB134">
        <v>476</v>
      </c>
      <c r="AC134" s="16">
        <v>1.8471846845161899E-2</v>
      </c>
      <c r="AD134">
        <v>476</v>
      </c>
      <c r="AE134" s="16">
        <v>1.8425202845241101E-3</v>
      </c>
      <c r="AF134">
        <v>476</v>
      </c>
      <c r="AG134" s="16">
        <v>1.0275010083090201E-2</v>
      </c>
      <c r="AH134">
        <v>476</v>
      </c>
      <c r="AI134" s="16">
        <v>4.0642038276033E-2</v>
      </c>
      <c r="AJ134">
        <v>476</v>
      </c>
      <c r="AK134" s="16">
        <v>1</v>
      </c>
      <c r="AL134" s="11">
        <v>476</v>
      </c>
    </row>
    <row r="135" spans="1:38" outlineLevel="1" x14ac:dyDescent="0.25">
      <c r="A135" s="6" t="s">
        <v>15</v>
      </c>
      <c r="B135" t="s">
        <v>127</v>
      </c>
      <c r="C135" s="16">
        <v>2.7437431594465E-2</v>
      </c>
      <c r="D135">
        <v>1011</v>
      </c>
      <c r="E135" s="16">
        <v>3.7676502438838903E-2</v>
      </c>
      <c r="F135">
        <v>1011</v>
      </c>
      <c r="G135" s="16">
        <v>1.59186894837752E-2</v>
      </c>
      <c r="H135">
        <v>1011</v>
      </c>
      <c r="I135" s="16">
        <v>1.8575790579841801E-2</v>
      </c>
      <c r="J135">
        <v>1011</v>
      </c>
      <c r="K135" s="16">
        <v>8.1343472907627307E-2</v>
      </c>
      <c r="L135">
        <v>1011</v>
      </c>
      <c r="M135" s="16">
        <v>0.99238621390184001</v>
      </c>
      <c r="N135">
        <v>1011</v>
      </c>
      <c r="O135" s="16">
        <v>3.4444339946972199E-2</v>
      </c>
      <c r="P135">
        <v>514</v>
      </c>
      <c r="Q135" s="16">
        <v>3.9517044996643498E-2</v>
      </c>
      <c r="R135">
        <v>514</v>
      </c>
      <c r="S135" s="16">
        <v>1.9062369984683698E-2</v>
      </c>
      <c r="T135">
        <v>514</v>
      </c>
      <c r="U135" s="16">
        <v>2.85597485231661E-2</v>
      </c>
      <c r="V135">
        <v>514</v>
      </c>
      <c r="W135" s="16">
        <v>8.6599355234408398E-2</v>
      </c>
      <c r="X135">
        <v>514</v>
      </c>
      <c r="Y135" s="16">
        <v>0.985807167544132</v>
      </c>
      <c r="Z135">
        <v>514</v>
      </c>
      <c r="AA135" s="16">
        <v>1.9453924046824399E-2</v>
      </c>
      <c r="AB135">
        <v>495</v>
      </c>
      <c r="AC135" s="16">
        <v>3.5592472418671299E-2</v>
      </c>
      <c r="AD135">
        <v>495</v>
      </c>
      <c r="AE135" s="16">
        <v>1.2338398004238599E-2</v>
      </c>
      <c r="AF135">
        <v>495</v>
      </c>
      <c r="AG135" s="16">
        <v>7.1915200021796704E-3</v>
      </c>
      <c r="AH135">
        <v>495</v>
      </c>
      <c r="AI135" s="16">
        <v>7.53810503845114E-2</v>
      </c>
      <c r="AJ135">
        <v>495</v>
      </c>
      <c r="AK135" s="16">
        <v>0.99988999308998305</v>
      </c>
      <c r="AL135" s="11">
        <v>495</v>
      </c>
    </row>
    <row r="136" spans="1:38" outlineLevel="1" x14ac:dyDescent="0.25">
      <c r="A136" s="6" t="s">
        <v>15</v>
      </c>
      <c r="B136" t="s">
        <v>128</v>
      </c>
      <c r="C136" s="16">
        <v>9.2563176294055693E-3</v>
      </c>
      <c r="D136">
        <v>2271</v>
      </c>
      <c r="E136" s="16">
        <v>1.27778230444291E-2</v>
      </c>
      <c r="F136">
        <v>2271</v>
      </c>
      <c r="G136" s="16">
        <v>1.52182780763972E-3</v>
      </c>
      <c r="H136">
        <v>2271</v>
      </c>
      <c r="I136" s="16">
        <v>8.3746748211298207E-3</v>
      </c>
      <c r="J136">
        <v>2271</v>
      </c>
      <c r="K136" s="16">
        <v>2.41101617845411E-2</v>
      </c>
      <c r="L136">
        <v>2271</v>
      </c>
      <c r="M136" s="16">
        <v>0.99935937549425702</v>
      </c>
      <c r="N136">
        <v>2271</v>
      </c>
      <c r="O136" s="16">
        <v>5.0106651861160402E-3</v>
      </c>
      <c r="P136">
        <v>1164</v>
      </c>
      <c r="Q136" s="16">
        <v>8.3518947848408905E-3</v>
      </c>
      <c r="R136">
        <v>1164</v>
      </c>
      <c r="S136" s="16">
        <v>4.5495325338702698E-5</v>
      </c>
      <c r="T136">
        <v>1164</v>
      </c>
      <c r="U136" s="16">
        <v>4.9651698607773298E-3</v>
      </c>
      <c r="V136">
        <v>1164</v>
      </c>
      <c r="W136" s="16">
        <v>2.05826711522159E-2</v>
      </c>
      <c r="X136">
        <v>1164</v>
      </c>
      <c r="Y136" s="16">
        <v>0.99876540962536497</v>
      </c>
      <c r="Z136">
        <v>1164</v>
      </c>
      <c r="AA136" s="16">
        <v>1.38453107390007E-2</v>
      </c>
      <c r="AB136">
        <v>1106</v>
      </c>
      <c r="AC136" s="16">
        <v>1.7563892490934301E-2</v>
      </c>
      <c r="AD136">
        <v>1106</v>
      </c>
      <c r="AE136" s="16">
        <v>3.1163443687625102E-3</v>
      </c>
      <c r="AF136">
        <v>1106</v>
      </c>
      <c r="AG136" s="16">
        <v>1.20605707558468E-2</v>
      </c>
      <c r="AH136">
        <v>1106</v>
      </c>
      <c r="AI136" s="16">
        <v>2.7934577396669699E-2</v>
      </c>
      <c r="AJ136">
        <v>1106</v>
      </c>
      <c r="AK136" s="16">
        <v>1</v>
      </c>
      <c r="AL136" s="11">
        <v>1106</v>
      </c>
    </row>
    <row r="137" spans="1:38" outlineLevel="1" x14ac:dyDescent="0.25">
      <c r="A137" s="7" t="s">
        <v>15</v>
      </c>
      <c r="B137" s="9" t="s">
        <v>129</v>
      </c>
      <c r="C137" s="15">
        <v>5.74461297642567E-3</v>
      </c>
      <c r="D137" s="9">
        <v>2257</v>
      </c>
      <c r="E137" s="15">
        <v>1.8515735627440601E-2</v>
      </c>
      <c r="F137" s="9">
        <v>2257</v>
      </c>
      <c r="G137" s="15">
        <v>8.2482504492978402E-4</v>
      </c>
      <c r="H137" s="9">
        <v>2257</v>
      </c>
      <c r="I137" s="15">
        <v>5.1948456330211104E-3</v>
      </c>
      <c r="J137" s="9">
        <v>2257</v>
      </c>
      <c r="K137" s="15">
        <v>4.48698439706329E-2</v>
      </c>
      <c r="L137" s="9">
        <v>2257</v>
      </c>
      <c r="M137" s="15">
        <v>0.99769484535931396</v>
      </c>
      <c r="N137" s="9">
        <v>2257</v>
      </c>
      <c r="O137" s="15">
        <v>1.4895724947115701E-3</v>
      </c>
      <c r="P137" s="9">
        <v>1130</v>
      </c>
      <c r="Q137" s="15">
        <v>1.7258899674398202E-2</v>
      </c>
      <c r="R137" s="9">
        <v>1130</v>
      </c>
      <c r="S137" s="15">
        <v>6.6807883168416599E-4</v>
      </c>
      <c r="T137" s="9">
        <v>1130</v>
      </c>
      <c r="U137" s="15">
        <v>8.21493663027408E-4</v>
      </c>
      <c r="V137" s="9">
        <v>1130</v>
      </c>
      <c r="W137" s="15">
        <v>4.8813637238608099E-2</v>
      </c>
      <c r="X137" s="9">
        <v>1130</v>
      </c>
      <c r="Y137" s="15">
        <v>0.99787297620837301</v>
      </c>
      <c r="Z137" s="9">
        <v>1130</v>
      </c>
      <c r="AA137" s="15">
        <v>9.9543881867261898E-3</v>
      </c>
      <c r="AB137" s="9">
        <v>1124</v>
      </c>
      <c r="AC137" s="15">
        <v>1.9775303183956101E-2</v>
      </c>
      <c r="AD137" s="9">
        <v>1124</v>
      </c>
      <c r="AE137" s="15">
        <v>9.8049084965016607E-4</v>
      </c>
      <c r="AF137" s="9">
        <v>1124</v>
      </c>
      <c r="AG137" s="15">
        <v>9.5209944815979192E-3</v>
      </c>
      <c r="AH137" s="9">
        <v>1124</v>
      </c>
      <c r="AI137" s="15">
        <v>4.1016059215557302E-2</v>
      </c>
      <c r="AJ137" s="9">
        <v>1124</v>
      </c>
      <c r="AK137" s="15">
        <v>0.99751663283109204</v>
      </c>
      <c r="AL137" s="12">
        <v>1124</v>
      </c>
    </row>
    <row r="138" spans="1:38" x14ac:dyDescent="0.25">
      <c r="C138" s="16"/>
      <c r="E138" s="16"/>
      <c r="G138" s="16"/>
      <c r="I138" s="16"/>
      <c r="K138" s="16"/>
      <c r="M138" s="16"/>
      <c r="O138" s="16"/>
      <c r="Q138" s="16"/>
      <c r="S138" s="16"/>
      <c r="U138" s="16"/>
      <c r="W138" s="16"/>
      <c r="Y138" s="16"/>
      <c r="AA138" s="16"/>
      <c r="AC138" s="16"/>
      <c r="AE138" s="16"/>
      <c r="AG138" s="16"/>
      <c r="AI138" s="16"/>
      <c r="AK138" s="16"/>
    </row>
    <row r="139" spans="1:38" x14ac:dyDescent="0.25">
      <c r="A139" s="19" t="s">
        <v>134</v>
      </c>
      <c r="B139" s="19"/>
      <c r="C139" s="20"/>
      <c r="D139" s="19"/>
      <c r="E139" s="20"/>
      <c r="F139" s="19"/>
      <c r="G139" s="20"/>
      <c r="H139" s="19"/>
      <c r="I139" s="20"/>
      <c r="J139" s="19"/>
      <c r="K139" s="20"/>
      <c r="L139" s="19"/>
      <c r="M139" s="20"/>
      <c r="N139" s="19"/>
      <c r="O139" s="20"/>
      <c r="P139" s="19"/>
      <c r="Q139" s="20"/>
      <c r="R139" s="19"/>
      <c r="S139" s="20"/>
      <c r="T139" s="19"/>
      <c r="U139" s="20"/>
      <c r="V139" s="19"/>
      <c r="W139" s="20"/>
      <c r="X139" s="19"/>
      <c r="Y139" s="20"/>
      <c r="Z139" s="19"/>
      <c r="AA139" s="20"/>
      <c r="AB139" s="19"/>
      <c r="AC139" s="20"/>
      <c r="AD139" s="19"/>
      <c r="AE139" s="20"/>
      <c r="AF139" s="19"/>
      <c r="AG139" s="20"/>
      <c r="AH139" s="19"/>
      <c r="AI139" s="20"/>
      <c r="AJ139" s="19"/>
      <c r="AK139" s="20"/>
      <c r="AL139" s="19"/>
    </row>
    <row r="140" spans="1:38" outlineLevel="1" x14ac:dyDescent="0.25">
      <c r="A140" s="5" t="s">
        <v>15</v>
      </c>
      <c r="B140" s="8" t="s">
        <v>135</v>
      </c>
      <c r="C140" s="14">
        <v>9.0341520723084406E-3</v>
      </c>
      <c r="D140" s="8">
        <v>1735</v>
      </c>
      <c r="E140" s="14">
        <v>2.1403415610986801E-2</v>
      </c>
      <c r="F140" s="8">
        <v>1735</v>
      </c>
      <c r="G140" s="14">
        <v>1.13746549263771E-3</v>
      </c>
      <c r="H140" s="8">
        <v>1735</v>
      </c>
      <c r="I140" s="14">
        <v>7.8966865796707194E-3</v>
      </c>
      <c r="J140" s="8">
        <v>1735</v>
      </c>
      <c r="K140" s="14">
        <v>6.0768849493333298E-2</v>
      </c>
      <c r="L140" s="8">
        <v>1735</v>
      </c>
      <c r="M140" s="14">
        <v>0.99941156377130402</v>
      </c>
      <c r="N140" s="8">
        <v>1735</v>
      </c>
      <c r="O140" s="14">
        <v>7.0849584845585597E-3</v>
      </c>
      <c r="P140" s="8">
        <v>829</v>
      </c>
      <c r="Q140" s="14">
        <v>1.9884920852145001E-2</v>
      </c>
      <c r="R140" s="8">
        <v>829</v>
      </c>
      <c r="S140" s="14">
        <v>1.7797159565228701E-3</v>
      </c>
      <c r="T140" s="8">
        <v>829</v>
      </c>
      <c r="U140" s="14">
        <v>5.3052425280356898E-3</v>
      </c>
      <c r="V140" s="8">
        <v>829</v>
      </c>
      <c r="W140" s="14">
        <v>6.7420059703057894E-2</v>
      </c>
      <c r="X140" s="8">
        <v>829</v>
      </c>
      <c r="Y140" s="14">
        <v>0.99941188231718503</v>
      </c>
      <c r="Z140" s="8">
        <v>829</v>
      </c>
      <c r="AA140" s="14">
        <v>1.0719894734581801E-2</v>
      </c>
      <c r="AB140" s="8">
        <v>904</v>
      </c>
      <c r="AC140" s="14">
        <v>2.2743922204083999E-2</v>
      </c>
      <c r="AD140" s="8">
        <v>904</v>
      </c>
      <c r="AE140" s="14">
        <v>5.8982512842961502E-4</v>
      </c>
      <c r="AF140" s="8">
        <v>904</v>
      </c>
      <c r="AG140" s="14">
        <v>1.01300696061522E-2</v>
      </c>
      <c r="AH140" s="8">
        <v>904</v>
      </c>
      <c r="AI140" s="14">
        <v>5.5190358808831497E-2</v>
      </c>
      <c r="AJ140" s="8">
        <v>904</v>
      </c>
      <c r="AK140" s="14">
        <v>0.99941017487157002</v>
      </c>
      <c r="AL140" s="10">
        <v>904</v>
      </c>
    </row>
    <row r="141" spans="1:38" outlineLevel="1" x14ac:dyDescent="0.25">
      <c r="A141" s="6" t="s">
        <v>15</v>
      </c>
      <c r="B141" t="s">
        <v>136</v>
      </c>
      <c r="C141" s="16">
        <v>6.5381390593140506E-2</v>
      </c>
      <c r="D141">
        <v>181</v>
      </c>
      <c r="E141" s="16">
        <v>8.3105945599511996E-2</v>
      </c>
      <c r="F141">
        <v>181</v>
      </c>
      <c r="G141" s="16">
        <v>3.5449110012743E-2</v>
      </c>
      <c r="H141">
        <v>181</v>
      </c>
      <c r="I141" s="16">
        <v>3.87945580835833E-2</v>
      </c>
      <c r="J141">
        <v>181</v>
      </c>
      <c r="K141" s="16">
        <v>7.0150125552371601E-2</v>
      </c>
      <c r="L141">
        <v>181</v>
      </c>
      <c r="M141" s="16">
        <v>1</v>
      </c>
      <c r="N141">
        <v>181</v>
      </c>
      <c r="O141" s="16">
        <v>5.2019610521431003E-2</v>
      </c>
      <c r="P141">
        <v>91</v>
      </c>
      <c r="Q141" s="16">
        <v>6.9532603601648493E-2</v>
      </c>
      <c r="R141">
        <v>91</v>
      </c>
      <c r="S141" s="16">
        <v>3.5025986160435001E-2</v>
      </c>
      <c r="T141">
        <v>91</v>
      </c>
      <c r="U141" s="16">
        <v>3.4506617441213597E-2</v>
      </c>
      <c r="V141">
        <v>91</v>
      </c>
      <c r="W141" s="16">
        <v>5.5691635120252603E-2</v>
      </c>
      <c r="X141">
        <v>91</v>
      </c>
      <c r="Y141" s="16">
        <v>1</v>
      </c>
      <c r="Z141">
        <v>91</v>
      </c>
      <c r="AA141" s="16">
        <v>7.9764263221244802E-2</v>
      </c>
      <c r="AB141">
        <v>89</v>
      </c>
      <c r="AC141" s="16">
        <v>9.7863097410372496E-2</v>
      </c>
      <c r="AD141">
        <v>89</v>
      </c>
      <c r="AE141" s="16">
        <v>3.6197668378255402E-2</v>
      </c>
      <c r="AF141">
        <v>89</v>
      </c>
      <c r="AG141" s="16">
        <v>4.3566594842989401E-2</v>
      </c>
      <c r="AH141">
        <v>89</v>
      </c>
      <c r="AI141" s="16">
        <v>8.5708269954662394E-2</v>
      </c>
      <c r="AJ141">
        <v>89</v>
      </c>
      <c r="AK141" s="16">
        <v>1</v>
      </c>
      <c r="AL141" s="11">
        <v>89</v>
      </c>
    </row>
    <row r="142" spans="1:38" outlineLevel="1" x14ac:dyDescent="0.25">
      <c r="A142" s="6" t="s">
        <v>15</v>
      </c>
      <c r="B142" t="s">
        <v>137</v>
      </c>
      <c r="C142" s="16">
        <v>4.91803278688525E-2</v>
      </c>
      <c r="D142">
        <v>122</v>
      </c>
      <c r="E142" s="16">
        <v>5.7377049180327898E-2</v>
      </c>
      <c r="F142">
        <v>122</v>
      </c>
      <c r="G142" s="16"/>
      <c r="I142" s="16">
        <v>4.91803278688525E-2</v>
      </c>
      <c r="J142">
        <v>122</v>
      </c>
      <c r="K142" s="16">
        <v>0.13934426229508201</v>
      </c>
      <c r="L142">
        <v>122</v>
      </c>
      <c r="M142" s="16">
        <v>1</v>
      </c>
      <c r="N142">
        <v>122</v>
      </c>
      <c r="O142" s="16">
        <v>3.2786885245901599E-2</v>
      </c>
      <c r="P142">
        <v>61</v>
      </c>
      <c r="Q142" s="16">
        <v>3.2786885245901599E-2</v>
      </c>
      <c r="R142">
        <v>61</v>
      </c>
      <c r="S142" s="16"/>
      <c r="U142" s="16">
        <v>3.2786885245901599E-2</v>
      </c>
      <c r="V142">
        <v>61</v>
      </c>
      <c r="W142" s="16">
        <v>0.16393442622950799</v>
      </c>
      <c r="X142">
        <v>61</v>
      </c>
      <c r="Y142" s="16">
        <v>1</v>
      </c>
      <c r="Z142">
        <v>61</v>
      </c>
      <c r="AA142" s="16">
        <v>6.6666666666666693E-2</v>
      </c>
      <c r="AB142">
        <v>60</v>
      </c>
      <c r="AC142" s="16">
        <v>8.3333333333333301E-2</v>
      </c>
      <c r="AD142">
        <v>60</v>
      </c>
      <c r="AE142" s="16"/>
      <c r="AG142" s="16">
        <v>6.6666666666666693E-2</v>
      </c>
      <c r="AH142">
        <v>60</v>
      </c>
      <c r="AI142" s="16">
        <v>0.116666666666667</v>
      </c>
      <c r="AJ142">
        <v>60</v>
      </c>
      <c r="AK142" s="16">
        <v>1</v>
      </c>
      <c r="AL142" s="11">
        <v>60</v>
      </c>
    </row>
    <row r="143" spans="1:38" outlineLevel="1" x14ac:dyDescent="0.25">
      <c r="A143" s="6" t="s">
        <v>15</v>
      </c>
      <c r="B143" t="s">
        <v>138</v>
      </c>
      <c r="C143" s="16">
        <v>4.1237113402061903E-2</v>
      </c>
      <c r="D143">
        <v>97</v>
      </c>
      <c r="E143" s="16">
        <v>4.1237113402061903E-2</v>
      </c>
      <c r="F143">
        <v>97</v>
      </c>
      <c r="G143" s="16"/>
      <c r="I143" s="16">
        <v>4.1237113402061903E-2</v>
      </c>
      <c r="J143">
        <v>97</v>
      </c>
      <c r="K143" s="16">
        <v>5.1546391752577303E-2</v>
      </c>
      <c r="L143">
        <v>97</v>
      </c>
      <c r="M143" s="16">
        <v>1</v>
      </c>
      <c r="N143">
        <v>97</v>
      </c>
      <c r="O143" s="16">
        <v>5.5555555555555601E-2</v>
      </c>
      <c r="P143">
        <v>54</v>
      </c>
      <c r="Q143" s="16">
        <v>5.5555555555555601E-2</v>
      </c>
      <c r="R143">
        <v>54</v>
      </c>
      <c r="S143" s="16"/>
      <c r="U143" s="16">
        <v>5.5555555555555601E-2</v>
      </c>
      <c r="V143">
        <v>54</v>
      </c>
      <c r="W143" s="16">
        <v>5.5555555555555601E-2</v>
      </c>
      <c r="X143">
        <v>54</v>
      </c>
      <c r="Y143" s="16">
        <v>1</v>
      </c>
      <c r="Z143">
        <v>54</v>
      </c>
      <c r="AA143" s="16">
        <v>2.32558139534884E-2</v>
      </c>
      <c r="AB143">
        <v>43</v>
      </c>
      <c r="AC143" s="16">
        <v>2.32558139534884E-2</v>
      </c>
      <c r="AD143">
        <v>43</v>
      </c>
      <c r="AE143" s="16"/>
      <c r="AG143" s="16">
        <v>2.32558139534884E-2</v>
      </c>
      <c r="AH143">
        <v>43</v>
      </c>
      <c r="AI143" s="16">
        <v>4.6511627906976799E-2</v>
      </c>
      <c r="AJ143">
        <v>43</v>
      </c>
      <c r="AK143" s="16">
        <v>1</v>
      </c>
      <c r="AL143" s="11">
        <v>43</v>
      </c>
    </row>
    <row r="144" spans="1:38" outlineLevel="1" x14ac:dyDescent="0.25">
      <c r="A144" s="6" t="s">
        <v>15</v>
      </c>
      <c r="B144" t="s">
        <v>139</v>
      </c>
      <c r="C144" s="16">
        <v>7.5045355028701697E-3</v>
      </c>
      <c r="D144">
        <v>868</v>
      </c>
      <c r="E144" s="16">
        <v>1.3779552623253999E-2</v>
      </c>
      <c r="F144">
        <v>868</v>
      </c>
      <c r="G144" s="16">
        <v>3.13330600608958E-3</v>
      </c>
      <c r="H144">
        <v>868</v>
      </c>
      <c r="I144" s="16">
        <v>7.2222971221546396E-3</v>
      </c>
      <c r="J144">
        <v>868</v>
      </c>
      <c r="K144" s="16">
        <v>3.5739400160925597E-2</v>
      </c>
      <c r="L144">
        <v>868</v>
      </c>
      <c r="M144" s="16">
        <v>0.99456359830532204</v>
      </c>
      <c r="N144">
        <v>868</v>
      </c>
      <c r="O144" s="16">
        <v>8.5308180753486292E-3</v>
      </c>
      <c r="P144">
        <v>457</v>
      </c>
      <c r="Q144" s="16">
        <v>1.53142839191892E-2</v>
      </c>
      <c r="R144">
        <v>457</v>
      </c>
      <c r="S144" s="16">
        <v>5.3138279451619098E-3</v>
      </c>
      <c r="T144">
        <v>457</v>
      </c>
      <c r="U144" s="16">
        <v>8.0047813790262608E-3</v>
      </c>
      <c r="V144">
        <v>457</v>
      </c>
      <c r="W144" s="16">
        <v>3.4893414629025198E-2</v>
      </c>
      <c r="X144">
        <v>457</v>
      </c>
      <c r="Y144" s="16">
        <v>0.98986761906690501</v>
      </c>
      <c r="Z144">
        <v>457</v>
      </c>
      <c r="AA144" s="16">
        <v>6.3164373378278797E-3</v>
      </c>
      <c r="AB144">
        <v>411</v>
      </c>
      <c r="AC144" s="16">
        <v>1.2002837822251301E-2</v>
      </c>
      <c r="AD144">
        <v>411</v>
      </c>
      <c r="AE144" s="16">
        <v>6.0897773225963403E-4</v>
      </c>
      <c r="AF144">
        <v>411</v>
      </c>
      <c r="AG144" s="16">
        <v>6.3164373378278797E-3</v>
      </c>
      <c r="AH144">
        <v>411</v>
      </c>
      <c r="AI144" s="16">
        <v>3.6718773566512902E-2</v>
      </c>
      <c r="AJ144">
        <v>411</v>
      </c>
      <c r="AK144" s="16">
        <v>1</v>
      </c>
      <c r="AL144" s="11">
        <v>411</v>
      </c>
    </row>
    <row r="145" spans="1:38" outlineLevel="1" x14ac:dyDescent="0.25">
      <c r="A145" s="6" t="s">
        <v>15</v>
      </c>
      <c r="B145" t="s">
        <v>140</v>
      </c>
      <c r="C145" s="16">
        <v>9.9045454988103306E-3</v>
      </c>
      <c r="D145">
        <v>2147</v>
      </c>
      <c r="E145" s="16">
        <v>1.6649941851142099E-2</v>
      </c>
      <c r="F145">
        <v>2147</v>
      </c>
      <c r="G145" s="16">
        <v>2.24714994902501E-3</v>
      </c>
      <c r="H145">
        <v>2147</v>
      </c>
      <c r="I145" s="16">
        <v>8.2491534260931507E-3</v>
      </c>
      <c r="J145">
        <v>2147</v>
      </c>
      <c r="K145" s="16">
        <v>3.4307850555856501E-2</v>
      </c>
      <c r="L145">
        <v>2147</v>
      </c>
      <c r="M145" s="16">
        <v>0.99958344159242796</v>
      </c>
      <c r="N145">
        <v>2147</v>
      </c>
      <c r="O145" s="16">
        <v>5.8590518617515396E-3</v>
      </c>
      <c r="P145">
        <v>1105</v>
      </c>
      <c r="Q145" s="16">
        <v>1.32750941196503E-2</v>
      </c>
      <c r="R145">
        <v>1105</v>
      </c>
      <c r="S145" s="16">
        <v>5.9527211755807904E-4</v>
      </c>
      <c r="T145">
        <v>1105</v>
      </c>
      <c r="U145" s="16">
        <v>5.2637797441934704E-3</v>
      </c>
      <c r="V145">
        <v>1105</v>
      </c>
      <c r="W145" s="16">
        <v>3.54100285968851E-2</v>
      </c>
      <c r="X145">
        <v>1105</v>
      </c>
      <c r="Y145" s="16">
        <v>0.99988952791714203</v>
      </c>
      <c r="Z145">
        <v>1105</v>
      </c>
      <c r="AA145" s="16">
        <v>1.4285716471473701E-2</v>
      </c>
      <c r="AB145">
        <v>1041</v>
      </c>
      <c r="AC145" s="16">
        <v>2.0309927110180499E-2</v>
      </c>
      <c r="AD145">
        <v>1041</v>
      </c>
      <c r="AE145" s="16">
        <v>4.0349990073018996E-3</v>
      </c>
      <c r="AF145">
        <v>1041</v>
      </c>
      <c r="AG145" s="16">
        <v>1.1482812800983301E-2</v>
      </c>
      <c r="AH145">
        <v>1041</v>
      </c>
      <c r="AI145" s="16">
        <v>3.31367535296858E-2</v>
      </c>
      <c r="AJ145">
        <v>1041</v>
      </c>
      <c r="AK145" s="16">
        <v>0.99925216024187902</v>
      </c>
      <c r="AL145" s="11">
        <v>1041</v>
      </c>
    </row>
    <row r="146" spans="1:38" outlineLevel="1" x14ac:dyDescent="0.25">
      <c r="A146" s="6" t="s">
        <v>15</v>
      </c>
      <c r="B146" t="s">
        <v>141</v>
      </c>
      <c r="C146" s="16">
        <v>1.80839998374401E-2</v>
      </c>
      <c r="D146">
        <v>1246</v>
      </c>
      <c r="E146" s="16">
        <v>2.20182847704922E-2</v>
      </c>
      <c r="F146">
        <v>1246</v>
      </c>
      <c r="G146" s="16">
        <v>6.0444731006710998E-3</v>
      </c>
      <c r="H146">
        <v>1246</v>
      </c>
      <c r="I146" s="16">
        <v>1.3275698479566399E-2</v>
      </c>
      <c r="J146">
        <v>1246</v>
      </c>
      <c r="K146" s="16">
        <v>2.51835072943392E-2</v>
      </c>
      <c r="L146">
        <v>1246</v>
      </c>
      <c r="M146" s="16">
        <v>0.99820104542141197</v>
      </c>
      <c r="N146">
        <v>1246</v>
      </c>
      <c r="O146" s="16">
        <v>1.04804430592342E-2</v>
      </c>
      <c r="P146">
        <v>638</v>
      </c>
      <c r="Q146" s="16">
        <v>1.5649131464131199E-2</v>
      </c>
      <c r="R146">
        <v>638</v>
      </c>
      <c r="S146" s="16">
        <v>5.8385458953233898E-3</v>
      </c>
      <c r="T146">
        <v>638</v>
      </c>
      <c r="U146" s="16">
        <v>5.8096063429754598E-3</v>
      </c>
      <c r="V146">
        <v>638</v>
      </c>
      <c r="W146" s="16">
        <v>1.86737777016951E-2</v>
      </c>
      <c r="X146">
        <v>638</v>
      </c>
      <c r="Y146" s="16">
        <v>0.99829138495502501</v>
      </c>
      <c r="Z146">
        <v>638</v>
      </c>
      <c r="AA146" s="16">
        <v>2.6328533578172799E-2</v>
      </c>
      <c r="AB146">
        <v>608</v>
      </c>
      <c r="AC146" s="16">
        <v>2.8924355293264498E-2</v>
      </c>
      <c r="AD146">
        <v>608</v>
      </c>
      <c r="AE146" s="16">
        <v>6.2677598915964099E-3</v>
      </c>
      <c r="AF146">
        <v>608</v>
      </c>
      <c r="AG146" s="16">
        <v>2.13711793613529E-2</v>
      </c>
      <c r="AH146">
        <v>608</v>
      </c>
      <c r="AI146" s="16">
        <v>3.2242004631195302E-2</v>
      </c>
      <c r="AJ146">
        <v>608</v>
      </c>
      <c r="AK146" s="16">
        <v>0.99810309029926003</v>
      </c>
      <c r="AL146" s="11">
        <v>608</v>
      </c>
    </row>
    <row r="147" spans="1:38" outlineLevel="1" x14ac:dyDescent="0.25">
      <c r="A147" s="7" t="s">
        <v>15</v>
      </c>
      <c r="B147" s="9" t="s">
        <v>142</v>
      </c>
      <c r="C147" s="15">
        <v>3.5633207127988398E-2</v>
      </c>
      <c r="D147" s="9">
        <v>186</v>
      </c>
      <c r="E147" s="15">
        <v>4.93389525604708E-2</v>
      </c>
      <c r="F147" s="9">
        <v>186</v>
      </c>
      <c r="G147" s="15"/>
      <c r="H147" s="9"/>
      <c r="I147" s="15">
        <v>3.5633207127988398E-2</v>
      </c>
      <c r="J147" s="9">
        <v>186</v>
      </c>
      <c r="K147" s="15">
        <v>4.2419956040324301E-2</v>
      </c>
      <c r="L147" s="9">
        <v>186</v>
      </c>
      <c r="M147" s="15">
        <v>1</v>
      </c>
      <c r="N147" s="9">
        <v>186</v>
      </c>
      <c r="O147" s="15">
        <v>1.7429871363039001E-2</v>
      </c>
      <c r="P147" s="9">
        <v>94</v>
      </c>
      <c r="Q147" s="15">
        <v>4.47150554118542E-2</v>
      </c>
      <c r="R147" s="9">
        <v>94</v>
      </c>
      <c r="S147" s="15"/>
      <c r="T147" s="9"/>
      <c r="U147" s="15">
        <v>1.7429871363039001E-2</v>
      </c>
      <c r="V147" s="9">
        <v>94</v>
      </c>
      <c r="W147" s="15">
        <v>6.4582020842936502E-2</v>
      </c>
      <c r="X147" s="9">
        <v>94</v>
      </c>
      <c r="Y147" s="15">
        <v>1</v>
      </c>
      <c r="Z147" s="9">
        <v>94</v>
      </c>
      <c r="AA147" s="15">
        <v>5.4039088922448401E-2</v>
      </c>
      <c r="AB147" s="9">
        <v>91</v>
      </c>
      <c r="AC147" s="15">
        <v>5.4039088922448401E-2</v>
      </c>
      <c r="AD147" s="9">
        <v>91</v>
      </c>
      <c r="AE147" s="15"/>
      <c r="AF147" s="9"/>
      <c r="AG147" s="15">
        <v>5.4039088922448401E-2</v>
      </c>
      <c r="AH147" s="9">
        <v>91</v>
      </c>
      <c r="AI147" s="15">
        <v>2.0064092822752701E-2</v>
      </c>
      <c r="AJ147" s="9">
        <v>91</v>
      </c>
      <c r="AK147" s="15">
        <v>1</v>
      </c>
      <c r="AL147" s="12">
        <v>91</v>
      </c>
    </row>
    <row r="148" spans="1:38" x14ac:dyDescent="0.25">
      <c r="C148" s="16"/>
      <c r="E148" s="16"/>
      <c r="G148" s="16"/>
      <c r="I148" s="16"/>
      <c r="K148" s="16"/>
      <c r="M148" s="16"/>
      <c r="O148" s="16"/>
      <c r="Q148" s="16"/>
      <c r="S148" s="16"/>
      <c r="U148" s="16"/>
      <c r="W148" s="16"/>
      <c r="Y148" s="16"/>
      <c r="AA148" s="16"/>
      <c r="AC148" s="16"/>
      <c r="AE148" s="16"/>
      <c r="AG148" s="16"/>
      <c r="AI148" s="16"/>
      <c r="AK148" s="16"/>
    </row>
    <row r="149" spans="1:38" x14ac:dyDescent="0.25">
      <c r="A149" s="19" t="s">
        <v>143</v>
      </c>
      <c r="B149" s="19"/>
      <c r="C149" s="20"/>
      <c r="D149" s="19"/>
      <c r="E149" s="20"/>
      <c r="F149" s="19"/>
      <c r="G149" s="20"/>
      <c r="H149" s="19"/>
      <c r="I149" s="20"/>
      <c r="J149" s="19"/>
      <c r="K149" s="20"/>
      <c r="L149" s="19"/>
      <c r="M149" s="20"/>
      <c r="N149" s="19"/>
      <c r="O149" s="20"/>
      <c r="P149" s="19"/>
      <c r="Q149" s="20"/>
      <c r="R149" s="19"/>
      <c r="S149" s="20"/>
      <c r="T149" s="19"/>
      <c r="U149" s="20"/>
      <c r="V149" s="19"/>
      <c r="W149" s="20"/>
      <c r="X149" s="19"/>
      <c r="Y149" s="20"/>
      <c r="Z149" s="19"/>
      <c r="AA149" s="20"/>
      <c r="AB149" s="19"/>
      <c r="AC149" s="20"/>
      <c r="AD149" s="19"/>
      <c r="AE149" s="20"/>
      <c r="AF149" s="19"/>
      <c r="AG149" s="20"/>
      <c r="AH149" s="19"/>
      <c r="AI149" s="20"/>
      <c r="AJ149" s="19"/>
      <c r="AK149" s="20"/>
      <c r="AL149" s="19"/>
    </row>
    <row r="150" spans="1:38" outlineLevel="1" x14ac:dyDescent="0.25">
      <c r="A150" s="5" t="s">
        <v>15</v>
      </c>
      <c r="B150" s="8" t="s">
        <v>144</v>
      </c>
      <c r="C150" s="14">
        <v>3.9590243469463299E-2</v>
      </c>
      <c r="D150" s="8">
        <v>229</v>
      </c>
      <c r="E150" s="14">
        <v>6.6530611673640105E-2</v>
      </c>
      <c r="F150" s="8">
        <v>229</v>
      </c>
      <c r="G150" s="14">
        <v>2.2648610383494899E-2</v>
      </c>
      <c r="H150" s="8">
        <v>229</v>
      </c>
      <c r="I150" s="14">
        <v>2.2603785681842101E-2</v>
      </c>
      <c r="J150" s="8">
        <v>229</v>
      </c>
      <c r="K150" s="14">
        <v>9.2807163871513804E-2</v>
      </c>
      <c r="L150" s="8">
        <v>229</v>
      </c>
      <c r="M150" s="14">
        <v>1</v>
      </c>
      <c r="N150" s="8">
        <v>229</v>
      </c>
      <c r="O150" s="14">
        <v>4.78105738740148E-2</v>
      </c>
      <c r="P150" s="8">
        <v>105</v>
      </c>
      <c r="Q150" s="14">
        <v>7.4175380948932196E-2</v>
      </c>
      <c r="R150" s="8">
        <v>105</v>
      </c>
      <c r="S150" s="14">
        <v>2.57644081183604E-2</v>
      </c>
      <c r="T150" s="8">
        <v>105</v>
      </c>
      <c r="U150" s="14">
        <v>3.4928369814834603E-2</v>
      </c>
      <c r="V150" s="8">
        <v>105</v>
      </c>
      <c r="W150" s="14">
        <v>0.118267712460241</v>
      </c>
      <c r="X150" s="8">
        <v>105</v>
      </c>
      <c r="Y150" s="14">
        <v>1</v>
      </c>
      <c r="Z150" s="8">
        <v>105</v>
      </c>
      <c r="AA150" s="14">
        <v>3.3143646048985197E-2</v>
      </c>
      <c r="AB150" s="8">
        <v>124</v>
      </c>
      <c r="AC150" s="14">
        <v>6.05353842965312E-2</v>
      </c>
      <c r="AD150" s="8">
        <v>124</v>
      </c>
      <c r="AE150" s="14">
        <v>2.0205120565957399E-2</v>
      </c>
      <c r="AF150" s="8">
        <v>124</v>
      </c>
      <c r="AG150" s="14">
        <v>1.2938525483027799E-2</v>
      </c>
      <c r="AH150" s="8">
        <v>124</v>
      </c>
      <c r="AI150" s="14">
        <v>7.2840337870801297E-2</v>
      </c>
      <c r="AJ150" s="8">
        <v>124</v>
      </c>
      <c r="AK150" s="14">
        <v>1</v>
      </c>
      <c r="AL150" s="10">
        <v>124</v>
      </c>
    </row>
    <row r="151" spans="1:38" outlineLevel="1" x14ac:dyDescent="0.25">
      <c r="A151" s="6" t="s">
        <v>15</v>
      </c>
      <c r="B151" t="s">
        <v>145</v>
      </c>
      <c r="C151" s="16">
        <v>9.6907164626304793E-3</v>
      </c>
      <c r="D151">
        <v>1687</v>
      </c>
      <c r="E151" s="16">
        <v>2.07154111380921E-2</v>
      </c>
      <c r="F151">
        <v>1687</v>
      </c>
      <c r="G151" s="16">
        <v>1.1869973089479399E-3</v>
      </c>
      <c r="H151">
        <v>1687</v>
      </c>
      <c r="I151" s="16">
        <v>8.5037191536825405E-3</v>
      </c>
      <c r="J151">
        <v>1687</v>
      </c>
      <c r="K151" s="16">
        <v>5.7628039620537003E-2</v>
      </c>
      <c r="L151">
        <v>1687</v>
      </c>
      <c r="M151" s="16">
        <v>0.999385939859741</v>
      </c>
      <c r="N151">
        <v>1687</v>
      </c>
      <c r="O151" s="16">
        <v>6.213737041971E-3</v>
      </c>
      <c r="P151">
        <v>815</v>
      </c>
      <c r="Q151" s="16">
        <v>1.7867069519571802E-2</v>
      </c>
      <c r="R151">
        <v>815</v>
      </c>
      <c r="S151" s="16">
        <v>1.83315168349186E-3</v>
      </c>
      <c r="T151">
        <v>815</v>
      </c>
      <c r="U151" s="16">
        <v>4.3805853584791398E-3</v>
      </c>
      <c r="V151">
        <v>815</v>
      </c>
      <c r="W151" s="16">
        <v>6.0666702393209197E-2</v>
      </c>
      <c r="X151">
        <v>815</v>
      </c>
      <c r="Y151" s="16">
        <v>0.999394224164596</v>
      </c>
      <c r="Z151">
        <v>815</v>
      </c>
      <c r="AA151" s="16">
        <v>1.2768130925634801E-2</v>
      </c>
      <c r="AB151">
        <v>869</v>
      </c>
      <c r="AC151" s="16">
        <v>2.3269985613860001E-2</v>
      </c>
      <c r="AD151">
        <v>869</v>
      </c>
      <c r="AE151" s="16">
        <v>6.22944540835779E-4</v>
      </c>
      <c r="AF151">
        <v>869</v>
      </c>
      <c r="AG151" s="16">
        <v>1.2145186384799099E-2</v>
      </c>
      <c r="AH151">
        <v>869</v>
      </c>
      <c r="AI151" s="16">
        <v>5.5112166830579699E-2</v>
      </c>
      <c r="AJ151">
        <v>869</v>
      </c>
      <c r="AK151" s="16">
        <v>0.999377055459164</v>
      </c>
      <c r="AL151" s="11">
        <v>869</v>
      </c>
    </row>
    <row r="152" spans="1:38" outlineLevel="1" x14ac:dyDescent="0.25">
      <c r="A152" s="6" t="s">
        <v>15</v>
      </c>
      <c r="B152" t="s">
        <v>146</v>
      </c>
      <c r="C152" s="16">
        <v>7.6335877862595394E-2</v>
      </c>
      <c r="D152">
        <v>131</v>
      </c>
      <c r="E152" s="16">
        <v>8.3969465648855005E-2</v>
      </c>
      <c r="F152">
        <v>131</v>
      </c>
      <c r="G152" s="16"/>
      <c r="I152" s="16">
        <v>7.6335877862595394E-2</v>
      </c>
      <c r="J152">
        <v>131</v>
      </c>
      <c r="K152" s="16">
        <v>0.106870229007634</v>
      </c>
      <c r="L152">
        <v>131</v>
      </c>
      <c r="M152" s="16">
        <v>1</v>
      </c>
      <c r="N152">
        <v>131</v>
      </c>
      <c r="O152" s="16">
        <v>6.7567567567567599E-2</v>
      </c>
      <c r="P152">
        <v>74</v>
      </c>
      <c r="Q152" s="16">
        <v>6.7567567567567599E-2</v>
      </c>
      <c r="R152">
        <v>74</v>
      </c>
      <c r="S152" s="16"/>
      <c r="U152" s="16">
        <v>6.7567567567567599E-2</v>
      </c>
      <c r="V152">
        <v>74</v>
      </c>
      <c r="W152" s="16">
        <v>0.135135135135135</v>
      </c>
      <c r="X152">
        <v>74</v>
      </c>
      <c r="Y152" s="16">
        <v>1</v>
      </c>
      <c r="Z152">
        <v>74</v>
      </c>
      <c r="AA152" s="16">
        <v>8.7719298245614002E-2</v>
      </c>
      <c r="AB152">
        <v>57</v>
      </c>
      <c r="AC152" s="16">
        <v>0.105263157894737</v>
      </c>
      <c r="AD152">
        <v>57</v>
      </c>
      <c r="AE152" s="16"/>
      <c r="AG152" s="16">
        <v>8.7719298245614002E-2</v>
      </c>
      <c r="AH152">
        <v>57</v>
      </c>
      <c r="AI152" s="16">
        <v>7.0175438596491196E-2</v>
      </c>
      <c r="AJ152">
        <v>57</v>
      </c>
      <c r="AK152" s="16">
        <v>1</v>
      </c>
      <c r="AL152" s="11">
        <v>57</v>
      </c>
    </row>
    <row r="153" spans="1:38" outlineLevel="1" x14ac:dyDescent="0.25">
      <c r="A153" s="6" t="s">
        <v>15</v>
      </c>
      <c r="B153" t="s">
        <v>148</v>
      </c>
      <c r="C153" s="16">
        <v>1.0115858218088299E-2</v>
      </c>
      <c r="D153">
        <v>624</v>
      </c>
      <c r="E153" s="16">
        <v>2.2762986034480601E-2</v>
      </c>
      <c r="F153">
        <v>624</v>
      </c>
      <c r="G153" s="16">
        <v>5.2171809477075896E-3</v>
      </c>
      <c r="H153">
        <v>624</v>
      </c>
      <c r="I153" s="16">
        <v>8.3914497571236195E-3</v>
      </c>
      <c r="J153">
        <v>624</v>
      </c>
      <c r="K153" s="16">
        <v>6.5934476786519494E-2</v>
      </c>
      <c r="L153">
        <v>624</v>
      </c>
      <c r="M153" s="16">
        <v>0.99450242970588598</v>
      </c>
      <c r="N153">
        <v>624</v>
      </c>
      <c r="O153" s="16">
        <v>1.1388116746614999E-2</v>
      </c>
      <c r="P153">
        <v>350</v>
      </c>
      <c r="Q153" s="16">
        <v>1.9178937016529E-2</v>
      </c>
      <c r="R153">
        <v>350</v>
      </c>
      <c r="S153" s="16">
        <v>5.4252874945827497E-3</v>
      </c>
      <c r="T153">
        <v>350</v>
      </c>
      <c r="U153" s="16">
        <v>1.1388116746614999E-2</v>
      </c>
      <c r="V153">
        <v>350</v>
      </c>
      <c r="W153" s="16">
        <v>6.1966478880874601E-2</v>
      </c>
      <c r="X153">
        <v>350</v>
      </c>
      <c r="Y153" s="16">
        <v>0.99080829609645804</v>
      </c>
      <c r="Z153">
        <v>350</v>
      </c>
      <c r="AA153" s="16">
        <v>8.3584744210930591E-3</v>
      </c>
      <c r="AB153">
        <v>274</v>
      </c>
      <c r="AC153" s="16">
        <v>2.7713669822844299E-2</v>
      </c>
      <c r="AD153">
        <v>274</v>
      </c>
      <c r="AE153" s="16">
        <v>4.9297212330924002E-3</v>
      </c>
      <c r="AF153">
        <v>274</v>
      </c>
      <c r="AG153" s="16">
        <v>4.2521228088335103E-3</v>
      </c>
      <c r="AH153">
        <v>274</v>
      </c>
      <c r="AI153" s="16">
        <v>7.1415513124288399E-2</v>
      </c>
      <c r="AJ153">
        <v>274</v>
      </c>
      <c r="AK153" s="16">
        <v>0.99960517447322605</v>
      </c>
      <c r="AL153" s="11">
        <v>274</v>
      </c>
    </row>
    <row r="154" spans="1:38" outlineLevel="1" x14ac:dyDescent="0.25">
      <c r="A154" s="6" t="s">
        <v>15</v>
      </c>
      <c r="B154" t="s">
        <v>149</v>
      </c>
      <c r="C154" s="16">
        <v>9.1793295365517197E-3</v>
      </c>
      <c r="D154">
        <v>2391</v>
      </c>
      <c r="E154" s="16">
        <v>1.44340303102973E-2</v>
      </c>
      <c r="F154">
        <v>2391</v>
      </c>
      <c r="G154" s="16">
        <v>1.8135115955870301E-3</v>
      </c>
      <c r="H154">
        <v>2391</v>
      </c>
      <c r="I154" s="16">
        <v>7.9269264776099402E-3</v>
      </c>
      <c r="J154">
        <v>2391</v>
      </c>
      <c r="K154" s="16">
        <v>2.74335864122194E-2</v>
      </c>
      <c r="L154">
        <v>2391</v>
      </c>
      <c r="M154" s="16">
        <v>0.99933752120527497</v>
      </c>
      <c r="N154">
        <v>2391</v>
      </c>
      <c r="O154" s="16">
        <v>5.2046943257055703E-3</v>
      </c>
      <c r="P154">
        <v>1212</v>
      </c>
      <c r="Q154" s="16">
        <v>1.2335199821252901E-2</v>
      </c>
      <c r="R154">
        <v>1212</v>
      </c>
      <c r="S154" s="16">
        <v>7.3046168760823398E-4</v>
      </c>
      <c r="T154">
        <v>1212</v>
      </c>
      <c r="U154" s="16">
        <v>4.4742326380973396E-3</v>
      </c>
      <c r="V154">
        <v>1212</v>
      </c>
      <c r="W154" s="16">
        <v>2.8310246009343201E-2</v>
      </c>
      <c r="X154">
        <v>1212</v>
      </c>
      <c r="Y154" s="16">
        <v>0.99929440634130595</v>
      </c>
      <c r="Z154">
        <v>1212</v>
      </c>
      <c r="AA154" s="16">
        <v>1.3328582991730099E-2</v>
      </c>
      <c r="AB154">
        <v>1178</v>
      </c>
      <c r="AC154" s="16">
        <v>1.66305011224556E-2</v>
      </c>
      <c r="AD154">
        <v>1178</v>
      </c>
      <c r="AE154" s="16">
        <v>2.9437535946715298E-3</v>
      </c>
      <c r="AF154">
        <v>1178</v>
      </c>
      <c r="AG154" s="16">
        <v>1.1531281406739599E-2</v>
      </c>
      <c r="AH154">
        <v>1178</v>
      </c>
      <c r="AI154" s="16">
        <v>2.65351040084746E-2</v>
      </c>
      <c r="AJ154">
        <v>1178</v>
      </c>
      <c r="AK154" s="16">
        <v>0.99938209844738102</v>
      </c>
      <c r="AL154" s="11">
        <v>1178</v>
      </c>
    </row>
    <row r="155" spans="1:38" outlineLevel="1" x14ac:dyDescent="0.25">
      <c r="A155" s="6" t="s">
        <v>15</v>
      </c>
      <c r="B155" t="s">
        <v>150</v>
      </c>
      <c r="C155" s="16">
        <v>8.7788071600477302E-2</v>
      </c>
      <c r="D155">
        <v>193</v>
      </c>
      <c r="E155" s="16">
        <v>9.8275027983730695E-2</v>
      </c>
      <c r="F155">
        <v>193</v>
      </c>
      <c r="G155" s="16">
        <v>4.1227261449186099E-2</v>
      </c>
      <c r="H155">
        <v>193</v>
      </c>
      <c r="I155" s="16">
        <v>5.6867625513587698E-2</v>
      </c>
      <c r="J155">
        <v>193</v>
      </c>
      <c r="K155" s="16">
        <v>6.3177159917505402E-2</v>
      </c>
      <c r="L155">
        <v>193</v>
      </c>
      <c r="M155" s="16">
        <v>1</v>
      </c>
      <c r="N155">
        <v>193</v>
      </c>
      <c r="O155" s="16">
        <v>6.9435074493562093E-2</v>
      </c>
      <c r="P155">
        <v>104</v>
      </c>
      <c r="Q155" s="16">
        <v>7.9701106889963097E-2</v>
      </c>
      <c r="R155">
        <v>104</v>
      </c>
      <c r="S155" s="16">
        <v>4.9596481781115802E-2</v>
      </c>
      <c r="T155">
        <v>104</v>
      </c>
      <c r="U155" s="16">
        <v>2.97578890686695E-2</v>
      </c>
      <c r="V155">
        <v>104</v>
      </c>
      <c r="W155" s="16">
        <v>8.1459815572625494E-2</v>
      </c>
      <c r="X155">
        <v>104</v>
      </c>
      <c r="Y155" s="16">
        <v>1</v>
      </c>
      <c r="Z155">
        <v>104</v>
      </c>
      <c r="AA155" s="16">
        <v>0.10763336860825599</v>
      </c>
      <c r="AB155">
        <v>89</v>
      </c>
      <c r="AC155" s="16">
        <v>0.11835921252086901</v>
      </c>
      <c r="AD155">
        <v>89</v>
      </c>
      <c r="AE155" s="16">
        <v>3.2177531737840999E-2</v>
      </c>
      <c r="AF155">
        <v>89</v>
      </c>
      <c r="AG155" s="16">
        <v>8.6181680783028403E-2</v>
      </c>
      <c r="AH155">
        <v>89</v>
      </c>
      <c r="AI155" s="16">
        <v>4.3407923892829797E-2</v>
      </c>
      <c r="AJ155">
        <v>89</v>
      </c>
      <c r="AK155" s="16">
        <v>1</v>
      </c>
      <c r="AL155" s="11">
        <v>89</v>
      </c>
    </row>
    <row r="156" spans="1:38" outlineLevel="1" x14ac:dyDescent="0.25">
      <c r="A156" s="6" t="s">
        <v>15</v>
      </c>
      <c r="B156" t="s">
        <v>151</v>
      </c>
      <c r="C156" s="16">
        <v>1.07284048965373E-2</v>
      </c>
      <c r="D156">
        <v>1239</v>
      </c>
      <c r="E156" s="16">
        <v>1.45634416781026E-2</v>
      </c>
      <c r="F156">
        <v>1239</v>
      </c>
      <c r="G156" s="16">
        <v>1.2451041252492701E-3</v>
      </c>
      <c r="H156">
        <v>1239</v>
      </c>
      <c r="I156" s="16">
        <v>9.5056174937870105E-3</v>
      </c>
      <c r="J156">
        <v>1239</v>
      </c>
      <c r="K156" s="16">
        <v>2.1733543073686801E-2</v>
      </c>
      <c r="L156">
        <v>1239</v>
      </c>
      <c r="M156" s="16">
        <v>0.99810936087415303</v>
      </c>
      <c r="N156">
        <v>1239</v>
      </c>
      <c r="O156" s="16">
        <v>3.6598378681525299E-3</v>
      </c>
      <c r="P156">
        <v>628</v>
      </c>
      <c r="Q156" s="16">
        <v>9.7572614753914794E-3</v>
      </c>
      <c r="R156">
        <v>628</v>
      </c>
      <c r="S156" s="16"/>
      <c r="U156" s="16">
        <v>3.6598378681525299E-3</v>
      </c>
      <c r="V156">
        <v>628</v>
      </c>
      <c r="W156" s="16">
        <v>1.4127540307858E-2</v>
      </c>
      <c r="X156">
        <v>628</v>
      </c>
      <c r="Y156" s="16">
        <v>0.99820008184042697</v>
      </c>
      <c r="Z156">
        <v>628</v>
      </c>
      <c r="AA156" s="16">
        <v>1.8356317500291E-2</v>
      </c>
      <c r="AB156">
        <v>610</v>
      </c>
      <c r="AC156" s="16">
        <v>1.9750278892951199E-2</v>
      </c>
      <c r="AD156">
        <v>610</v>
      </c>
      <c r="AE156" s="16">
        <v>2.5887051660012598E-3</v>
      </c>
      <c r="AF156">
        <v>610</v>
      </c>
      <c r="AG156" s="16">
        <v>1.5814011196561398E-2</v>
      </c>
      <c r="AH156">
        <v>610</v>
      </c>
      <c r="AI156" s="16">
        <v>2.99418922333008E-2</v>
      </c>
      <c r="AJ156">
        <v>610</v>
      </c>
      <c r="AK156" s="16">
        <v>0.99801137969647502</v>
      </c>
      <c r="AL156" s="11">
        <v>610</v>
      </c>
    </row>
    <row r="157" spans="1:38" outlineLevel="1" x14ac:dyDescent="0.25">
      <c r="A157" s="7" t="s">
        <v>15</v>
      </c>
      <c r="B157" s="9" t="s">
        <v>147</v>
      </c>
      <c r="C157" s="15"/>
      <c r="D157" s="9"/>
      <c r="E157" s="15"/>
      <c r="F157" s="9"/>
      <c r="G157" s="15"/>
      <c r="H157" s="9"/>
      <c r="I157" s="15"/>
      <c r="J157" s="9"/>
      <c r="K157" s="15">
        <v>9.0909090909090898E-2</v>
      </c>
      <c r="L157" s="9">
        <v>88</v>
      </c>
      <c r="M157" s="15">
        <v>1</v>
      </c>
      <c r="N157" s="9">
        <v>88</v>
      </c>
      <c r="O157" s="15"/>
      <c r="P157" s="9"/>
      <c r="Q157" s="15"/>
      <c r="R157" s="9"/>
      <c r="S157" s="15"/>
      <c r="T157" s="9"/>
      <c r="U157" s="15"/>
      <c r="V157" s="9"/>
      <c r="W157" s="15">
        <v>7.3170731707317097E-2</v>
      </c>
      <c r="X157" s="9">
        <v>41</v>
      </c>
      <c r="Y157" s="15">
        <v>1</v>
      </c>
      <c r="Z157" s="9">
        <v>41</v>
      </c>
      <c r="AA157" s="15"/>
      <c r="AB157" s="9"/>
      <c r="AC157" s="15"/>
      <c r="AD157" s="9"/>
      <c r="AE157" s="15"/>
      <c r="AF157" s="9"/>
      <c r="AG157" s="15"/>
      <c r="AH157" s="9"/>
      <c r="AI157" s="15">
        <v>0.108695652173913</v>
      </c>
      <c r="AJ157" s="9">
        <v>46</v>
      </c>
      <c r="AK157" s="15">
        <v>1</v>
      </c>
      <c r="AL157" s="12">
        <v>46</v>
      </c>
    </row>
    <row r="158" spans="1:38" x14ac:dyDescent="0.25">
      <c r="C158" s="16"/>
      <c r="E158" s="16"/>
      <c r="G158" s="16"/>
      <c r="I158" s="16"/>
      <c r="K158" s="16"/>
      <c r="M158" s="16"/>
      <c r="O158" s="16"/>
      <c r="Q158" s="16"/>
      <c r="S158" s="16"/>
      <c r="U158" s="16"/>
      <c r="W158" s="16"/>
      <c r="Y158" s="16"/>
      <c r="AA158" s="16"/>
      <c r="AC158" s="16"/>
      <c r="AE158" s="16"/>
      <c r="AG158" s="16"/>
      <c r="AI158" s="16"/>
      <c r="AK158" s="16"/>
    </row>
    <row r="159" spans="1:38" x14ac:dyDescent="0.25">
      <c r="A159" s="19" t="s">
        <v>152</v>
      </c>
      <c r="B159" s="19"/>
      <c r="C159" s="20"/>
      <c r="D159" s="19"/>
      <c r="E159" s="20"/>
      <c r="F159" s="19"/>
      <c r="G159" s="20"/>
      <c r="H159" s="19"/>
      <c r="I159" s="20"/>
      <c r="J159" s="19"/>
      <c r="K159" s="20"/>
      <c r="L159" s="19"/>
      <c r="M159" s="20"/>
      <c r="N159" s="19"/>
      <c r="O159" s="20"/>
      <c r="P159" s="19"/>
      <c r="Q159" s="20"/>
      <c r="R159" s="19"/>
      <c r="S159" s="20"/>
      <c r="T159" s="19"/>
      <c r="U159" s="20"/>
      <c r="V159" s="19"/>
      <c r="W159" s="20"/>
      <c r="X159" s="19"/>
      <c r="Y159" s="20"/>
      <c r="Z159" s="19"/>
      <c r="AA159" s="20"/>
      <c r="AB159" s="19"/>
      <c r="AC159" s="20"/>
      <c r="AD159" s="19"/>
      <c r="AE159" s="20"/>
      <c r="AF159" s="19"/>
      <c r="AG159" s="20"/>
      <c r="AH159" s="19"/>
      <c r="AI159" s="20"/>
      <c r="AJ159" s="19"/>
      <c r="AK159" s="20"/>
      <c r="AL159" s="19"/>
    </row>
    <row r="160" spans="1:38" outlineLevel="1" x14ac:dyDescent="0.25">
      <c r="A160" s="5" t="s">
        <v>15</v>
      </c>
      <c r="B160" s="8" t="s">
        <v>153</v>
      </c>
      <c r="C160" s="14">
        <v>1.2682861274862E-2</v>
      </c>
      <c r="D160" s="8">
        <v>139</v>
      </c>
      <c r="E160" s="14">
        <v>3.93390043780402E-2</v>
      </c>
      <c r="F160" s="8">
        <v>139</v>
      </c>
      <c r="G160" s="14"/>
      <c r="H160" s="8"/>
      <c r="I160" s="14">
        <v>1.2682861274862E-2</v>
      </c>
      <c r="J160" s="8">
        <v>139</v>
      </c>
      <c r="K160" s="14">
        <v>8.5597635165900507E-2</v>
      </c>
      <c r="L160" s="8">
        <v>139</v>
      </c>
      <c r="M160" s="14">
        <v>1</v>
      </c>
      <c r="N160" s="8">
        <v>139</v>
      </c>
      <c r="O160" s="14"/>
      <c r="P160" s="8"/>
      <c r="Q160" s="14">
        <v>5.9651359865738503E-2</v>
      </c>
      <c r="R160" s="8">
        <v>65</v>
      </c>
      <c r="S160" s="14"/>
      <c r="T160" s="8"/>
      <c r="U160" s="14"/>
      <c r="V160" s="8"/>
      <c r="W160" s="14">
        <v>0.119311748972667</v>
      </c>
      <c r="X160" s="8">
        <v>65</v>
      </c>
      <c r="Y160" s="14">
        <v>1</v>
      </c>
      <c r="Z160" s="8">
        <v>65</v>
      </c>
      <c r="AA160" s="14">
        <v>2.2929078704901601E-2</v>
      </c>
      <c r="AB160" s="8">
        <v>74</v>
      </c>
      <c r="AC160" s="14">
        <v>2.2929078704901601E-2</v>
      </c>
      <c r="AD160" s="8">
        <v>74</v>
      </c>
      <c r="AE160" s="14"/>
      <c r="AF160" s="8"/>
      <c r="AG160" s="14">
        <v>2.2929078704901601E-2</v>
      </c>
      <c r="AH160" s="8">
        <v>74</v>
      </c>
      <c r="AI160" s="14">
        <v>5.8360710229261398E-2</v>
      </c>
      <c r="AJ160" s="8">
        <v>74</v>
      </c>
      <c r="AK160" s="14">
        <v>1</v>
      </c>
      <c r="AL160" s="10">
        <v>74</v>
      </c>
    </row>
    <row r="161" spans="1:38" outlineLevel="1" x14ac:dyDescent="0.25">
      <c r="A161" s="6" t="s">
        <v>15</v>
      </c>
      <c r="B161" t="s">
        <v>154</v>
      </c>
      <c r="C161" s="16">
        <v>1.17183719204608E-2</v>
      </c>
      <c r="D161">
        <v>638</v>
      </c>
      <c r="E161" s="16">
        <v>1.5815701489065699E-2</v>
      </c>
      <c r="F161">
        <v>638</v>
      </c>
      <c r="G161" s="16">
        <v>2.66812475593822E-3</v>
      </c>
      <c r="H161">
        <v>638</v>
      </c>
      <c r="I161" s="16">
        <v>9.0502471645225405E-3</v>
      </c>
      <c r="J161">
        <v>638</v>
      </c>
      <c r="K161" s="16">
        <v>4.9780811701633398E-2</v>
      </c>
      <c r="L161">
        <v>638</v>
      </c>
      <c r="M161" s="16">
        <v>0.99912838428822903</v>
      </c>
      <c r="N161">
        <v>638</v>
      </c>
      <c r="O161" s="16">
        <v>6.7283670072137997E-3</v>
      </c>
      <c r="P161">
        <v>314</v>
      </c>
      <c r="Q161" s="16">
        <v>1.16081388145891E-2</v>
      </c>
      <c r="R161">
        <v>314</v>
      </c>
      <c r="S161" s="16">
        <v>3.8101860150799899E-3</v>
      </c>
      <c r="T161">
        <v>314</v>
      </c>
      <c r="U161" s="16">
        <v>2.9181809921338098E-3</v>
      </c>
      <c r="V161">
        <v>314</v>
      </c>
      <c r="W161" s="16">
        <v>5.3156895911356E-2</v>
      </c>
      <c r="X161">
        <v>314</v>
      </c>
      <c r="Y161" s="16">
        <v>1</v>
      </c>
      <c r="Z161">
        <v>314</v>
      </c>
      <c r="AA161" s="16">
        <v>1.6213220009130402E-2</v>
      </c>
      <c r="AB161">
        <v>323</v>
      </c>
      <c r="AC161" s="16">
        <v>1.9621529813655399E-2</v>
      </c>
      <c r="AD161">
        <v>323</v>
      </c>
      <c r="AE161" s="16">
        <v>1.6536161539806101E-3</v>
      </c>
      <c r="AF161">
        <v>323</v>
      </c>
      <c r="AG161" s="16">
        <v>1.4559603855149801E-2</v>
      </c>
      <c r="AH161">
        <v>323</v>
      </c>
      <c r="AI161" s="16">
        <v>4.6893187135430899E-2</v>
      </c>
      <c r="AJ161">
        <v>323</v>
      </c>
      <c r="AK161" s="16">
        <v>0.99834638384601904</v>
      </c>
      <c r="AL161" s="11">
        <v>323</v>
      </c>
    </row>
    <row r="162" spans="1:38" outlineLevel="1" x14ac:dyDescent="0.25">
      <c r="A162" s="6" t="s">
        <v>15</v>
      </c>
      <c r="B162" t="s">
        <v>155</v>
      </c>
      <c r="C162" s="16">
        <v>1.3210132985032401E-2</v>
      </c>
      <c r="D162">
        <v>731</v>
      </c>
      <c r="E162" s="16">
        <v>3.4068261938708003E-2</v>
      </c>
      <c r="F162">
        <v>731</v>
      </c>
      <c r="G162" s="16">
        <v>2.9077779033724002E-3</v>
      </c>
      <c r="H162">
        <v>731</v>
      </c>
      <c r="I162" s="16">
        <v>1.0302355081660001E-2</v>
      </c>
      <c r="J162">
        <v>731</v>
      </c>
      <c r="K162" s="16">
        <v>7.0586809662492894E-2</v>
      </c>
      <c r="L162">
        <v>731</v>
      </c>
      <c r="M162" s="16">
        <v>1</v>
      </c>
      <c r="N162">
        <v>731</v>
      </c>
      <c r="O162" s="16">
        <v>1.30915624394707E-2</v>
      </c>
      <c r="P162">
        <v>342</v>
      </c>
      <c r="Q162" s="16">
        <v>3.1359411839959501E-2</v>
      </c>
      <c r="R162">
        <v>342</v>
      </c>
      <c r="S162" s="16">
        <v>2.83116029470469E-3</v>
      </c>
      <c r="T162">
        <v>342</v>
      </c>
      <c r="U162" s="16">
        <v>1.0260402144766E-2</v>
      </c>
      <c r="V162">
        <v>342</v>
      </c>
      <c r="W162" s="16">
        <v>7.6089431711262798E-2</v>
      </c>
      <c r="X162">
        <v>342</v>
      </c>
      <c r="Y162" s="16">
        <v>1</v>
      </c>
      <c r="Z162">
        <v>342</v>
      </c>
      <c r="AA162" s="16">
        <v>1.33650060253095E-2</v>
      </c>
      <c r="AB162">
        <v>387</v>
      </c>
      <c r="AC162" s="16">
        <v>3.6594714909477299E-2</v>
      </c>
      <c r="AD162">
        <v>387</v>
      </c>
      <c r="AE162" s="16">
        <v>2.9865837210840498E-3</v>
      </c>
      <c r="AF162">
        <v>387</v>
      </c>
      <c r="AG162" s="16">
        <v>1.0378422304225501E-2</v>
      </c>
      <c r="AH162">
        <v>387</v>
      </c>
      <c r="AI162" s="16">
        <v>6.5982977842792306E-2</v>
      </c>
      <c r="AJ162">
        <v>387</v>
      </c>
      <c r="AK162" s="16">
        <v>1</v>
      </c>
      <c r="AL162" s="11">
        <v>387</v>
      </c>
    </row>
    <row r="163" spans="1:38" outlineLevel="1" x14ac:dyDescent="0.25">
      <c r="A163" s="6" t="s">
        <v>15</v>
      </c>
      <c r="B163" t="s">
        <v>156</v>
      </c>
      <c r="C163" s="16">
        <v>1.44337969149084E-2</v>
      </c>
      <c r="D163">
        <v>408</v>
      </c>
      <c r="E163" s="16">
        <v>2.0883732465279602E-2</v>
      </c>
      <c r="F163">
        <v>408</v>
      </c>
      <c r="G163" s="16">
        <v>7.3706220250506996E-3</v>
      </c>
      <c r="H163">
        <v>408</v>
      </c>
      <c r="I163" s="16">
        <v>1.01162937767899E-2</v>
      </c>
      <c r="J163">
        <v>408</v>
      </c>
      <c r="K163" s="16">
        <v>5.4279164561355703E-2</v>
      </c>
      <c r="L163">
        <v>408</v>
      </c>
      <c r="M163" s="16">
        <v>0.99873561574881398</v>
      </c>
      <c r="N163">
        <v>408</v>
      </c>
      <c r="O163" s="16">
        <v>1.57586513023984E-2</v>
      </c>
      <c r="P163">
        <v>199</v>
      </c>
      <c r="Q163" s="16">
        <v>1.57586513023984E-2</v>
      </c>
      <c r="R163">
        <v>199</v>
      </c>
      <c r="S163" s="16">
        <v>9.63278235518698E-3</v>
      </c>
      <c r="T163">
        <v>199</v>
      </c>
      <c r="U163" s="16">
        <v>1.2937683276348101E-2</v>
      </c>
      <c r="V163">
        <v>199</v>
      </c>
      <c r="W163" s="16">
        <v>5.1191737797102899E-2</v>
      </c>
      <c r="X163">
        <v>199</v>
      </c>
      <c r="Y163" s="16">
        <v>0.99717903197394997</v>
      </c>
      <c r="Z163">
        <v>199</v>
      </c>
      <c r="AA163" s="16">
        <v>1.3357642165188E-2</v>
      </c>
      <c r="AB163">
        <v>209</v>
      </c>
      <c r="AC163" s="16">
        <v>2.5046741236821699E-2</v>
      </c>
      <c r="AD163">
        <v>209</v>
      </c>
      <c r="AE163" s="16">
        <v>5.5331109695774296E-3</v>
      </c>
      <c r="AF163">
        <v>209</v>
      </c>
      <c r="AG163" s="16">
        <v>7.8245311956105495E-3</v>
      </c>
      <c r="AH163">
        <v>209</v>
      </c>
      <c r="AI163" s="16">
        <v>5.6787024299103199E-2</v>
      </c>
      <c r="AJ163">
        <v>209</v>
      </c>
      <c r="AK163" s="16">
        <v>1</v>
      </c>
      <c r="AL163" s="11">
        <v>209</v>
      </c>
    </row>
    <row r="164" spans="1:38" outlineLevel="1" x14ac:dyDescent="0.25">
      <c r="A164" s="6" t="s">
        <v>15</v>
      </c>
      <c r="B164" t="s">
        <v>158</v>
      </c>
      <c r="C164" s="16">
        <v>0.05</v>
      </c>
      <c r="D164">
        <v>80</v>
      </c>
      <c r="E164" s="16">
        <v>0.05</v>
      </c>
      <c r="F164">
        <v>80</v>
      </c>
      <c r="G164" s="16"/>
      <c r="I164" s="16">
        <v>0.05</v>
      </c>
      <c r="J164">
        <v>80</v>
      </c>
      <c r="K164" s="16">
        <v>0.1</v>
      </c>
      <c r="L164">
        <v>80</v>
      </c>
      <c r="M164" s="16">
        <v>1</v>
      </c>
      <c r="N164">
        <v>80</v>
      </c>
      <c r="O164" s="16"/>
      <c r="Q164" s="16"/>
      <c r="S164" s="16"/>
      <c r="U164" s="16"/>
      <c r="W164" s="16">
        <v>9.7560975609756101E-2</v>
      </c>
      <c r="X164">
        <v>41</v>
      </c>
      <c r="Y164" s="16">
        <v>1</v>
      </c>
      <c r="Z164">
        <v>41</v>
      </c>
      <c r="AA164" s="16">
        <v>0.102564102564103</v>
      </c>
      <c r="AB164">
        <v>39</v>
      </c>
      <c r="AC164" s="16">
        <v>0.102564102564103</v>
      </c>
      <c r="AD164">
        <v>39</v>
      </c>
      <c r="AE164" s="16"/>
      <c r="AG164" s="16">
        <v>0.102564102564103</v>
      </c>
      <c r="AH164">
        <v>39</v>
      </c>
      <c r="AI164" s="16">
        <v>0.102564102564103</v>
      </c>
      <c r="AJ164">
        <v>39</v>
      </c>
      <c r="AK164" s="16">
        <v>1</v>
      </c>
      <c r="AL164" s="11">
        <v>39</v>
      </c>
    </row>
    <row r="165" spans="1:38" outlineLevel="1" x14ac:dyDescent="0.25">
      <c r="A165" s="6" t="s">
        <v>15</v>
      </c>
      <c r="B165" t="s">
        <v>159</v>
      </c>
      <c r="C165" s="16">
        <v>4.5454545454545497E-2</v>
      </c>
      <c r="D165">
        <v>88</v>
      </c>
      <c r="E165" s="16">
        <v>4.5454545454545497E-2</v>
      </c>
      <c r="F165">
        <v>88</v>
      </c>
      <c r="G165" s="16"/>
      <c r="I165" s="16">
        <v>4.5454545454545497E-2</v>
      </c>
      <c r="J165">
        <v>88</v>
      </c>
      <c r="K165" s="16">
        <v>7.9545454545454503E-2</v>
      </c>
      <c r="L165">
        <v>88</v>
      </c>
      <c r="M165" s="16">
        <v>1</v>
      </c>
      <c r="N165">
        <v>88</v>
      </c>
      <c r="O165" s="16">
        <v>6.3829787234042507E-2</v>
      </c>
      <c r="P165">
        <v>47</v>
      </c>
      <c r="Q165" s="16">
        <v>6.3829787234042507E-2</v>
      </c>
      <c r="R165">
        <v>47</v>
      </c>
      <c r="S165" s="16"/>
      <c r="U165" s="16">
        <v>6.3829787234042507E-2</v>
      </c>
      <c r="V165">
        <v>47</v>
      </c>
      <c r="W165" s="16">
        <v>0.14893617021276601</v>
      </c>
      <c r="X165">
        <v>47</v>
      </c>
      <c r="Y165" s="16">
        <v>1</v>
      </c>
      <c r="Z165">
        <v>47</v>
      </c>
      <c r="AA165" s="16">
        <v>2.4390243902439001E-2</v>
      </c>
      <c r="AB165">
        <v>41</v>
      </c>
      <c r="AC165" s="16">
        <v>2.4390243902439001E-2</v>
      </c>
      <c r="AD165">
        <v>41</v>
      </c>
      <c r="AE165" s="16"/>
      <c r="AG165" s="16">
        <v>2.4390243902439001E-2</v>
      </c>
      <c r="AH165">
        <v>41</v>
      </c>
      <c r="AI165" s="16"/>
      <c r="AK165" s="16">
        <v>1</v>
      </c>
      <c r="AL165" s="11">
        <v>41</v>
      </c>
    </row>
    <row r="166" spans="1:38" outlineLevel="1" x14ac:dyDescent="0.25">
      <c r="A166" s="6" t="s">
        <v>15</v>
      </c>
      <c r="B166" t="s">
        <v>160</v>
      </c>
      <c r="C166" s="16">
        <v>5.1282051282051301E-2</v>
      </c>
      <c r="D166">
        <v>39</v>
      </c>
      <c r="E166" s="16">
        <v>7.69230769230769E-2</v>
      </c>
      <c r="F166">
        <v>39</v>
      </c>
      <c r="G166" s="16"/>
      <c r="I166" s="16">
        <v>5.1282051282051301E-2</v>
      </c>
      <c r="J166">
        <v>39</v>
      </c>
      <c r="K166" s="16">
        <v>0.128205128205128</v>
      </c>
      <c r="L166">
        <v>39</v>
      </c>
      <c r="M166" s="16">
        <v>1</v>
      </c>
      <c r="N166">
        <v>39</v>
      </c>
      <c r="O166" s="16">
        <v>9.0909090909090898E-2</v>
      </c>
      <c r="P166">
        <v>22</v>
      </c>
      <c r="Q166" s="16">
        <v>9.0909090909090898E-2</v>
      </c>
      <c r="R166">
        <v>22</v>
      </c>
      <c r="S166" s="16"/>
      <c r="U166" s="16">
        <v>9.0909090909090898E-2</v>
      </c>
      <c r="V166">
        <v>22</v>
      </c>
      <c r="W166" s="16">
        <v>9.0909090909090898E-2</v>
      </c>
      <c r="X166">
        <v>22</v>
      </c>
      <c r="Y166" s="16">
        <v>1</v>
      </c>
      <c r="Z166">
        <v>22</v>
      </c>
      <c r="AA166" s="16"/>
      <c r="AC166" s="16">
        <v>5.8823529411764698E-2</v>
      </c>
      <c r="AD166">
        <v>17</v>
      </c>
      <c r="AE166" s="16"/>
      <c r="AG166" s="16"/>
      <c r="AI166" s="16">
        <v>0.17647058823529399</v>
      </c>
      <c r="AJ166">
        <v>17</v>
      </c>
      <c r="AK166" s="16">
        <v>1</v>
      </c>
      <c r="AL166" s="11">
        <v>17</v>
      </c>
    </row>
    <row r="167" spans="1:38" outlineLevel="1" x14ac:dyDescent="0.25">
      <c r="A167" s="6" t="s">
        <v>15</v>
      </c>
      <c r="B167" t="s">
        <v>161</v>
      </c>
      <c r="C167" s="16">
        <v>9.1093303603082803E-3</v>
      </c>
      <c r="D167">
        <v>215</v>
      </c>
      <c r="E167" s="16">
        <v>1.5408242803057901E-2</v>
      </c>
      <c r="F167">
        <v>215</v>
      </c>
      <c r="G167" s="16"/>
      <c r="I167" s="16">
        <v>9.1093303603082803E-3</v>
      </c>
      <c r="J167">
        <v>215</v>
      </c>
      <c r="K167" s="16">
        <v>6.3873693376622201E-2</v>
      </c>
      <c r="L167">
        <v>215</v>
      </c>
      <c r="M167" s="16">
        <v>1</v>
      </c>
      <c r="N167">
        <v>215</v>
      </c>
      <c r="O167" s="16">
        <v>1.12669639179979E-2</v>
      </c>
      <c r="P167">
        <v>96</v>
      </c>
      <c r="Q167" s="16">
        <v>1.410389560215E-2</v>
      </c>
      <c r="R167">
        <v>96</v>
      </c>
      <c r="S167" s="16"/>
      <c r="U167" s="16">
        <v>1.12669639179979E-2</v>
      </c>
      <c r="V167">
        <v>96</v>
      </c>
      <c r="W167" s="16">
        <v>5.6480370013372402E-2</v>
      </c>
      <c r="X167">
        <v>96</v>
      </c>
      <c r="Y167" s="16">
        <v>1</v>
      </c>
      <c r="Z167">
        <v>96</v>
      </c>
      <c r="AA167" s="16">
        <v>7.1039537943171898E-3</v>
      </c>
      <c r="AB167">
        <v>119</v>
      </c>
      <c r="AC167" s="16">
        <v>1.6620546579709201E-2</v>
      </c>
      <c r="AD167">
        <v>119</v>
      </c>
      <c r="AE167" s="16"/>
      <c r="AG167" s="16">
        <v>7.1039537943171898E-3</v>
      </c>
      <c r="AH167">
        <v>119</v>
      </c>
      <c r="AI167" s="16">
        <v>7.0745294610583001E-2</v>
      </c>
      <c r="AJ167">
        <v>119</v>
      </c>
      <c r="AK167" s="16">
        <v>1</v>
      </c>
      <c r="AL167" s="11">
        <v>119</v>
      </c>
    </row>
    <row r="168" spans="1:38" outlineLevel="1" x14ac:dyDescent="0.25">
      <c r="A168" s="6" t="s">
        <v>15</v>
      </c>
      <c r="B168" t="s">
        <v>162</v>
      </c>
      <c r="C168" s="16">
        <v>7.3972409992719302E-3</v>
      </c>
      <c r="D168">
        <v>937</v>
      </c>
      <c r="E168" s="16">
        <v>1.07729001111889E-2</v>
      </c>
      <c r="F168">
        <v>937</v>
      </c>
      <c r="G168" s="16">
        <v>4.6899430458087997E-3</v>
      </c>
      <c r="H168">
        <v>937</v>
      </c>
      <c r="I168" s="16">
        <v>4.8167992033686302E-3</v>
      </c>
      <c r="J168">
        <v>937</v>
      </c>
      <c r="K168" s="16">
        <v>2.1575094670113301E-2</v>
      </c>
      <c r="L168">
        <v>937</v>
      </c>
      <c r="M168" s="16">
        <v>0.99785638613498195</v>
      </c>
      <c r="N168">
        <v>937</v>
      </c>
      <c r="O168" s="16">
        <v>5.4494057014126398E-3</v>
      </c>
      <c r="P168">
        <v>477</v>
      </c>
      <c r="Q168" s="16">
        <v>8.36982053890163E-3</v>
      </c>
      <c r="R168">
        <v>477</v>
      </c>
      <c r="S168" s="16">
        <v>5.17276150621181E-3</v>
      </c>
      <c r="T168">
        <v>477</v>
      </c>
      <c r="U168" s="16">
        <v>3.95872523602282E-3</v>
      </c>
      <c r="V168">
        <v>477</v>
      </c>
      <c r="W168" s="16">
        <v>1.7278197798119E-2</v>
      </c>
      <c r="X168">
        <v>477</v>
      </c>
      <c r="Y168" s="16">
        <v>0.99604127476397697</v>
      </c>
      <c r="Z168">
        <v>477</v>
      </c>
      <c r="AA168" s="16">
        <v>9.4897612389709708E-3</v>
      </c>
      <c r="AB168">
        <v>459</v>
      </c>
      <c r="AC168" s="16">
        <v>1.33569613284756E-2</v>
      </c>
      <c r="AD168">
        <v>459</v>
      </c>
      <c r="AE168" s="16">
        <v>4.1810899022130003E-3</v>
      </c>
      <c r="AF168">
        <v>459</v>
      </c>
      <c r="AG168" s="16">
        <v>5.7409584017877697E-3</v>
      </c>
      <c r="AH168">
        <v>459</v>
      </c>
      <c r="AI168" s="16">
        <v>2.6199085013924601E-2</v>
      </c>
      <c r="AJ168">
        <v>459</v>
      </c>
      <c r="AK168" s="16">
        <v>0.99979270796025299</v>
      </c>
      <c r="AL168" s="11">
        <v>459</v>
      </c>
    </row>
    <row r="169" spans="1:38" outlineLevel="1" x14ac:dyDescent="0.25">
      <c r="A169" s="6" t="s">
        <v>15</v>
      </c>
      <c r="B169" t="s">
        <v>163</v>
      </c>
      <c r="C169" s="16">
        <v>9.6587769173843395E-3</v>
      </c>
      <c r="D169">
        <v>1229</v>
      </c>
      <c r="E169" s="16">
        <v>1.9862576165950899E-2</v>
      </c>
      <c r="F169">
        <v>1229</v>
      </c>
      <c r="G169" s="16">
        <v>1.3225849002010399E-3</v>
      </c>
      <c r="H169">
        <v>1229</v>
      </c>
      <c r="I169" s="16">
        <v>8.3361920171832991E-3</v>
      </c>
      <c r="J169">
        <v>1229</v>
      </c>
      <c r="K169" s="16">
        <v>4.20192690261256E-2</v>
      </c>
      <c r="L169">
        <v>1229</v>
      </c>
      <c r="M169" s="16">
        <v>0.99879252563838705</v>
      </c>
      <c r="N169">
        <v>1229</v>
      </c>
      <c r="O169" s="16">
        <v>1.6003651043234801E-3</v>
      </c>
      <c r="P169">
        <v>643</v>
      </c>
      <c r="Q169" s="16">
        <v>1.64189977647685E-2</v>
      </c>
      <c r="R169">
        <v>643</v>
      </c>
      <c r="S169" s="16">
        <v>2.9809735679158699E-4</v>
      </c>
      <c r="T169">
        <v>643</v>
      </c>
      <c r="U169" s="16">
        <v>1.3022677475319001E-3</v>
      </c>
      <c r="V169">
        <v>643</v>
      </c>
      <c r="W169" s="16">
        <v>4.4476997723476901E-2</v>
      </c>
      <c r="X169">
        <v>643</v>
      </c>
      <c r="Y169" s="16">
        <v>0.99885487341693202</v>
      </c>
      <c r="Z169">
        <v>643</v>
      </c>
      <c r="AA169" s="16">
        <v>1.8746769532393501E-2</v>
      </c>
      <c r="AB169">
        <v>586</v>
      </c>
      <c r="AC169" s="16">
        <v>2.3746122428556799E-2</v>
      </c>
      <c r="AD169">
        <v>586</v>
      </c>
      <c r="AE169" s="16">
        <v>2.47796581701939E-3</v>
      </c>
      <c r="AF169">
        <v>586</v>
      </c>
      <c r="AG169" s="16">
        <v>1.6268803715374099E-2</v>
      </c>
      <c r="AH169">
        <v>586</v>
      </c>
      <c r="AI169" s="16">
        <v>3.9247529287654598E-2</v>
      </c>
      <c r="AJ169">
        <v>586</v>
      </c>
      <c r="AK169" s="16">
        <v>0.99872221201280897</v>
      </c>
      <c r="AL169" s="11">
        <v>586</v>
      </c>
    </row>
    <row r="170" spans="1:38" outlineLevel="1" x14ac:dyDescent="0.25">
      <c r="A170" s="6" t="s">
        <v>15</v>
      </c>
      <c r="B170" t="s">
        <v>164</v>
      </c>
      <c r="C170" s="16">
        <v>1.1656462460402301E-2</v>
      </c>
      <c r="D170">
        <v>634</v>
      </c>
      <c r="E170" s="16">
        <v>1.6315464400028099E-2</v>
      </c>
      <c r="F170">
        <v>634</v>
      </c>
      <c r="G170" s="16">
        <v>2.1103174296630001E-3</v>
      </c>
      <c r="H170">
        <v>634</v>
      </c>
      <c r="I170" s="16">
        <v>1.1656462460402301E-2</v>
      </c>
      <c r="J170">
        <v>634</v>
      </c>
      <c r="K170" s="16">
        <v>3.06117786413759E-2</v>
      </c>
      <c r="L170">
        <v>634</v>
      </c>
      <c r="M170" s="16">
        <v>0.99810916442047704</v>
      </c>
      <c r="N170">
        <v>634</v>
      </c>
      <c r="O170" s="16">
        <v>1.5828640292306E-2</v>
      </c>
      <c r="P170">
        <v>346</v>
      </c>
      <c r="Q170" s="16">
        <v>1.6111337242229198E-2</v>
      </c>
      <c r="R170">
        <v>346</v>
      </c>
      <c r="S170" s="16"/>
      <c r="U170" s="16">
        <v>1.5828640292306E-2</v>
      </c>
      <c r="V170">
        <v>346</v>
      </c>
      <c r="W170" s="16">
        <v>3.7240896629111599E-2</v>
      </c>
      <c r="X170">
        <v>346</v>
      </c>
      <c r="Y170" s="16">
        <v>0.99645516682229296</v>
      </c>
      <c r="Z170">
        <v>346</v>
      </c>
      <c r="AA170" s="16">
        <v>6.8868652751808901E-3</v>
      </c>
      <c r="AB170">
        <v>288</v>
      </c>
      <c r="AC170" s="16">
        <v>1.6548820780434501E-2</v>
      </c>
      <c r="AD170">
        <v>288</v>
      </c>
      <c r="AE170" s="16">
        <v>4.5228138471159699E-3</v>
      </c>
      <c r="AF170">
        <v>288</v>
      </c>
      <c r="AG170" s="16">
        <v>6.8868652751808901E-3</v>
      </c>
      <c r="AH170">
        <v>288</v>
      </c>
      <c r="AI170" s="16">
        <v>2.30334289715638E-2</v>
      </c>
      <c r="AJ170">
        <v>288</v>
      </c>
      <c r="AK170" s="16">
        <v>1</v>
      </c>
      <c r="AL170" s="11">
        <v>288</v>
      </c>
    </row>
    <row r="171" spans="1:38" outlineLevel="1" x14ac:dyDescent="0.25">
      <c r="A171" s="6" t="s">
        <v>15</v>
      </c>
      <c r="B171" t="s">
        <v>165</v>
      </c>
      <c r="C171" s="16">
        <v>1.4913830201774E-2</v>
      </c>
      <c r="D171">
        <v>107</v>
      </c>
      <c r="E171" s="16">
        <v>1.4913830201774E-2</v>
      </c>
      <c r="F171">
        <v>107</v>
      </c>
      <c r="G171" s="16">
        <v>7.3197469922009501E-3</v>
      </c>
      <c r="H171">
        <v>107</v>
      </c>
      <c r="I171" s="16">
        <v>7.5940832095730696E-3</v>
      </c>
      <c r="J171">
        <v>107</v>
      </c>
      <c r="K171" s="16">
        <v>8.3801533233897295E-3</v>
      </c>
      <c r="L171">
        <v>107</v>
      </c>
      <c r="M171" s="16">
        <v>1</v>
      </c>
      <c r="N171">
        <v>107</v>
      </c>
      <c r="O171" s="16"/>
      <c r="Q171" s="16"/>
      <c r="S171" s="16"/>
      <c r="U171" s="16"/>
      <c r="W171" s="16">
        <v>5.9949012482073702E-4</v>
      </c>
      <c r="X171">
        <v>53</v>
      </c>
      <c r="Y171" s="16">
        <v>1</v>
      </c>
      <c r="Z171">
        <v>53</v>
      </c>
      <c r="AA171" s="16">
        <v>2.6018890860974399E-2</v>
      </c>
      <c r="AB171">
        <v>54</v>
      </c>
      <c r="AC171" s="16">
        <v>2.6018890860974399E-2</v>
      </c>
      <c r="AD171">
        <v>54</v>
      </c>
      <c r="AE171" s="16">
        <v>1.27701398999009E-2</v>
      </c>
      <c r="AF171">
        <v>54</v>
      </c>
      <c r="AG171" s="16">
        <v>1.32487509610734E-2</v>
      </c>
      <c r="AH171">
        <v>54</v>
      </c>
      <c r="AI171" s="16">
        <v>1.41737513206794E-2</v>
      </c>
      <c r="AJ171">
        <v>54</v>
      </c>
      <c r="AK171" s="16">
        <v>1</v>
      </c>
      <c r="AL171" s="11">
        <v>54</v>
      </c>
    </row>
    <row r="172" spans="1:38" outlineLevel="1" x14ac:dyDescent="0.25">
      <c r="A172" s="6" t="s">
        <v>15</v>
      </c>
      <c r="B172" t="s">
        <v>166</v>
      </c>
      <c r="C172" s="16">
        <v>1.59316280507764E-2</v>
      </c>
      <c r="D172">
        <v>461</v>
      </c>
      <c r="E172" s="16">
        <v>1.9928239836014799E-2</v>
      </c>
      <c r="F172">
        <v>461</v>
      </c>
      <c r="G172" s="16">
        <v>4.8408027015640802E-3</v>
      </c>
      <c r="H172">
        <v>461</v>
      </c>
      <c r="I172" s="16">
        <v>1.27415961918706E-2</v>
      </c>
      <c r="J172">
        <v>461</v>
      </c>
      <c r="K172" s="16">
        <v>2.7791574458705399E-2</v>
      </c>
      <c r="L172">
        <v>461</v>
      </c>
      <c r="M172" s="16">
        <v>0.99761038639757804</v>
      </c>
      <c r="N172">
        <v>461</v>
      </c>
      <c r="O172" s="16">
        <v>1.44036389912883E-2</v>
      </c>
      <c r="P172">
        <v>243</v>
      </c>
      <c r="Q172" s="16">
        <v>2.1712860690004401E-2</v>
      </c>
      <c r="R172">
        <v>243</v>
      </c>
      <c r="S172" s="16">
        <v>8.7511564804083307E-3</v>
      </c>
      <c r="T172">
        <v>243</v>
      </c>
      <c r="U172" s="16">
        <v>8.5695346710161092E-3</v>
      </c>
      <c r="V172">
        <v>243</v>
      </c>
      <c r="W172" s="16">
        <v>2.0467668042996701E-2</v>
      </c>
      <c r="X172">
        <v>243</v>
      </c>
      <c r="Y172" s="16">
        <v>0.99573171188756304</v>
      </c>
      <c r="Z172">
        <v>243</v>
      </c>
      <c r="AA172" s="16">
        <v>1.77751228305328E-2</v>
      </c>
      <c r="AB172">
        <v>218</v>
      </c>
      <c r="AC172" s="16">
        <v>1.77751228305328E-2</v>
      </c>
      <c r="AD172">
        <v>218</v>
      </c>
      <c r="AE172" s="16">
        <v>1.2302233950102701E-4</v>
      </c>
      <c r="AF172">
        <v>218</v>
      </c>
      <c r="AG172" s="16">
        <v>1.77751228305328E-2</v>
      </c>
      <c r="AH172">
        <v>218</v>
      </c>
      <c r="AI172" s="16">
        <v>3.6627752414918502E-2</v>
      </c>
      <c r="AJ172">
        <v>218</v>
      </c>
      <c r="AK172" s="16">
        <v>0.99987697766049899</v>
      </c>
      <c r="AL172" s="11">
        <v>218</v>
      </c>
    </row>
    <row r="173" spans="1:38" outlineLevel="1" x14ac:dyDescent="0.25">
      <c r="A173" s="6" t="s">
        <v>15</v>
      </c>
      <c r="B173" t="s">
        <v>167</v>
      </c>
      <c r="C173" s="16">
        <v>2.04282980026586E-2</v>
      </c>
      <c r="D173">
        <v>566</v>
      </c>
      <c r="E173" s="16">
        <v>2.7563965090020199E-2</v>
      </c>
      <c r="F173">
        <v>566</v>
      </c>
      <c r="G173" s="16">
        <v>7.75361653318487E-3</v>
      </c>
      <c r="H173">
        <v>566</v>
      </c>
      <c r="I173" s="16">
        <v>1.4252124075007601E-2</v>
      </c>
      <c r="J173">
        <v>566</v>
      </c>
      <c r="K173" s="16">
        <v>2.3423596961867001E-2</v>
      </c>
      <c r="L173">
        <v>566</v>
      </c>
      <c r="M173" s="16">
        <v>1</v>
      </c>
      <c r="N173">
        <v>566</v>
      </c>
      <c r="O173" s="16">
        <v>1.33417935117393E-2</v>
      </c>
      <c r="P173">
        <v>269</v>
      </c>
      <c r="Q173" s="16">
        <v>2.1716674515676802E-2</v>
      </c>
      <c r="R173">
        <v>269</v>
      </c>
      <c r="S173" s="16">
        <v>3.3354483779348301E-3</v>
      </c>
      <c r="T173">
        <v>269</v>
      </c>
      <c r="U173" s="16">
        <v>1.00063451338045E-2</v>
      </c>
      <c r="V173">
        <v>269</v>
      </c>
      <c r="W173" s="16">
        <v>2.87688927917292E-2</v>
      </c>
      <c r="X173">
        <v>269</v>
      </c>
      <c r="Y173" s="16">
        <v>1</v>
      </c>
      <c r="Z173">
        <v>269</v>
      </c>
      <c r="AA173" s="16">
        <v>2.67869540911519E-2</v>
      </c>
      <c r="AB173">
        <v>297</v>
      </c>
      <c r="AC173" s="16">
        <v>3.28106857912321E-2</v>
      </c>
      <c r="AD173">
        <v>297</v>
      </c>
      <c r="AE173" s="16">
        <v>1.1717998673401901E-2</v>
      </c>
      <c r="AF173">
        <v>297</v>
      </c>
      <c r="AG173" s="16">
        <v>1.80618229398673E-2</v>
      </c>
      <c r="AH173">
        <v>297</v>
      </c>
      <c r="AI173" s="16">
        <v>1.86273115835251E-2</v>
      </c>
      <c r="AJ173">
        <v>297</v>
      </c>
      <c r="AK173" s="16">
        <v>1</v>
      </c>
      <c r="AL173" s="11">
        <v>297</v>
      </c>
    </row>
    <row r="174" spans="1:38" outlineLevel="1" x14ac:dyDescent="0.25">
      <c r="A174" s="6" t="s">
        <v>15</v>
      </c>
      <c r="B174" t="s">
        <v>168</v>
      </c>
      <c r="C174" s="16">
        <v>2.4424325969511201E-2</v>
      </c>
      <c r="D174">
        <v>298</v>
      </c>
      <c r="E174" s="16">
        <v>2.72150042761348E-2</v>
      </c>
      <c r="F174">
        <v>298</v>
      </c>
      <c r="G174" s="16">
        <v>2.7556927589491502E-3</v>
      </c>
      <c r="H174">
        <v>298</v>
      </c>
      <c r="I174" s="16">
        <v>2.1668633210562002E-2</v>
      </c>
      <c r="J174">
        <v>298</v>
      </c>
      <c r="K174" s="16">
        <v>3.5503161709817301E-2</v>
      </c>
      <c r="L174">
        <v>298</v>
      </c>
      <c r="M174" s="16">
        <v>0.99596781613805596</v>
      </c>
      <c r="N174">
        <v>298</v>
      </c>
      <c r="O174" s="16">
        <v>4.8749191840769899E-3</v>
      </c>
      <c r="P174">
        <v>167</v>
      </c>
      <c r="Q174" s="16">
        <v>9.4572803927037395E-3</v>
      </c>
      <c r="R174">
        <v>167</v>
      </c>
      <c r="S174" s="16">
        <v>4.6988127533140796E-3</v>
      </c>
      <c r="T174">
        <v>167</v>
      </c>
      <c r="U174" s="16">
        <v>1.7610643076291E-4</v>
      </c>
      <c r="V174">
        <v>167</v>
      </c>
      <c r="W174" s="16">
        <v>1.8890848589475501E-2</v>
      </c>
      <c r="X174">
        <v>167</v>
      </c>
      <c r="Y174" s="16">
        <v>1</v>
      </c>
      <c r="Z174">
        <v>167</v>
      </c>
      <c r="AA174" s="16">
        <v>5.2161042275104097E-2</v>
      </c>
      <c r="AB174">
        <v>130</v>
      </c>
      <c r="AC174" s="16">
        <v>5.2410850977985597E-2</v>
      </c>
      <c r="AD174">
        <v>130</v>
      </c>
      <c r="AE174" s="16"/>
      <c r="AG174" s="16">
        <v>5.2161042275104097E-2</v>
      </c>
      <c r="AH174">
        <v>130</v>
      </c>
      <c r="AI174" s="16">
        <v>5.9076163050368599E-2</v>
      </c>
      <c r="AJ174">
        <v>130</v>
      </c>
      <c r="AK174" s="16">
        <v>0.99024718423858904</v>
      </c>
      <c r="AL174" s="11">
        <v>130</v>
      </c>
    </row>
    <row r="175" spans="1:38" outlineLevel="1" x14ac:dyDescent="0.25">
      <c r="A175" s="7" t="s">
        <v>15</v>
      </c>
      <c r="B175" s="9" t="s">
        <v>157</v>
      </c>
      <c r="C175" s="15"/>
      <c r="D175" s="9"/>
      <c r="E175" s="15"/>
      <c r="F175" s="9"/>
      <c r="G175" s="15"/>
      <c r="H175" s="9"/>
      <c r="I175" s="15"/>
      <c r="J175" s="9"/>
      <c r="K175" s="15">
        <v>0.16666666666666699</v>
      </c>
      <c r="L175" s="9">
        <v>12</v>
      </c>
      <c r="M175" s="15">
        <v>1</v>
      </c>
      <c r="N175" s="9">
        <v>12</v>
      </c>
      <c r="O175" s="15"/>
      <c r="P175" s="9"/>
      <c r="Q175" s="15"/>
      <c r="R175" s="9"/>
      <c r="S175" s="15"/>
      <c r="T175" s="9"/>
      <c r="U175" s="15"/>
      <c r="V175" s="9"/>
      <c r="W175" s="15"/>
      <c r="X175" s="9"/>
      <c r="Y175" s="15">
        <v>1</v>
      </c>
      <c r="Z175" s="9">
        <v>5</v>
      </c>
      <c r="AA175" s="15"/>
      <c r="AB175" s="9"/>
      <c r="AC175" s="15"/>
      <c r="AD175" s="9"/>
      <c r="AE175" s="15"/>
      <c r="AF175" s="9"/>
      <c r="AG175" s="15"/>
      <c r="AH175" s="9"/>
      <c r="AI175" s="15">
        <v>0.33333333333333298</v>
      </c>
      <c r="AJ175" s="9">
        <v>6</v>
      </c>
      <c r="AK175" s="15">
        <v>1</v>
      </c>
      <c r="AL175" s="12">
        <v>6</v>
      </c>
    </row>
    <row r="176" spans="1:38" x14ac:dyDescent="0.25">
      <c r="C176" s="16"/>
      <c r="E176" s="16"/>
      <c r="G176" s="16"/>
      <c r="I176" s="16"/>
      <c r="K176" s="16"/>
      <c r="M176" s="16"/>
      <c r="O176" s="16"/>
      <c r="Q176" s="16"/>
      <c r="S176" s="16"/>
      <c r="U176" s="16"/>
      <c r="W176" s="16"/>
      <c r="Y176" s="16"/>
      <c r="AA176" s="16"/>
      <c r="AC176" s="16"/>
      <c r="AE176" s="16"/>
      <c r="AG176" s="16"/>
      <c r="AI176" s="16"/>
      <c r="AK176" s="16"/>
    </row>
    <row r="177" spans="3:37" x14ac:dyDescent="0.25">
      <c r="C177" s="16"/>
      <c r="E177" s="16"/>
      <c r="G177" s="16"/>
      <c r="I177" s="16"/>
      <c r="K177" s="16"/>
      <c r="M177" s="16"/>
      <c r="O177" s="16"/>
      <c r="Q177" s="16"/>
      <c r="S177" s="16"/>
      <c r="U177" s="16"/>
      <c r="W177" s="16"/>
      <c r="Y177" s="16"/>
      <c r="AA177" s="16"/>
      <c r="AC177" s="16"/>
      <c r="AE177" s="16"/>
      <c r="AG177" s="16"/>
      <c r="AI177" s="16"/>
      <c r="AK177" s="16"/>
    </row>
  </sheetData>
  <mergeCells count="40">
    <mergeCell ref="A139:AL139"/>
    <mergeCell ref="A149:AL149"/>
    <mergeCell ref="A159:AL159"/>
    <mergeCell ref="A98:AL98"/>
    <mergeCell ref="A103:AL103"/>
    <mergeCell ref="A120:AL120"/>
    <mergeCell ref="A126:AL126"/>
    <mergeCell ref="A132:AL132"/>
    <mergeCell ref="A15:AL15"/>
    <mergeCell ref="A19:AL19"/>
    <mergeCell ref="A38:AL38"/>
    <mergeCell ref="A82:AL82"/>
    <mergeCell ref="A88:AL88"/>
    <mergeCell ref="AI4:AJ4"/>
    <mergeCell ref="AK4:AL4"/>
    <mergeCell ref="AA4:AB4"/>
    <mergeCell ref="A6:AL6"/>
    <mergeCell ref="A9:AL9"/>
    <mergeCell ref="Y4:Z4"/>
    <mergeCell ref="O4:P4"/>
    <mergeCell ref="AC4:AD4"/>
    <mergeCell ref="AE4:AF4"/>
    <mergeCell ref="AG4:AH4"/>
    <mergeCell ref="C4:D4"/>
    <mergeCell ref="Q4:R4"/>
    <mergeCell ref="S4:T4"/>
    <mergeCell ref="U4:V4"/>
    <mergeCell ref="W4:X4"/>
    <mergeCell ref="E4:F4"/>
    <mergeCell ref="G4:H4"/>
    <mergeCell ref="I4:J4"/>
    <mergeCell ref="K4:L4"/>
    <mergeCell ref="M4:N4"/>
    <mergeCell ref="A1:AL1"/>
    <mergeCell ref="C2:N2"/>
    <mergeCell ref="O2:Z2"/>
    <mergeCell ref="AA2:AL2"/>
    <mergeCell ref="E3:N3"/>
    <mergeCell ref="Q3:Z3"/>
    <mergeCell ref="AC3:AL3"/>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Table_of_content</vt:lpstr>
      <vt:lpstr>access</vt:lpstr>
      <vt:lpstr>overaged</vt:lpstr>
      <vt:lpstr>out_of_school</vt:lpstr>
      <vt:lpstr>ece</vt:lpstr>
      <vt:lpstr>level1</vt:lpstr>
      <vt:lpstr>level2</vt:lpstr>
      <vt:lpstr>level3</vt:lpstr>
      <vt:lpstr>non_formal</vt:lpstr>
      <vt:lpstr>wgq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education_results</dc:creator>
  <cp:lastModifiedBy>Martina VIT</cp:lastModifiedBy>
  <dcterms:created xsi:type="dcterms:W3CDTF">2024-11-07T15:25:18Z</dcterms:created>
  <dcterms:modified xsi:type="dcterms:W3CDTF">2024-11-08T14:36:44Z</dcterms:modified>
</cp:coreProperties>
</file>